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E:\0.Code\27.FOR OSR\17.QA and QC\"/>
    </mc:Choice>
  </mc:AlternateContent>
  <xr:revisionPtr revIDLastSave="0" documentId="13_ncr:1_{01DF4E8E-49EC-4898-AD82-231D6F2EB17E}" xr6:coauthVersionLast="47" xr6:coauthVersionMax="47" xr10:uidLastSave="{00000000-0000-0000-0000-000000000000}"/>
  <bookViews>
    <workbookView xWindow="-120" yWindow="-120" windowWidth="29040" windowHeight="15720" firstSheet="1" activeTab="4" xr2:uid="{1B957527-AE5F-4E74-825D-05B6D368D07B}"/>
  </bookViews>
  <sheets>
    <sheet name="XXXXXXXXX" sheetId="50" state="veryHidden" r:id="rId1"/>
    <sheet name="WPS " sheetId="44" r:id="rId2"/>
    <sheet name="POE" sheetId="49" r:id="rId3"/>
    <sheet name="TCW" sheetId="48" r:id="rId4"/>
    <sheet name="LWC" sheetId="52" r:id="rId5"/>
  </sheets>
  <externalReferences>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s>
  <definedNames>
    <definedName name="_xlnm._FilterDatabase" localSheetId="4" hidden="1">LWC!$D$1:$O$5</definedName>
    <definedName name="_xlnm._FilterDatabase" localSheetId="2" hidden="1">POE!$B$6:$E$21</definedName>
    <definedName name="_xlnm._FilterDatabase" localSheetId="3" hidden="1">TCW!$A$6:$AH$470</definedName>
    <definedName name="_xlnm._FilterDatabase" localSheetId="1" hidden="1">'WPS '!$A$4:$AI$209</definedName>
    <definedName name="_GID1">'[1]LKVL-CK-HT-GD1'!$A$4</definedName>
    <definedName name="_hdc1">[2]xaydung!$F$104</definedName>
    <definedName name="_hdc2">[2]xaydung!$H$104</definedName>
    <definedName name="_Knc1">'[3]149-2'!$C$133</definedName>
    <definedName name="_Order1" hidden="1">255</definedName>
    <definedName name="_Order2" hidden="1">255</definedName>
    <definedName name="aaaaaaaaaa" localSheetId="4">[4]KLHT!GoBack</definedName>
    <definedName name="aaaaaaaaaa" localSheetId="2">[4]KLHT!GoBack</definedName>
    <definedName name="aaaaaaaaaa" localSheetId="3">[4]KLHT!GoBack</definedName>
    <definedName name="aaaaaaaaaa">[4]KLHT!GoBack</definedName>
    <definedName name="CABLE2">'[5]MTO REV.0'!$A$1:$Q$570</definedName>
    <definedName name="cddd1p">'[6]TONG HOP VL-NC'!$C$3</definedName>
    <definedName name="cddd3p">'[6]TONG HOP VL-NC'!$C$2</definedName>
    <definedName name="clvc1">[7]CHITIET!$D$3</definedName>
    <definedName name="CLVC3">0.1</definedName>
    <definedName name="CN3p">'[8]TONGKE3p '!$X$295</definedName>
    <definedName name="Cot_thep">[9]Du_lieu!$C$19</definedName>
    <definedName name="cotpha">[10]TT_10KV!$H$323</definedName>
    <definedName name="CPVC1KM">'[11]TH VL, NC, DDHT Thanhphuoc'!$J$19</definedName>
    <definedName name="cv">[12]gvl!$N$17</definedName>
    <definedName name="D_Gia">'[13]Don gia'!$A$3:$F$240</definedName>
    <definedName name="DataFilter" localSheetId="4">[4]!DataFilter</definedName>
    <definedName name="DataFilter" localSheetId="2">[4]!DataFilter</definedName>
    <definedName name="DataFilter" localSheetId="3">[4]!DataFilter</definedName>
    <definedName name="DataFilter">[4]!DataFilter</definedName>
    <definedName name="DataSort" localSheetId="4">[4]!DataSort</definedName>
    <definedName name="DataSort" localSheetId="2">[4]!DataSort</definedName>
    <definedName name="DataSort" localSheetId="3">[4]!DataSort</definedName>
    <definedName name="DataSort">[4]!DataSort</definedName>
    <definedName name="dd1pnc">[7]CHITIET!$G$404</definedName>
    <definedName name="dd1pvl">[7]CHITIET!$G$383</definedName>
    <definedName name="dd1x2">[12]gvl!$N$9</definedName>
    <definedName name="DDK">'[14]CT-35'!$A$2:$N$1399</definedName>
    <definedName name="DG">'[13]Don gia'!$B$3:$G$195</definedName>
    <definedName name="DGIA">[15]DGIAgoi1!$B$3:$H$202</definedName>
    <definedName name="DGM">[16]DONGIA!$A$453:$F$459</definedName>
    <definedName name="DGTH1">[7]DONGIA!$A$414:$G$452</definedName>
    <definedName name="dgth2">[7]DONGIA!$A$414:$G$439</definedName>
    <definedName name="DGTR">[16]DONGIA!$A$472:$I$521</definedName>
    <definedName name="DGVL1">[7]DONGIA!$A$5:$F$235</definedName>
    <definedName name="DGVT">'[6]DON GIA'!$C$5:$G$137</definedName>
    <definedName name="dongia">[17]DG!$A$4:$I$567</definedName>
    <definedName name="dongia1">[17]DG!$A$4:$H$606</definedName>
    <definedName name="DZ0.4">'[14]CT-0.4KV'!$A$6:$H$1316</definedName>
    <definedName name="GC_CT">[18]Gia_GC_Satthep!$C$7</definedName>
    <definedName name="GC_CT1">[19]Gia_GC_Satthep!$C$7</definedName>
    <definedName name="gcHT">[20]TT04!$J$37</definedName>
    <definedName name="Gia">[21]XL4Poppy!$A$26</definedName>
    <definedName name="GoBack" localSheetId="4">[4]KLHT!GoBack</definedName>
    <definedName name="GoBack" localSheetId="2">[4]KLHT!GoBack</definedName>
    <definedName name="GoBack" localSheetId="3">[4]KLHT!GoBack</definedName>
    <definedName name="GoBack">[4]KLHT!GoBack</definedName>
    <definedName name="hdc">[2]xaydung!$G$104</definedName>
    <definedName name="Heä_soá_laép_xaø_H">1.7</definedName>
    <definedName name="HSCT3">0.1</definedName>
    <definedName name="hsdc">[2]tonghop!$I$3</definedName>
    <definedName name="hsdc5.1">[2]xaydung!$G$34</definedName>
    <definedName name="HSDN">2.5</definedName>
    <definedName name="hskk1">[7]CHITIET!$D$4</definedName>
    <definedName name="hsm">[2]xaydung!$J$19</definedName>
    <definedName name="hsmay">[2]xaydung!$J$19</definedName>
    <definedName name="HSNC">[9]Du_lieu!$C$6</definedName>
    <definedName name="hsnc5">[2]xaydung!$I$19</definedName>
    <definedName name="HTML_CodePage" hidden="1">950</definedName>
    <definedName name="HTML_Control" localSheetId="4" hidden="1">{"'Sheet1'!$L$16"}</definedName>
    <definedName name="HTML_Control" localSheetId="2" hidden="1">{"'Sheet1'!$L$16"}</definedName>
    <definedName name="HTML_Control" localSheetId="3" hidden="1">{"'Sheet1'!$L$16"}</definedName>
    <definedName name="HTML_Control" hidden="1">{"'Sheet1'!$L$16"}</definedName>
    <definedName name="HTML_Description" hidden="1">""</definedName>
    <definedName name="HTML_Email" hidden="1">""</definedName>
    <definedName name="HTML_Header" hidden="1">"Sheet1"</definedName>
    <definedName name="HTML_LastUpdate" hidden="1">"2000/9/14"</definedName>
    <definedName name="HTML_LineAfter" hidden="1">FALSE</definedName>
    <definedName name="HTML_LineBefore" hidden="1">FALSE</definedName>
    <definedName name="HTML_Name" hidden="1">"J.C.WONG"</definedName>
    <definedName name="HTML_OBDlg2" hidden="1">TRUE</definedName>
    <definedName name="HTML_OBDlg4" hidden="1">TRUE</definedName>
    <definedName name="HTML_OS" hidden="1">0</definedName>
    <definedName name="HTML_PathFile" hidden="1">"C:\2689\Q\國內\00q3961台化龍德PTA3建造\MyHTML.htm"</definedName>
    <definedName name="HTML_Title" hidden="1">"00Q3961-SUM"</definedName>
    <definedName name="huong">[22]XL4Poppy!$C$31</definedName>
    <definedName name="huy" localSheetId="4" hidden="1">{"'Sheet1'!$L$16"}</definedName>
    <definedName name="huy" localSheetId="2" hidden="1">{"'Sheet1'!$L$16"}</definedName>
    <definedName name="huy" localSheetId="3" hidden="1">{"'Sheet1'!$L$16"}</definedName>
    <definedName name="huy" hidden="1">{"'Sheet1'!$L$16"}</definedName>
    <definedName name="Khang" localSheetId="4">LWC!$D$6:$O$340</definedName>
    <definedName name="Khang" localSheetId="2">POE!#REF!</definedName>
    <definedName name="Khang" localSheetId="3">TCW!$D$1:$Q$338</definedName>
    <definedName name="MTCHC">[23]TNHCHINH!$K$38</definedName>
    <definedName name="N1IN">'[8]TONGKE3p '!$U$295</definedName>
    <definedName name="nc_cotpha">[10]TT_10KV!$H$329</definedName>
    <definedName name="NCHC">[23]TNHCHINH!$J$38</definedName>
    <definedName name="new">[24]NewPOS!$A:$IV</definedName>
    <definedName name="NIG13p">'[8]TONGKE3p '!$T$295</definedName>
    <definedName name="nignc3p">'[25]CHITIET VL-NC'!$G$107</definedName>
    <definedName name="nigvl3p">'[25]CHITIET VL-NC'!$G$99</definedName>
    <definedName name="nlvl1">[7]CHITIET!$G$302</definedName>
    <definedName name="nuoc">[12]gvl!$N$38</definedName>
    <definedName name="PM">[26]IBASE!$AH$16:$AV$110</definedName>
    <definedName name="_xlnm.Print_Area" localSheetId="2">POE!$B$1:$E$21</definedName>
    <definedName name="_xlnm.Print_Area" localSheetId="3">TCW!$D$1:$Q$469</definedName>
    <definedName name="_xlnm.Print_Area" localSheetId="1">'WPS '!$A$1:$M$210</definedName>
    <definedName name="_xlnm.Print_Area">#REF!</definedName>
    <definedName name="Print_Area_MI">[27]ESTI.!$A$1:$U$52</definedName>
    <definedName name="_xlnm.Print_Titles" localSheetId="4">LWC!$6:$9</definedName>
    <definedName name="_xlnm.Print_Titles" localSheetId="2">POE!$1:$6</definedName>
    <definedName name="_xlnm.Print_Titles" localSheetId="3">TCW!$1:$6</definedName>
    <definedName name="_xlnm.Print_Titles" localSheetId="1">'WPS '!$2:$4</definedName>
    <definedName name="_xlnm.Print_Titles">#REF!</definedName>
    <definedName name="PTNC">'[25]DON GIA'!$G$227</definedName>
    <definedName name="RATE">'[28]FX FWD KS'!$AQ$3</definedName>
    <definedName name="SB">[26]IBASE!$AH$7:$AL$14</definedName>
    <definedName name="SORT_AREA">'[27]DI-ESTI'!$A$8:$R$489</definedName>
    <definedName name="t12nc3p">'[25]CHITIET VL-NC'!$G$38</definedName>
    <definedName name="t12vl3p">'[25]CHITIET VL-NC'!$G$34</definedName>
    <definedName name="TaxTV">10%</definedName>
    <definedName name="TaxXL">5%</definedName>
    <definedName name="tdnc3p">'[25]CHITIET VL-NC'!$G$28</definedName>
    <definedName name="tdvl3p">'[25]CHITIET VL-NC'!$G$23</definedName>
    <definedName name="thepDet75x7">'[29]4'!$K$23</definedName>
    <definedName name="ThepGoc75x6">'[29]4'!$K$16</definedName>
    <definedName name="Tiepdia">[30]Tiepdia!$A:$IV</definedName>
    <definedName name="TronD10D18">'[29]4'!$K$14</definedName>
    <definedName name="TronD6D8">'[29]4'!$K$13</definedName>
    <definedName name="TTDD">[8]TDTKP!$E$44+[8]TDTKP!$F$44+[8]TDTKP!$G$44</definedName>
    <definedName name="TTK3p">'[8]TONGKE3p '!$C$295</definedName>
    <definedName name="TTLo62">[31]XL4Poppy!$A$15</definedName>
    <definedName name="v">'[29]4'!$K$24</definedName>
    <definedName name="VCVBT1">'[32]VCV-BE-TONG'!$G$11</definedName>
    <definedName name="VCVBT2">'[32]VCV-BE-TONG'!$G$17</definedName>
    <definedName name="vcxa">[20]TT04!$J$20</definedName>
    <definedName name="VLHC">[23]TNHCHINH!$I$38</definedName>
    <definedName name="xaydung">[33]XL4Poppy!$B$1:$B$16</definedName>
    <definedName name="XCCT">0.5</definedName>
    <definedName name="xfconc3p">'[25]CHITIET VL-NC'!$G$94</definedName>
    <definedName name="xfcovl3p">'[25]CHITIET VL-NC'!$G$90</definedName>
    <definedName name="xiggnc">'[25]CHITIET VL-NC'!$G$57</definedName>
    <definedName name="xiggvl">'[25]CHITIET VL-NC'!$G$53</definedName>
    <definedName name="xin190nc3p">'[25]CHITIET VL-NC'!$G$76</definedName>
    <definedName name="xin190vl3p">'[25]CHITIET VL-NC'!$G$72</definedName>
    <definedName name="xindnc3p">'[25]CHITIET VL-NC'!$G$85</definedName>
    <definedName name="xindvl3p">'[25]CHITIET VL-NC'!$G$80</definedName>
    <definedName name="xittnc">'[25]CHITIET VL-NC'!$G$48</definedName>
    <definedName name="xittvl">'[25]CHITIET VL-NC'!$G$44</definedName>
    <definedName name="xm">[34]gvl!$N$16</definedName>
  </definedNames>
  <calcPr calcId="191029"/>
  <pivotCaches>
    <pivotCache cacheId="4" r:id="rId40"/>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R8" i="48" l="1"/>
  <c r="Q8" i="48"/>
  <c r="P8" i="48"/>
  <c r="L8" i="48"/>
  <c r="H8" i="48"/>
  <c r="D8" i="48"/>
  <c r="A8" i="48"/>
  <c r="AA9" i="52"/>
  <c r="AA10" i="52"/>
  <c r="AA11" i="52"/>
  <c r="AA12" i="52"/>
  <c r="AA13" i="52"/>
  <c r="AA14" i="52"/>
  <c r="AA15" i="52"/>
  <c r="AA16" i="52"/>
  <c r="AA17" i="52"/>
  <c r="AA18" i="52"/>
  <c r="AA19" i="52"/>
  <c r="AA20" i="52"/>
  <c r="AA21" i="52"/>
  <c r="AA22" i="52"/>
  <c r="AA23" i="52"/>
  <c r="AA24" i="52"/>
  <c r="AA25" i="52"/>
  <c r="AA26" i="52"/>
  <c r="AA27" i="52"/>
  <c r="AA28" i="52"/>
  <c r="AA29" i="52"/>
  <c r="AA30" i="52"/>
  <c r="AA31" i="52"/>
  <c r="AA32" i="52"/>
  <c r="AA33" i="52"/>
  <c r="AA34" i="52"/>
  <c r="AA35" i="52"/>
  <c r="AA36" i="52"/>
  <c r="AA37" i="52"/>
  <c r="AA38" i="52"/>
  <c r="AA39" i="52"/>
  <c r="AA40" i="52"/>
  <c r="AA41" i="52"/>
  <c r="AA42" i="52"/>
  <c r="AA43" i="52"/>
  <c r="AA44" i="52"/>
  <c r="AA45" i="52"/>
  <c r="AA46" i="52"/>
  <c r="AA47" i="52"/>
  <c r="AA48" i="52"/>
  <c r="AA49" i="52"/>
  <c r="AA50" i="52"/>
  <c r="AA51" i="52"/>
  <c r="AA52" i="52"/>
  <c r="AA53" i="52"/>
  <c r="AA54" i="52"/>
  <c r="AA55" i="52"/>
  <c r="AA56" i="52"/>
  <c r="AA57" i="52"/>
  <c r="AA58" i="52"/>
  <c r="AA59" i="52"/>
  <c r="AA60" i="52"/>
  <c r="AA61" i="52"/>
  <c r="AA62" i="52"/>
  <c r="AA63" i="52"/>
  <c r="AA64" i="52"/>
  <c r="AA65" i="52"/>
  <c r="AA66" i="52"/>
  <c r="AA67" i="52"/>
  <c r="AA68" i="52"/>
  <c r="AA69" i="52"/>
  <c r="AA70" i="52"/>
  <c r="AA71" i="52"/>
  <c r="AA72" i="52"/>
  <c r="AA73" i="52"/>
  <c r="AA74" i="52"/>
  <c r="AA75" i="52"/>
  <c r="AA76" i="52"/>
  <c r="AA77" i="52"/>
  <c r="AA78" i="52"/>
  <c r="AA79" i="52"/>
  <c r="AA80" i="52"/>
  <c r="AA81" i="52"/>
  <c r="AA82" i="52"/>
  <c r="AA83" i="52"/>
  <c r="AA84" i="52"/>
  <c r="AA85" i="52"/>
  <c r="AA86" i="52"/>
  <c r="AA87" i="52"/>
  <c r="AA88" i="52"/>
  <c r="AA89" i="52"/>
  <c r="AA90" i="52"/>
  <c r="AA91" i="52"/>
  <c r="AA92" i="52"/>
  <c r="AA93" i="52"/>
  <c r="AA94" i="52"/>
  <c r="AA95" i="52"/>
  <c r="AA96" i="52"/>
  <c r="AA97" i="52"/>
  <c r="AA98" i="52"/>
  <c r="AA99" i="52"/>
  <c r="AA100" i="52"/>
  <c r="AA101" i="52"/>
  <c r="B208" i="44"/>
  <c r="P197" i="48"/>
  <c r="R196" i="48"/>
  <c r="Q196" i="48"/>
  <c r="P196" i="48"/>
  <c r="L196" i="48"/>
  <c r="H196" i="48"/>
  <c r="D196" i="48"/>
  <c r="B207" i="44"/>
  <c r="L60" i="48"/>
  <c r="R60" i="48"/>
  <c r="P60" i="48"/>
  <c r="H60" i="48"/>
  <c r="D60" i="48"/>
  <c r="R135" i="48"/>
  <c r="P135" i="48"/>
  <c r="L135" i="48"/>
  <c r="H135" i="48"/>
  <c r="D135" i="48"/>
  <c r="B98" i="44"/>
  <c r="D152" i="48"/>
  <c r="D153" i="48"/>
  <c r="D154" i="48"/>
  <c r="D120" i="48"/>
  <c r="D121" i="48"/>
  <c r="D122" i="48"/>
  <c r="D173" i="48"/>
  <c r="D174" i="48"/>
  <c r="D175" i="48"/>
  <c r="D176" i="48"/>
  <c r="D340" i="48"/>
  <c r="D341" i="48"/>
  <c r="D342" i="48"/>
  <c r="D343" i="48"/>
  <c r="D344" i="48"/>
  <c r="D345" i="48"/>
  <c r="D346" i="48"/>
  <c r="D347" i="48"/>
  <c r="D117" i="48"/>
  <c r="D118" i="48"/>
  <c r="D119" i="48"/>
  <c r="D201" i="48"/>
  <c r="D202" i="48"/>
  <c r="D203" i="48"/>
  <c r="D204" i="48"/>
  <c r="D205" i="48"/>
  <c r="D206" i="48"/>
  <c r="D207" i="48"/>
  <c r="D208" i="48"/>
  <c r="D209" i="48"/>
  <c r="D210" i="48"/>
  <c r="D411" i="48"/>
  <c r="D412" i="48"/>
  <c r="D413" i="48"/>
  <c r="D10" i="48"/>
  <c r="D452" i="48"/>
  <c r="D453" i="48"/>
  <c r="D454" i="48"/>
  <c r="D455" i="48"/>
  <c r="D123" i="48"/>
  <c r="D77" i="48"/>
  <c r="D53" i="48"/>
  <c r="D54" i="48"/>
  <c r="D55" i="48"/>
  <c r="D56" i="48"/>
  <c r="D57" i="48"/>
  <c r="D58" i="48"/>
  <c r="D59" i="48"/>
  <c r="D61" i="48"/>
  <c r="D62" i="48"/>
  <c r="D63" i="48"/>
  <c r="D64" i="48"/>
  <c r="D65" i="48"/>
  <c r="D66" i="48"/>
  <c r="D67" i="48"/>
  <c r="D68" i="48"/>
  <c r="D69" i="48"/>
  <c r="D79" i="48"/>
  <c r="D80" i="48"/>
  <c r="D348" i="48"/>
  <c r="D349" i="48"/>
  <c r="D350" i="48"/>
  <c r="D351" i="48"/>
  <c r="D352" i="48"/>
  <c r="D353" i="48"/>
  <c r="D354" i="48"/>
  <c r="D355" i="48"/>
  <c r="D356" i="48"/>
  <c r="D357" i="48"/>
  <c r="D106" i="48"/>
  <c r="D107" i="48"/>
  <c r="D414" i="48"/>
  <c r="D415" i="48"/>
  <c r="D416" i="48"/>
  <c r="D417" i="48"/>
  <c r="D418" i="48"/>
  <c r="D419" i="48"/>
  <c r="D420" i="48"/>
  <c r="D421" i="48"/>
  <c r="D422" i="48"/>
  <c r="D423" i="48"/>
  <c r="D424" i="48"/>
  <c r="D425" i="48"/>
  <c r="D426" i="48"/>
  <c r="D427" i="48"/>
  <c r="D428" i="48"/>
  <c r="D429" i="48"/>
  <c r="D430" i="48"/>
  <c r="D431" i="48"/>
  <c r="D432" i="48"/>
  <c r="D163" i="48"/>
  <c r="D339" i="48"/>
  <c r="D128" i="48"/>
  <c r="D129" i="48"/>
  <c r="D130" i="48"/>
  <c r="D131" i="48"/>
  <c r="D132" i="48"/>
  <c r="D133" i="48"/>
  <c r="D134" i="48"/>
  <c r="D136" i="48"/>
  <c r="D137" i="48"/>
  <c r="D138" i="48"/>
  <c r="D139" i="48"/>
  <c r="D140" i="48"/>
  <c r="D141" i="48"/>
  <c r="D142" i="48"/>
  <c r="D143" i="48"/>
  <c r="D144" i="48"/>
  <c r="D145" i="48"/>
  <c r="D146" i="48"/>
  <c r="D147" i="48"/>
  <c r="D148" i="48"/>
  <c r="D149" i="48"/>
  <c r="D150" i="48"/>
  <c r="D178" i="48"/>
  <c r="D179" i="48"/>
  <c r="D164" i="48"/>
  <c r="D165" i="48"/>
  <c r="D451" i="48"/>
  <c r="D71" i="48"/>
  <c r="D72" i="48"/>
  <c r="D169" i="48"/>
  <c r="D456" i="48"/>
  <c r="D457" i="48"/>
  <c r="D458" i="48"/>
  <c r="D111" i="48"/>
  <c r="D112" i="48"/>
  <c r="D108" i="48"/>
  <c r="D109" i="48"/>
  <c r="D450" i="48"/>
  <c r="D44" i="48"/>
  <c r="D45" i="48"/>
  <c r="D46" i="48"/>
  <c r="D47" i="48"/>
  <c r="D48" i="48"/>
  <c r="D49" i="48"/>
  <c r="D50" i="48"/>
  <c r="D51" i="48"/>
  <c r="D52" i="48"/>
  <c r="D180" i="48"/>
  <c r="D181" i="48"/>
  <c r="D159" i="48"/>
  <c r="D11" i="48"/>
  <c r="D12" i="48"/>
  <c r="D13" i="48"/>
  <c r="D14" i="48"/>
  <c r="D15" i="48"/>
  <c r="D16" i="48"/>
  <c r="D17" i="48"/>
  <c r="D18" i="48"/>
  <c r="D19" i="48"/>
  <c r="D20" i="48"/>
  <c r="D21" i="48"/>
  <c r="D22" i="48"/>
  <c r="D23" i="48"/>
  <c r="D24" i="48"/>
  <c r="D25" i="48"/>
  <c r="D26" i="48"/>
  <c r="D27" i="48"/>
  <c r="D28" i="48"/>
  <c r="D29" i="48"/>
  <c r="D372" i="48"/>
  <c r="D373" i="48"/>
  <c r="D374" i="48"/>
  <c r="D375" i="48"/>
  <c r="D376" i="48"/>
  <c r="D377" i="48"/>
  <c r="D378" i="48"/>
  <c r="D379" i="48"/>
  <c r="D380" i="48"/>
  <c r="D381" i="48"/>
  <c r="D382" i="48"/>
  <c r="D383" i="48"/>
  <c r="D384" i="48"/>
  <c r="D385" i="48"/>
  <c r="D386" i="48"/>
  <c r="D387" i="48"/>
  <c r="D388" i="48"/>
  <c r="D389" i="48"/>
  <c r="D390" i="48"/>
  <c r="D171" i="48"/>
  <c r="D172" i="48"/>
  <c r="D115" i="48"/>
  <c r="D304" i="48"/>
  <c r="D305" i="48"/>
  <c r="D306" i="48"/>
  <c r="D307" i="48"/>
  <c r="D308" i="48"/>
  <c r="D309" i="48"/>
  <c r="D310" i="48"/>
  <c r="D311" i="48"/>
  <c r="D312" i="48"/>
  <c r="D313" i="48"/>
  <c r="D314" i="48"/>
  <c r="D315" i="48"/>
  <c r="D316" i="48"/>
  <c r="D317" i="48"/>
  <c r="D318" i="48"/>
  <c r="D319" i="48"/>
  <c r="D320" i="48"/>
  <c r="D321" i="48"/>
  <c r="D113" i="48"/>
  <c r="D114" i="48"/>
  <c r="D177" i="48"/>
  <c r="D252" i="48"/>
  <c r="D461" i="48"/>
  <c r="D160" i="48"/>
  <c r="D78" i="48"/>
  <c r="D465" i="48"/>
  <c r="D466" i="48"/>
  <c r="D34" i="48"/>
  <c r="D35" i="48"/>
  <c r="D36" i="48"/>
  <c r="D37" i="48"/>
  <c r="D38" i="48"/>
  <c r="D39" i="48"/>
  <c r="D40" i="48"/>
  <c r="D41" i="48"/>
  <c r="D200" i="48"/>
  <c r="D263" i="48"/>
  <c r="D264" i="48"/>
  <c r="D265" i="48"/>
  <c r="D266" i="48"/>
  <c r="D463" i="48"/>
  <c r="D407" i="48"/>
  <c r="D408" i="48"/>
  <c r="D157" i="48"/>
  <c r="D158" i="48"/>
  <c r="D448" i="48"/>
  <c r="D449" i="48"/>
  <c r="D322" i="48"/>
  <c r="D323" i="48"/>
  <c r="D324" i="48"/>
  <c r="D325" i="48"/>
  <c r="D326" i="48"/>
  <c r="D327" i="48"/>
  <c r="D328" i="48"/>
  <c r="D329" i="48"/>
  <c r="D330" i="48"/>
  <c r="D331" i="48"/>
  <c r="D332" i="48"/>
  <c r="D333" i="48"/>
  <c r="D334" i="48"/>
  <c r="D335" i="48"/>
  <c r="D30" i="48"/>
  <c r="D31" i="48"/>
  <c r="D32" i="48"/>
  <c r="D33" i="48"/>
  <c r="D124" i="48"/>
  <c r="D125" i="48"/>
  <c r="D126" i="48"/>
  <c r="D127" i="48"/>
  <c r="D336" i="48"/>
  <c r="D337" i="48"/>
  <c r="D338" i="48"/>
  <c r="D284" i="48"/>
  <c r="D285" i="48"/>
  <c r="D286" i="48"/>
  <c r="D287" i="48"/>
  <c r="D288" i="48"/>
  <c r="D289" i="48"/>
  <c r="D290" i="48"/>
  <c r="D291" i="48"/>
  <c r="D292" i="48"/>
  <c r="D268" i="48"/>
  <c r="D269" i="48"/>
  <c r="D270" i="48"/>
  <c r="D271" i="48"/>
  <c r="D272" i="48"/>
  <c r="D273" i="48"/>
  <c r="D274" i="48"/>
  <c r="D275" i="48"/>
  <c r="D276" i="48"/>
  <c r="D277" i="48"/>
  <c r="D278" i="48"/>
  <c r="D279" i="48"/>
  <c r="D280" i="48"/>
  <c r="D281" i="48"/>
  <c r="D282" i="48"/>
  <c r="D283" i="48"/>
  <c r="D227" i="48"/>
  <c r="D467" i="48"/>
  <c r="D468" i="48"/>
  <c r="D105" i="48"/>
  <c r="D228" i="48"/>
  <c r="D229" i="48"/>
  <c r="D230" i="48"/>
  <c r="D231" i="48"/>
  <c r="D232" i="48"/>
  <c r="D233" i="48"/>
  <c r="D234" i="48"/>
  <c r="D235" i="48"/>
  <c r="D236" i="48"/>
  <c r="D237" i="48"/>
  <c r="D238" i="48"/>
  <c r="D239" i="48"/>
  <c r="D240" i="48"/>
  <c r="D241" i="48"/>
  <c r="D242" i="48"/>
  <c r="D243" i="48"/>
  <c r="D244" i="48"/>
  <c r="D245" i="48"/>
  <c r="D246" i="48"/>
  <c r="D247" i="48"/>
  <c r="D248" i="48"/>
  <c r="D249" i="48"/>
  <c r="D250" i="48"/>
  <c r="D251" i="48"/>
  <c r="D211" i="48"/>
  <c r="D212" i="48"/>
  <c r="D213" i="48"/>
  <c r="D214" i="48"/>
  <c r="D215" i="48"/>
  <c r="D216" i="48"/>
  <c r="D217" i="48"/>
  <c r="D218" i="48"/>
  <c r="D219" i="48"/>
  <c r="D220" i="48"/>
  <c r="D221" i="48"/>
  <c r="D222" i="48"/>
  <c r="D223" i="48"/>
  <c r="D224" i="48"/>
  <c r="D225" i="48"/>
  <c r="D226" i="48"/>
  <c r="D81" i="48"/>
  <c r="D199" i="48"/>
  <c r="D433" i="48"/>
  <c r="D434" i="48"/>
  <c r="D435" i="48"/>
  <c r="D436" i="48"/>
  <c r="D437" i="48"/>
  <c r="D438" i="48"/>
  <c r="D439" i="48"/>
  <c r="D440" i="48"/>
  <c r="D441" i="48"/>
  <c r="D442" i="48"/>
  <c r="D161" i="48"/>
  <c r="D162" i="48"/>
  <c r="D398" i="48"/>
  <c r="D462" i="48"/>
  <c r="D151" i="48"/>
  <c r="R108" i="48"/>
  <c r="Q108" i="48"/>
  <c r="P108" i="48"/>
  <c r="L108" i="48"/>
  <c r="H108" i="48"/>
  <c r="H109" i="48"/>
  <c r="R109" i="48"/>
  <c r="Q109" i="48"/>
  <c r="P109" i="48"/>
  <c r="L109" i="48"/>
  <c r="P275" i="48"/>
  <c r="P276" i="48"/>
  <c r="P277" i="48"/>
  <c r="P278" i="48"/>
  <c r="P279" i="48"/>
  <c r="P280" i="48"/>
  <c r="P281" i="48"/>
  <c r="P282" i="48"/>
  <c r="R276" i="48"/>
  <c r="Q276" i="48"/>
  <c r="L276" i="48"/>
  <c r="H276" i="48"/>
  <c r="R366" i="48"/>
  <c r="Q366" i="48"/>
  <c r="P366" i="48"/>
  <c r="L366" i="48"/>
  <c r="H366" i="48"/>
  <c r="D366" i="48"/>
  <c r="R139" i="48"/>
  <c r="Q139" i="48"/>
  <c r="P139" i="48"/>
  <c r="L139" i="48"/>
  <c r="H139" i="48"/>
  <c r="X2" i="48"/>
  <c r="R10" i="48"/>
  <c r="R113" i="48"/>
  <c r="R114" i="48"/>
  <c r="R151" i="48"/>
  <c r="R152" i="48"/>
  <c r="R153" i="48"/>
  <c r="R154" i="48"/>
  <c r="R124" i="48"/>
  <c r="R125" i="48"/>
  <c r="R126" i="48"/>
  <c r="R127" i="48"/>
  <c r="R156" i="48"/>
  <c r="R462" i="48"/>
  <c r="R177" i="48"/>
  <c r="R263" i="48"/>
  <c r="R264" i="48"/>
  <c r="R265" i="48"/>
  <c r="R266" i="48"/>
  <c r="R461" i="48"/>
  <c r="R409" i="48"/>
  <c r="R336" i="48"/>
  <c r="R337" i="48"/>
  <c r="R338" i="48"/>
  <c r="R322" i="48"/>
  <c r="R323" i="48"/>
  <c r="R324" i="48"/>
  <c r="R325" i="48"/>
  <c r="R326" i="48"/>
  <c r="R327" i="48"/>
  <c r="R328" i="48"/>
  <c r="R329" i="48"/>
  <c r="R330" i="48"/>
  <c r="R331" i="48"/>
  <c r="R332" i="48"/>
  <c r="R333" i="48"/>
  <c r="R334" i="48"/>
  <c r="R335" i="48"/>
  <c r="R348" i="48"/>
  <c r="R349" i="48"/>
  <c r="R350" i="48"/>
  <c r="R351" i="48"/>
  <c r="R352" i="48"/>
  <c r="R353" i="48"/>
  <c r="R354" i="48"/>
  <c r="R355" i="48"/>
  <c r="R356" i="48"/>
  <c r="R357" i="48"/>
  <c r="R163" i="48"/>
  <c r="R465" i="48"/>
  <c r="R466" i="48"/>
  <c r="R399" i="48"/>
  <c r="R400" i="48"/>
  <c r="R284" i="48"/>
  <c r="R285" i="48"/>
  <c r="R286" i="48"/>
  <c r="R287" i="48"/>
  <c r="R288" i="48"/>
  <c r="R289" i="48"/>
  <c r="R290" i="48"/>
  <c r="R291" i="48"/>
  <c r="R292" i="48"/>
  <c r="R161" i="48"/>
  <c r="R162" i="48"/>
  <c r="R433" i="48"/>
  <c r="R434" i="48"/>
  <c r="R435" i="48"/>
  <c r="R436" i="48"/>
  <c r="R437" i="48"/>
  <c r="R438" i="48"/>
  <c r="R439" i="48"/>
  <c r="R440" i="48"/>
  <c r="R441" i="48"/>
  <c r="R442" i="48"/>
  <c r="R340" i="48"/>
  <c r="R341" i="48"/>
  <c r="R342" i="48"/>
  <c r="R343" i="48"/>
  <c r="R344" i="48"/>
  <c r="R345" i="48"/>
  <c r="R346" i="48"/>
  <c r="R347" i="48"/>
  <c r="R110" i="48"/>
  <c r="R452" i="48"/>
  <c r="R453" i="48"/>
  <c r="R454" i="48"/>
  <c r="R455" i="48"/>
  <c r="R268" i="48"/>
  <c r="R269" i="48"/>
  <c r="R270" i="48"/>
  <c r="R271" i="48"/>
  <c r="R272" i="48"/>
  <c r="R273" i="48"/>
  <c r="R274" i="48"/>
  <c r="R275" i="48"/>
  <c r="R277" i="48"/>
  <c r="R278" i="48"/>
  <c r="R279" i="48"/>
  <c r="R280" i="48"/>
  <c r="R281" i="48"/>
  <c r="R282" i="48"/>
  <c r="R283" i="48"/>
  <c r="R116" i="48"/>
  <c r="R407" i="48"/>
  <c r="R408" i="48"/>
  <c r="R169" i="48"/>
  <c r="R182" i="48"/>
  <c r="R183" i="48"/>
  <c r="R184" i="48"/>
  <c r="R185" i="48"/>
  <c r="R186" i="48"/>
  <c r="R187" i="48"/>
  <c r="R188" i="48"/>
  <c r="R189" i="48"/>
  <c r="R190" i="48"/>
  <c r="R191" i="48"/>
  <c r="R192" i="48"/>
  <c r="R193" i="48"/>
  <c r="R194" i="48"/>
  <c r="R195" i="48"/>
  <c r="R197" i="48"/>
  <c r="R198" i="48"/>
  <c r="R120" i="48"/>
  <c r="R121" i="48"/>
  <c r="R122" i="48"/>
  <c r="R123" i="48"/>
  <c r="R70" i="48"/>
  <c r="R105" i="48"/>
  <c r="R34" i="48"/>
  <c r="R35" i="48"/>
  <c r="R36" i="48"/>
  <c r="R37" i="48"/>
  <c r="R38" i="48"/>
  <c r="R39" i="48"/>
  <c r="R40" i="48"/>
  <c r="R41" i="48"/>
  <c r="R79" i="48"/>
  <c r="R80" i="48"/>
  <c r="R11" i="48"/>
  <c r="R12" i="48"/>
  <c r="R13" i="48"/>
  <c r="R14" i="48"/>
  <c r="R15" i="48"/>
  <c r="R16" i="48"/>
  <c r="R17" i="48"/>
  <c r="R18" i="48"/>
  <c r="R19" i="48"/>
  <c r="R20" i="48"/>
  <c r="R21" i="48"/>
  <c r="R22" i="48"/>
  <c r="R23" i="48"/>
  <c r="R24" i="48"/>
  <c r="R25" i="48"/>
  <c r="R26" i="48"/>
  <c r="R27" i="48"/>
  <c r="R28" i="48"/>
  <c r="R29" i="48"/>
  <c r="R160" i="48"/>
  <c r="R450" i="48"/>
  <c r="R128" i="48"/>
  <c r="R129" i="48"/>
  <c r="R130" i="48"/>
  <c r="R131" i="48"/>
  <c r="R132" i="48"/>
  <c r="R133" i="48"/>
  <c r="R134" i="48"/>
  <c r="R136" i="48"/>
  <c r="R137" i="48"/>
  <c r="R138" i="48"/>
  <c r="R140" i="48"/>
  <c r="R141" i="48"/>
  <c r="R142" i="48"/>
  <c r="R143" i="48"/>
  <c r="R144" i="48"/>
  <c r="R145" i="48"/>
  <c r="R146" i="48"/>
  <c r="R147" i="48"/>
  <c r="R148" i="48"/>
  <c r="R149" i="48"/>
  <c r="R150" i="48"/>
  <c r="R159" i="48"/>
  <c r="R252" i="48"/>
  <c r="R30" i="48"/>
  <c r="R31" i="48"/>
  <c r="R32" i="48"/>
  <c r="R33" i="48"/>
  <c r="R228" i="48"/>
  <c r="R229" i="48"/>
  <c r="R230" i="48"/>
  <c r="R231" i="48"/>
  <c r="R232" i="48"/>
  <c r="R233" i="48"/>
  <c r="R234" i="48"/>
  <c r="R235" i="48"/>
  <c r="R236" i="48"/>
  <c r="R237" i="48"/>
  <c r="R238" i="48"/>
  <c r="R239" i="48"/>
  <c r="R240" i="48"/>
  <c r="R241" i="48"/>
  <c r="R242" i="48"/>
  <c r="R243" i="48"/>
  <c r="R244" i="48"/>
  <c r="R245" i="48"/>
  <c r="R246" i="48"/>
  <c r="R247" i="48"/>
  <c r="R248" i="48"/>
  <c r="R249" i="48"/>
  <c r="R250" i="48"/>
  <c r="R251" i="48"/>
  <c r="R81" i="48"/>
  <c r="R7" i="48"/>
  <c r="R9" i="48"/>
  <c r="R201" i="48"/>
  <c r="R202" i="48"/>
  <c r="R203" i="48"/>
  <c r="R204" i="48"/>
  <c r="R205" i="48"/>
  <c r="R206" i="48"/>
  <c r="R207" i="48"/>
  <c r="R208" i="48"/>
  <c r="R209" i="48"/>
  <c r="R210" i="48"/>
  <c r="R44" i="48"/>
  <c r="R45" i="48"/>
  <c r="R46" i="48"/>
  <c r="R47" i="48"/>
  <c r="R48" i="48"/>
  <c r="R49" i="48"/>
  <c r="R50" i="48"/>
  <c r="R51" i="48"/>
  <c r="R52" i="48"/>
  <c r="R200" i="48"/>
  <c r="R117" i="48"/>
  <c r="R118" i="48"/>
  <c r="R119" i="48"/>
  <c r="R106" i="48"/>
  <c r="R107" i="48"/>
  <c r="R178" i="48"/>
  <c r="R179" i="48"/>
  <c r="R157" i="48"/>
  <c r="R158" i="48"/>
  <c r="R401" i="48"/>
  <c r="R402" i="48"/>
  <c r="R403" i="48"/>
  <c r="R404" i="48"/>
  <c r="R405" i="48"/>
  <c r="R406" i="48"/>
  <c r="R448" i="48"/>
  <c r="R449" i="48"/>
  <c r="R155" i="48"/>
  <c r="R464" i="48"/>
  <c r="R463" i="48"/>
  <c r="R304" i="48"/>
  <c r="R305" i="48"/>
  <c r="R306" i="48"/>
  <c r="R307" i="48"/>
  <c r="R308" i="48"/>
  <c r="R309" i="48"/>
  <c r="R310" i="48"/>
  <c r="R311" i="48"/>
  <c r="R312" i="48"/>
  <c r="R313" i="48"/>
  <c r="R314" i="48"/>
  <c r="R315" i="48"/>
  <c r="R316" i="48"/>
  <c r="R317" i="48"/>
  <c r="R318" i="48"/>
  <c r="R319" i="48"/>
  <c r="R320" i="48"/>
  <c r="R321" i="48"/>
  <c r="R164" i="48"/>
  <c r="R165" i="48"/>
  <c r="R73" i="48"/>
  <c r="R74" i="48"/>
  <c r="R75" i="48"/>
  <c r="R76" i="48"/>
  <c r="R267" i="48"/>
  <c r="R170" i="48"/>
  <c r="R358" i="48"/>
  <c r="R359" i="48"/>
  <c r="R360" i="48"/>
  <c r="R361" i="48"/>
  <c r="R362" i="48"/>
  <c r="R363" i="48"/>
  <c r="R364" i="48"/>
  <c r="R365" i="48"/>
  <c r="R367" i="48"/>
  <c r="R368" i="48"/>
  <c r="R369" i="48"/>
  <c r="R370" i="48"/>
  <c r="R371" i="48"/>
  <c r="R82" i="48"/>
  <c r="R83" i="48"/>
  <c r="R84" i="48"/>
  <c r="R85" i="48"/>
  <c r="R86" i="48"/>
  <c r="R87" i="48"/>
  <c r="R88" i="48"/>
  <c r="R89" i="48"/>
  <c r="R90" i="48"/>
  <c r="R91" i="48"/>
  <c r="R92" i="48"/>
  <c r="R93" i="48"/>
  <c r="R94" i="48"/>
  <c r="R95" i="48"/>
  <c r="R96" i="48"/>
  <c r="R97" i="48"/>
  <c r="R98" i="48"/>
  <c r="R99" i="48"/>
  <c r="R100" i="48"/>
  <c r="R101" i="48"/>
  <c r="R102" i="48"/>
  <c r="R103" i="48"/>
  <c r="R104" i="48"/>
  <c r="R173" i="48"/>
  <c r="R174" i="48"/>
  <c r="R175" i="48"/>
  <c r="R176" i="48"/>
  <c r="R411" i="48"/>
  <c r="R412" i="48"/>
  <c r="R413" i="48"/>
  <c r="R77" i="48"/>
  <c r="R414" i="48"/>
  <c r="R415" i="48"/>
  <c r="R416" i="48"/>
  <c r="R417" i="48"/>
  <c r="R418" i="48"/>
  <c r="R419" i="48"/>
  <c r="R420" i="48"/>
  <c r="R421" i="48"/>
  <c r="R422" i="48"/>
  <c r="R423" i="48"/>
  <c r="R424" i="48"/>
  <c r="R425" i="48"/>
  <c r="R426" i="48"/>
  <c r="R427" i="48"/>
  <c r="R428" i="48"/>
  <c r="R429" i="48"/>
  <c r="R430" i="48"/>
  <c r="R431" i="48"/>
  <c r="R432" i="48"/>
  <c r="R339" i="48"/>
  <c r="R171" i="48"/>
  <c r="R172" i="48"/>
  <c r="R78" i="48"/>
  <c r="R199" i="48"/>
  <c r="R410" i="48"/>
  <c r="R180" i="48"/>
  <c r="R181" i="48"/>
  <c r="R227" i="48"/>
  <c r="R460" i="48"/>
  <c r="R293" i="48"/>
  <c r="R294" i="48"/>
  <c r="R295" i="48"/>
  <c r="R296" i="48"/>
  <c r="R297" i="48"/>
  <c r="R298" i="48"/>
  <c r="R299" i="48"/>
  <c r="R300" i="48"/>
  <c r="R301" i="48"/>
  <c r="R302" i="48"/>
  <c r="R303" i="48"/>
  <c r="R166" i="48"/>
  <c r="R167" i="48"/>
  <c r="R168" i="48"/>
  <c r="R42" i="48"/>
  <c r="R43" i="48"/>
  <c r="R372" i="48"/>
  <c r="R373" i="48"/>
  <c r="R374" i="48"/>
  <c r="R375" i="48"/>
  <c r="R376" i="48"/>
  <c r="R377" i="48"/>
  <c r="R378" i="48"/>
  <c r="R379" i="48"/>
  <c r="R380" i="48"/>
  <c r="R381" i="48"/>
  <c r="R382" i="48"/>
  <c r="R383" i="48"/>
  <c r="R384" i="48"/>
  <c r="R385" i="48"/>
  <c r="R386" i="48"/>
  <c r="R387" i="48"/>
  <c r="R388" i="48"/>
  <c r="R389" i="48"/>
  <c r="R390" i="48"/>
  <c r="R53" i="48"/>
  <c r="R54" i="48"/>
  <c r="R55" i="48"/>
  <c r="R56" i="48"/>
  <c r="R57" i="48"/>
  <c r="R58" i="48"/>
  <c r="R59" i="48"/>
  <c r="R61" i="48"/>
  <c r="R62" i="48"/>
  <c r="R63" i="48"/>
  <c r="R64" i="48"/>
  <c r="R65" i="48"/>
  <c r="R66" i="48"/>
  <c r="R67" i="48"/>
  <c r="R68" i="48"/>
  <c r="R69" i="48"/>
  <c r="R211" i="48"/>
  <c r="R212" i="48"/>
  <c r="R213" i="48"/>
  <c r="R214" i="48"/>
  <c r="R215" i="48"/>
  <c r="R216" i="48"/>
  <c r="R217" i="48"/>
  <c r="R218" i="48"/>
  <c r="R219" i="48"/>
  <c r="R220" i="48"/>
  <c r="R221" i="48"/>
  <c r="R222" i="48"/>
  <c r="R223" i="48"/>
  <c r="R224" i="48"/>
  <c r="R225" i="48"/>
  <c r="R226" i="48"/>
  <c r="R459" i="48"/>
  <c r="R456" i="48"/>
  <c r="R457" i="48"/>
  <c r="R458" i="48"/>
  <c r="R111" i="48"/>
  <c r="R112" i="48"/>
  <c r="R443" i="48"/>
  <c r="R444" i="48"/>
  <c r="R445" i="48"/>
  <c r="R446" i="48"/>
  <c r="R447" i="48"/>
  <c r="R467" i="48"/>
  <c r="R468" i="48"/>
  <c r="R391" i="48"/>
  <c r="R392" i="48"/>
  <c r="R393" i="48"/>
  <c r="R394" i="48"/>
  <c r="R395" i="48"/>
  <c r="R396" i="48"/>
  <c r="R397" i="48"/>
  <c r="R398" i="48"/>
  <c r="R451" i="48"/>
  <c r="R253" i="48"/>
  <c r="R254" i="48"/>
  <c r="R255" i="48"/>
  <c r="R256" i="48"/>
  <c r="R257" i="48"/>
  <c r="R258" i="48"/>
  <c r="R259" i="48"/>
  <c r="R260" i="48"/>
  <c r="R261" i="48"/>
  <c r="R262" i="48"/>
  <c r="R71" i="48"/>
  <c r="R72" i="48"/>
  <c r="R115" i="48"/>
  <c r="Q10" i="48"/>
  <c r="Q113" i="48"/>
  <c r="Q114" i="48"/>
  <c r="Q152" i="48"/>
  <c r="Q153" i="48"/>
  <c r="Q154" i="48"/>
  <c r="Q125" i="48"/>
  <c r="Q126" i="48"/>
  <c r="Q127" i="48"/>
  <c r="Q177" i="48"/>
  <c r="Q264" i="48"/>
  <c r="Q265" i="48"/>
  <c r="Q266" i="48"/>
  <c r="Q336" i="48"/>
  <c r="Q328" i="48"/>
  <c r="Q329" i="48"/>
  <c r="Q330" i="48"/>
  <c r="Q331" i="48"/>
  <c r="Q332" i="48"/>
  <c r="Q333" i="48"/>
  <c r="Q334" i="48"/>
  <c r="Q335" i="48"/>
  <c r="Q351" i="48"/>
  <c r="Q352" i="48"/>
  <c r="Q353" i="48"/>
  <c r="Q354" i="48"/>
  <c r="Q355" i="48"/>
  <c r="Q356" i="48"/>
  <c r="Q357" i="48"/>
  <c r="Q289" i="48"/>
  <c r="Q290" i="48"/>
  <c r="Q291" i="48"/>
  <c r="Q292" i="48"/>
  <c r="Q162" i="48"/>
  <c r="Q438" i="48"/>
  <c r="Q439" i="48"/>
  <c r="Q440" i="48"/>
  <c r="Q441" i="48"/>
  <c r="Q442" i="48"/>
  <c r="Q345" i="48"/>
  <c r="Q346" i="48"/>
  <c r="Q347" i="48"/>
  <c r="Q110" i="48"/>
  <c r="Q455" i="48"/>
  <c r="Q274" i="48"/>
  <c r="Q275" i="48"/>
  <c r="Q277" i="48"/>
  <c r="Q278" i="48"/>
  <c r="Q279" i="48"/>
  <c r="Q280" i="48"/>
  <c r="Q281" i="48"/>
  <c r="Q282" i="48"/>
  <c r="Q283" i="48"/>
  <c r="Q116" i="48"/>
  <c r="Q408" i="48"/>
  <c r="Q187" i="48"/>
  <c r="Q188" i="48"/>
  <c r="Q189" i="48"/>
  <c r="Q190" i="48"/>
  <c r="Q191" i="48"/>
  <c r="Q192" i="48"/>
  <c r="Q193" i="48"/>
  <c r="Q194" i="48"/>
  <c r="Q195" i="48"/>
  <c r="Q197" i="48"/>
  <c r="Q198" i="48"/>
  <c r="Q120" i="48"/>
  <c r="Q121" i="48"/>
  <c r="Q122" i="48"/>
  <c r="Q70" i="48"/>
  <c r="Q105" i="48"/>
  <c r="Q38" i="48"/>
  <c r="Q39" i="48"/>
  <c r="Q40" i="48"/>
  <c r="Q41" i="48"/>
  <c r="Q79" i="48"/>
  <c r="Q80" i="48"/>
  <c r="Q17" i="48"/>
  <c r="Q18" i="48"/>
  <c r="Q19" i="48"/>
  <c r="Q20" i="48"/>
  <c r="Q21" i="48"/>
  <c r="Q22" i="48"/>
  <c r="Q23" i="48"/>
  <c r="Q24" i="48"/>
  <c r="Q25" i="48"/>
  <c r="Q26" i="48"/>
  <c r="Q27" i="48"/>
  <c r="Q28" i="48"/>
  <c r="Q29" i="48"/>
  <c r="Q450" i="48"/>
  <c r="Q136" i="48"/>
  <c r="Q137" i="48"/>
  <c r="Q138" i="48"/>
  <c r="Q140" i="48"/>
  <c r="Q141" i="48"/>
  <c r="Q142" i="48"/>
  <c r="Q143" i="48"/>
  <c r="Q144" i="48"/>
  <c r="Q145" i="48"/>
  <c r="Q146" i="48"/>
  <c r="Q147" i="48"/>
  <c r="Q148" i="48"/>
  <c r="Q149" i="48"/>
  <c r="Q150" i="48"/>
  <c r="Q159" i="48"/>
  <c r="Q240" i="48"/>
  <c r="Q241" i="48"/>
  <c r="Q242" i="48"/>
  <c r="Q243" i="48"/>
  <c r="Q244" i="48"/>
  <c r="Q245" i="48"/>
  <c r="Q246" i="48"/>
  <c r="Q247" i="48"/>
  <c r="Q248" i="48"/>
  <c r="Q249" i="48"/>
  <c r="Q250" i="48"/>
  <c r="Q251" i="48"/>
  <c r="Q7" i="48"/>
  <c r="Q9" i="48"/>
  <c r="Q205" i="48"/>
  <c r="Q206" i="48"/>
  <c r="Q207" i="48"/>
  <c r="Q208" i="48"/>
  <c r="Q209" i="48"/>
  <c r="Q210" i="48"/>
  <c r="Q48" i="48"/>
  <c r="Q49" i="48"/>
  <c r="Q50" i="48"/>
  <c r="Q51" i="48"/>
  <c r="Q52" i="48"/>
  <c r="Q200" i="48"/>
  <c r="Q117" i="48"/>
  <c r="Q118" i="48"/>
  <c r="Q119" i="48"/>
  <c r="Q106" i="48"/>
  <c r="Q107" i="48"/>
  <c r="Q178" i="48"/>
  <c r="Q179" i="48"/>
  <c r="Q157" i="48"/>
  <c r="Q158" i="48"/>
  <c r="Q405" i="48"/>
  <c r="Q406" i="48"/>
  <c r="Q448" i="48"/>
  <c r="Q449" i="48"/>
  <c r="Q311" i="48"/>
  <c r="Q312" i="48"/>
  <c r="Q313" i="48"/>
  <c r="Q314" i="48"/>
  <c r="Q315" i="48"/>
  <c r="Q316" i="48"/>
  <c r="Q317" i="48"/>
  <c r="Q318" i="48"/>
  <c r="Q319" i="48"/>
  <c r="Q320" i="48"/>
  <c r="Q321" i="48"/>
  <c r="Q73" i="48"/>
  <c r="Q74" i="48"/>
  <c r="Q75" i="48"/>
  <c r="Q76" i="48"/>
  <c r="Q364" i="48"/>
  <c r="Q365" i="48"/>
  <c r="Q368" i="48"/>
  <c r="Q369" i="48"/>
  <c r="Q370" i="48"/>
  <c r="Q371" i="48"/>
  <c r="Q91" i="48"/>
  <c r="Q92" i="48"/>
  <c r="Q93" i="48"/>
  <c r="Q94" i="48"/>
  <c r="Q95" i="48"/>
  <c r="Q96" i="48"/>
  <c r="Q97" i="48"/>
  <c r="Q98" i="48"/>
  <c r="Q99" i="48"/>
  <c r="Q100" i="48"/>
  <c r="Q101" i="48"/>
  <c r="Q102" i="48"/>
  <c r="Q103" i="48"/>
  <c r="Q104" i="48"/>
  <c r="Q173" i="48"/>
  <c r="Q174" i="48"/>
  <c r="Q175" i="48"/>
  <c r="Q176" i="48"/>
  <c r="Q411" i="48"/>
  <c r="Q77" i="48"/>
  <c r="Q423" i="48"/>
  <c r="Q424" i="48"/>
  <c r="Q425" i="48"/>
  <c r="Q426" i="48"/>
  <c r="Q427" i="48"/>
  <c r="Q428" i="48"/>
  <c r="Q429" i="48"/>
  <c r="Q430" i="48"/>
  <c r="Q431" i="48"/>
  <c r="Q432" i="48"/>
  <c r="Q339" i="48"/>
  <c r="Q171" i="48"/>
  <c r="Q172" i="48"/>
  <c r="Q78" i="48"/>
  <c r="Q180" i="48"/>
  <c r="Q181" i="48"/>
  <c r="Q297" i="48"/>
  <c r="Q298" i="48"/>
  <c r="Q299" i="48"/>
  <c r="Q300" i="48"/>
  <c r="Q301" i="48"/>
  <c r="Q302" i="48"/>
  <c r="Q303" i="48"/>
  <c r="Q168" i="48"/>
  <c r="Q43" i="48"/>
  <c r="Q380" i="48"/>
  <c r="Q381" i="48"/>
  <c r="Q382" i="48"/>
  <c r="Q383" i="48"/>
  <c r="Q384" i="48"/>
  <c r="Q385" i="48"/>
  <c r="Q386" i="48"/>
  <c r="Q387" i="48"/>
  <c r="Q388" i="48"/>
  <c r="Q389" i="48"/>
  <c r="Q390" i="48"/>
  <c r="Q61" i="48"/>
  <c r="Q62" i="48"/>
  <c r="Q63" i="48"/>
  <c r="Q64" i="48"/>
  <c r="Q65" i="48"/>
  <c r="Q66" i="48"/>
  <c r="Q67" i="48"/>
  <c r="Q68" i="48"/>
  <c r="Q69" i="48"/>
  <c r="Q218" i="48"/>
  <c r="Q219" i="48"/>
  <c r="Q220" i="48"/>
  <c r="Q221" i="48"/>
  <c r="Q222" i="48"/>
  <c r="Q223" i="48"/>
  <c r="Q224" i="48"/>
  <c r="Q225" i="48"/>
  <c r="Q226" i="48"/>
  <c r="Q458" i="48"/>
  <c r="Q112" i="48"/>
  <c r="Q445" i="48"/>
  <c r="Q446" i="48"/>
  <c r="Q447" i="48"/>
  <c r="Q397" i="48"/>
  <c r="Q398" i="48"/>
  <c r="Q451" i="48"/>
  <c r="Q257" i="48"/>
  <c r="Q258" i="48"/>
  <c r="Q259" i="48"/>
  <c r="Q260" i="48"/>
  <c r="Q261" i="48"/>
  <c r="Q262" i="48"/>
  <c r="Q71" i="48"/>
  <c r="Q72" i="48"/>
  <c r="P10" i="48"/>
  <c r="P113" i="48"/>
  <c r="P114" i="48"/>
  <c r="P151" i="48"/>
  <c r="P152" i="48"/>
  <c r="P153" i="48"/>
  <c r="P154" i="48"/>
  <c r="P124" i="48"/>
  <c r="P125" i="48"/>
  <c r="P126" i="48"/>
  <c r="P127" i="48"/>
  <c r="P156" i="48"/>
  <c r="P462" i="48"/>
  <c r="P177" i="48"/>
  <c r="P263" i="48"/>
  <c r="P264" i="48"/>
  <c r="P265" i="48"/>
  <c r="P266" i="48"/>
  <c r="P461" i="48"/>
  <c r="P409" i="48"/>
  <c r="P336" i="48"/>
  <c r="P337" i="48"/>
  <c r="P338" i="48"/>
  <c r="P322" i="48"/>
  <c r="P323" i="48"/>
  <c r="P324" i="48"/>
  <c r="P325" i="48"/>
  <c r="P326" i="48"/>
  <c r="P327" i="48"/>
  <c r="P328" i="48"/>
  <c r="P329" i="48"/>
  <c r="P330" i="48"/>
  <c r="P331" i="48"/>
  <c r="P332" i="48"/>
  <c r="P333" i="48"/>
  <c r="P334" i="48"/>
  <c r="P335" i="48"/>
  <c r="P348" i="48"/>
  <c r="P349" i="48"/>
  <c r="P350" i="48"/>
  <c r="P351" i="48"/>
  <c r="P352" i="48"/>
  <c r="P353" i="48"/>
  <c r="P354" i="48"/>
  <c r="P355" i="48"/>
  <c r="P356" i="48"/>
  <c r="P357" i="48"/>
  <c r="P163" i="48"/>
  <c r="P465" i="48"/>
  <c r="P466" i="48"/>
  <c r="P399" i="48"/>
  <c r="P400" i="48"/>
  <c r="P284" i="48"/>
  <c r="P285" i="48"/>
  <c r="P286" i="48"/>
  <c r="P287" i="48"/>
  <c r="P288" i="48"/>
  <c r="P289" i="48"/>
  <c r="P290" i="48"/>
  <c r="P291" i="48"/>
  <c r="P292" i="48"/>
  <c r="P161" i="48"/>
  <c r="P162" i="48"/>
  <c r="P433" i="48"/>
  <c r="P434" i="48"/>
  <c r="P435" i="48"/>
  <c r="P436" i="48"/>
  <c r="P437" i="48"/>
  <c r="P438" i="48"/>
  <c r="P439" i="48"/>
  <c r="P440" i="48"/>
  <c r="P441" i="48"/>
  <c r="P442" i="48"/>
  <c r="P340" i="48"/>
  <c r="P341" i="48"/>
  <c r="P342" i="48"/>
  <c r="P343" i="48"/>
  <c r="P344" i="48"/>
  <c r="P345" i="48"/>
  <c r="P346" i="48"/>
  <c r="P347" i="48"/>
  <c r="P110" i="48"/>
  <c r="P452" i="48"/>
  <c r="P453" i="48"/>
  <c r="P454" i="48"/>
  <c r="P455" i="48"/>
  <c r="P268" i="48"/>
  <c r="P269" i="48"/>
  <c r="P270" i="48"/>
  <c r="P271" i="48"/>
  <c r="P272" i="48"/>
  <c r="P273" i="48"/>
  <c r="P274" i="48"/>
  <c r="P283" i="48"/>
  <c r="P116" i="48"/>
  <c r="P407" i="48"/>
  <c r="P408" i="48"/>
  <c r="P169" i="48"/>
  <c r="P182" i="48"/>
  <c r="P183" i="48"/>
  <c r="P184" i="48"/>
  <c r="P185" i="48"/>
  <c r="P186" i="48"/>
  <c r="P187" i="48"/>
  <c r="P188" i="48"/>
  <c r="P189" i="48"/>
  <c r="P190" i="48"/>
  <c r="P191" i="48"/>
  <c r="P192" i="48"/>
  <c r="P193" i="48"/>
  <c r="P194" i="48"/>
  <c r="P195" i="48"/>
  <c r="P198" i="48"/>
  <c r="P120" i="48"/>
  <c r="P121" i="48"/>
  <c r="P122" i="48"/>
  <c r="P123" i="48"/>
  <c r="P70" i="48"/>
  <c r="P105" i="48"/>
  <c r="P34" i="48"/>
  <c r="P35" i="48"/>
  <c r="P36" i="48"/>
  <c r="P37" i="48"/>
  <c r="P38" i="48"/>
  <c r="P39" i="48"/>
  <c r="P40" i="48"/>
  <c r="P41" i="48"/>
  <c r="P79" i="48"/>
  <c r="P80" i="48"/>
  <c r="P11" i="48"/>
  <c r="P12" i="48"/>
  <c r="P13" i="48"/>
  <c r="P14" i="48"/>
  <c r="P15" i="48"/>
  <c r="P16" i="48"/>
  <c r="P17" i="48"/>
  <c r="P18" i="48"/>
  <c r="P19" i="48"/>
  <c r="P20" i="48"/>
  <c r="P21" i="48"/>
  <c r="P22" i="48"/>
  <c r="P23" i="48"/>
  <c r="P24" i="48"/>
  <c r="P25" i="48"/>
  <c r="P26" i="48"/>
  <c r="P27" i="48"/>
  <c r="P28" i="48"/>
  <c r="P29" i="48"/>
  <c r="P160" i="48"/>
  <c r="P450" i="48"/>
  <c r="P128" i="48"/>
  <c r="P129" i="48"/>
  <c r="P130" i="48"/>
  <c r="P131" i="48"/>
  <c r="P132" i="48"/>
  <c r="P133" i="48"/>
  <c r="P134" i="48"/>
  <c r="P136" i="48"/>
  <c r="P137" i="48"/>
  <c r="P138" i="48"/>
  <c r="P140" i="48"/>
  <c r="P141" i="48"/>
  <c r="P142" i="48"/>
  <c r="P143" i="48"/>
  <c r="P144" i="48"/>
  <c r="P145" i="48"/>
  <c r="P146" i="48"/>
  <c r="P147" i="48"/>
  <c r="P148" i="48"/>
  <c r="P149" i="48"/>
  <c r="P150" i="48"/>
  <c r="P159" i="48"/>
  <c r="P252" i="48"/>
  <c r="P30" i="48"/>
  <c r="P31" i="48"/>
  <c r="P32" i="48"/>
  <c r="P33" i="48"/>
  <c r="P228" i="48"/>
  <c r="P229" i="48"/>
  <c r="P230" i="48"/>
  <c r="P231" i="48"/>
  <c r="P232" i="48"/>
  <c r="P233" i="48"/>
  <c r="P234" i="48"/>
  <c r="P235" i="48"/>
  <c r="P236" i="48"/>
  <c r="P237" i="48"/>
  <c r="P238" i="48"/>
  <c r="P239" i="48"/>
  <c r="P240" i="48"/>
  <c r="P241" i="48"/>
  <c r="P242" i="48"/>
  <c r="P243" i="48"/>
  <c r="P244" i="48"/>
  <c r="P245" i="48"/>
  <c r="P246" i="48"/>
  <c r="P247" i="48"/>
  <c r="P248" i="48"/>
  <c r="P249" i="48"/>
  <c r="P250" i="48"/>
  <c r="P251" i="48"/>
  <c r="P81" i="48"/>
  <c r="P7" i="48"/>
  <c r="P9" i="48"/>
  <c r="P201" i="48"/>
  <c r="P202" i="48"/>
  <c r="P203" i="48"/>
  <c r="P204" i="48"/>
  <c r="P205" i="48"/>
  <c r="P206" i="48"/>
  <c r="P207" i="48"/>
  <c r="P208" i="48"/>
  <c r="P209" i="48"/>
  <c r="P210" i="48"/>
  <c r="P44" i="48"/>
  <c r="P45" i="48"/>
  <c r="P46" i="48"/>
  <c r="P47" i="48"/>
  <c r="P48" i="48"/>
  <c r="P49" i="48"/>
  <c r="P50" i="48"/>
  <c r="P51" i="48"/>
  <c r="P52" i="48"/>
  <c r="P200" i="48"/>
  <c r="P117" i="48"/>
  <c r="P118" i="48"/>
  <c r="P119" i="48"/>
  <c r="P106" i="48"/>
  <c r="P107" i="48"/>
  <c r="P178" i="48"/>
  <c r="P179" i="48"/>
  <c r="P157" i="48"/>
  <c r="P158" i="48"/>
  <c r="P401" i="48"/>
  <c r="P402" i="48"/>
  <c r="P403" i="48"/>
  <c r="P404" i="48"/>
  <c r="P405" i="48"/>
  <c r="P406" i="48"/>
  <c r="P448" i="48"/>
  <c r="P449" i="48"/>
  <c r="P155" i="48"/>
  <c r="P464" i="48"/>
  <c r="P463" i="48"/>
  <c r="P304" i="48"/>
  <c r="P305" i="48"/>
  <c r="P306" i="48"/>
  <c r="P307" i="48"/>
  <c r="P308" i="48"/>
  <c r="P309" i="48"/>
  <c r="P310" i="48"/>
  <c r="P311" i="48"/>
  <c r="P312" i="48"/>
  <c r="P313" i="48"/>
  <c r="P314" i="48"/>
  <c r="P315" i="48"/>
  <c r="P316" i="48"/>
  <c r="P317" i="48"/>
  <c r="P318" i="48"/>
  <c r="P319" i="48"/>
  <c r="P320" i="48"/>
  <c r="P321" i="48"/>
  <c r="P164" i="48"/>
  <c r="P165" i="48"/>
  <c r="P73" i="48"/>
  <c r="P74" i="48"/>
  <c r="P75" i="48"/>
  <c r="P76" i="48"/>
  <c r="P267" i="48"/>
  <c r="P170" i="48"/>
  <c r="P358" i="48"/>
  <c r="P359" i="48"/>
  <c r="P360" i="48"/>
  <c r="P361" i="48"/>
  <c r="P362" i="48"/>
  <c r="P363" i="48"/>
  <c r="P364" i="48"/>
  <c r="P365" i="48"/>
  <c r="P367" i="48"/>
  <c r="P368" i="48"/>
  <c r="P369" i="48"/>
  <c r="P370" i="48"/>
  <c r="P371" i="48"/>
  <c r="P82" i="48"/>
  <c r="P83" i="48"/>
  <c r="P84" i="48"/>
  <c r="P85" i="48"/>
  <c r="P86" i="48"/>
  <c r="P87" i="48"/>
  <c r="P88" i="48"/>
  <c r="P89" i="48"/>
  <c r="P90" i="48"/>
  <c r="P91" i="48"/>
  <c r="P92" i="48"/>
  <c r="P93" i="48"/>
  <c r="P94" i="48"/>
  <c r="P95" i="48"/>
  <c r="P96" i="48"/>
  <c r="P97" i="48"/>
  <c r="P98" i="48"/>
  <c r="P99" i="48"/>
  <c r="P100" i="48"/>
  <c r="P101" i="48"/>
  <c r="P102" i="48"/>
  <c r="P103" i="48"/>
  <c r="P104" i="48"/>
  <c r="P173" i="48"/>
  <c r="P174" i="48"/>
  <c r="P175" i="48"/>
  <c r="P176" i="48"/>
  <c r="P411" i="48"/>
  <c r="P412" i="48"/>
  <c r="P413" i="48"/>
  <c r="P77" i="48"/>
  <c r="P414" i="48"/>
  <c r="P415" i="48"/>
  <c r="P416" i="48"/>
  <c r="P417" i="48"/>
  <c r="P418" i="48"/>
  <c r="P419" i="48"/>
  <c r="P420" i="48"/>
  <c r="P421" i="48"/>
  <c r="P422" i="48"/>
  <c r="P423" i="48"/>
  <c r="P424" i="48"/>
  <c r="P425" i="48"/>
  <c r="P426" i="48"/>
  <c r="P427" i="48"/>
  <c r="P428" i="48"/>
  <c r="P429" i="48"/>
  <c r="P430" i="48"/>
  <c r="P431" i="48"/>
  <c r="P432" i="48"/>
  <c r="P339" i="48"/>
  <c r="P171" i="48"/>
  <c r="P172" i="48"/>
  <c r="P78" i="48"/>
  <c r="P199" i="48"/>
  <c r="P410" i="48"/>
  <c r="P180" i="48"/>
  <c r="P181" i="48"/>
  <c r="P227" i="48"/>
  <c r="P460" i="48"/>
  <c r="P293" i="48"/>
  <c r="P294" i="48"/>
  <c r="P295" i="48"/>
  <c r="P296" i="48"/>
  <c r="P297" i="48"/>
  <c r="P298" i="48"/>
  <c r="P299" i="48"/>
  <c r="P300" i="48"/>
  <c r="P301" i="48"/>
  <c r="P302" i="48"/>
  <c r="P303" i="48"/>
  <c r="P166" i="48"/>
  <c r="P167" i="48"/>
  <c r="P168" i="48"/>
  <c r="P42" i="48"/>
  <c r="P43" i="48"/>
  <c r="P372" i="48"/>
  <c r="P373" i="48"/>
  <c r="P374" i="48"/>
  <c r="P375" i="48"/>
  <c r="P376" i="48"/>
  <c r="P377" i="48"/>
  <c r="P378" i="48"/>
  <c r="P379" i="48"/>
  <c r="P380" i="48"/>
  <c r="P381" i="48"/>
  <c r="P382" i="48"/>
  <c r="P383" i="48"/>
  <c r="P384" i="48"/>
  <c r="P385" i="48"/>
  <c r="P386" i="48"/>
  <c r="P387" i="48"/>
  <c r="P388" i="48"/>
  <c r="P389" i="48"/>
  <c r="P390" i="48"/>
  <c r="P53" i="48"/>
  <c r="P54" i="48"/>
  <c r="P55" i="48"/>
  <c r="P56" i="48"/>
  <c r="P57" i="48"/>
  <c r="P58" i="48"/>
  <c r="P59" i="48"/>
  <c r="P61" i="48"/>
  <c r="P62" i="48"/>
  <c r="P63" i="48"/>
  <c r="P64" i="48"/>
  <c r="P65" i="48"/>
  <c r="P66" i="48"/>
  <c r="P67" i="48"/>
  <c r="P68" i="48"/>
  <c r="P69" i="48"/>
  <c r="P211" i="48"/>
  <c r="P212" i="48"/>
  <c r="P213" i="48"/>
  <c r="P214" i="48"/>
  <c r="P215" i="48"/>
  <c r="P216" i="48"/>
  <c r="P217" i="48"/>
  <c r="P218" i="48"/>
  <c r="P219" i="48"/>
  <c r="P220" i="48"/>
  <c r="P221" i="48"/>
  <c r="P222" i="48"/>
  <c r="P223" i="48"/>
  <c r="P224" i="48"/>
  <c r="P225" i="48"/>
  <c r="P226" i="48"/>
  <c r="P459" i="48"/>
  <c r="P456" i="48"/>
  <c r="P457" i="48"/>
  <c r="P458" i="48"/>
  <c r="P111" i="48"/>
  <c r="P112" i="48"/>
  <c r="P443" i="48"/>
  <c r="P444" i="48"/>
  <c r="P445" i="48"/>
  <c r="P446" i="48"/>
  <c r="P447" i="48"/>
  <c r="P467" i="48"/>
  <c r="P468" i="48"/>
  <c r="P391" i="48"/>
  <c r="P392" i="48"/>
  <c r="P393" i="48"/>
  <c r="P394" i="48"/>
  <c r="P395" i="48"/>
  <c r="P396" i="48"/>
  <c r="P397" i="48"/>
  <c r="P398" i="48"/>
  <c r="P451" i="48"/>
  <c r="P253" i="48"/>
  <c r="P254" i="48"/>
  <c r="P255" i="48"/>
  <c r="P256" i="48"/>
  <c r="P257" i="48"/>
  <c r="P258" i="48"/>
  <c r="P259" i="48"/>
  <c r="P260" i="48"/>
  <c r="P261" i="48"/>
  <c r="P262" i="48"/>
  <c r="P71" i="48"/>
  <c r="P72" i="48"/>
  <c r="P115" i="48"/>
  <c r="L10" i="48"/>
  <c r="L113" i="48"/>
  <c r="L114" i="48"/>
  <c r="L151" i="48"/>
  <c r="L152" i="48"/>
  <c r="L153" i="48"/>
  <c r="L154" i="48"/>
  <c r="L124" i="48"/>
  <c r="L125" i="48"/>
  <c r="L126" i="48"/>
  <c r="L127" i="48"/>
  <c r="L156" i="48"/>
  <c r="L462" i="48"/>
  <c r="L177" i="48"/>
  <c r="L263" i="48"/>
  <c r="L264" i="48"/>
  <c r="L265" i="48"/>
  <c r="L266" i="48"/>
  <c r="L461" i="48"/>
  <c r="L409" i="48"/>
  <c r="L336" i="48"/>
  <c r="L337" i="48"/>
  <c r="L338" i="48"/>
  <c r="L322" i="48"/>
  <c r="L323" i="48"/>
  <c r="L324" i="48"/>
  <c r="L325" i="48"/>
  <c r="L326" i="48"/>
  <c r="L327" i="48"/>
  <c r="L328" i="48"/>
  <c r="L329" i="48"/>
  <c r="L330" i="48"/>
  <c r="L331" i="48"/>
  <c r="L332" i="48"/>
  <c r="L333" i="48"/>
  <c r="L334" i="48"/>
  <c r="L335" i="48"/>
  <c r="L348" i="48"/>
  <c r="L349" i="48"/>
  <c r="L350" i="48"/>
  <c r="L351" i="48"/>
  <c r="L352" i="48"/>
  <c r="L353" i="48"/>
  <c r="L354" i="48"/>
  <c r="L355" i="48"/>
  <c r="L356" i="48"/>
  <c r="L357" i="48"/>
  <c r="L163" i="48"/>
  <c r="L465" i="48"/>
  <c r="L466" i="48"/>
  <c r="L399" i="48"/>
  <c r="L400" i="48"/>
  <c r="L284" i="48"/>
  <c r="L285" i="48"/>
  <c r="L286" i="48"/>
  <c r="L287" i="48"/>
  <c r="L288" i="48"/>
  <c r="L289" i="48"/>
  <c r="L290" i="48"/>
  <c r="L291" i="48"/>
  <c r="L292" i="48"/>
  <c r="L161" i="48"/>
  <c r="L162" i="48"/>
  <c r="L433" i="48"/>
  <c r="L434" i="48"/>
  <c r="L435" i="48"/>
  <c r="L436" i="48"/>
  <c r="L437" i="48"/>
  <c r="L438" i="48"/>
  <c r="L439" i="48"/>
  <c r="L440" i="48"/>
  <c r="L441" i="48"/>
  <c r="L442" i="48"/>
  <c r="L340" i="48"/>
  <c r="L341" i="48"/>
  <c r="L342" i="48"/>
  <c r="L343" i="48"/>
  <c r="L344" i="48"/>
  <c r="L345" i="48"/>
  <c r="L346" i="48"/>
  <c r="L347" i="48"/>
  <c r="L110" i="48"/>
  <c r="L452" i="48"/>
  <c r="L453" i="48"/>
  <c r="L454" i="48"/>
  <c r="L455" i="48"/>
  <c r="L268" i="48"/>
  <c r="L269" i="48"/>
  <c r="L270" i="48"/>
  <c r="L271" i="48"/>
  <c r="L272" i="48"/>
  <c r="L273" i="48"/>
  <c r="L274" i="48"/>
  <c r="L275" i="48"/>
  <c r="L277" i="48"/>
  <c r="L278" i="48"/>
  <c r="L279" i="48"/>
  <c r="L280" i="48"/>
  <c r="L281" i="48"/>
  <c r="L282" i="48"/>
  <c r="L283" i="48"/>
  <c r="L116" i="48"/>
  <c r="L407" i="48"/>
  <c r="L408" i="48"/>
  <c r="L169" i="48"/>
  <c r="L182" i="48"/>
  <c r="L183" i="48"/>
  <c r="L184" i="48"/>
  <c r="L185" i="48"/>
  <c r="L186" i="48"/>
  <c r="L187" i="48"/>
  <c r="L188" i="48"/>
  <c r="L189" i="48"/>
  <c r="L190" i="48"/>
  <c r="L191" i="48"/>
  <c r="L192" i="48"/>
  <c r="L193" i="48"/>
  <c r="L194" i="48"/>
  <c r="L195" i="48"/>
  <c r="L197" i="48"/>
  <c r="L198" i="48"/>
  <c r="L120" i="48"/>
  <c r="L121" i="48"/>
  <c r="L122" i="48"/>
  <c r="L123" i="48"/>
  <c r="L70" i="48"/>
  <c r="L105" i="48"/>
  <c r="L34" i="48"/>
  <c r="L35" i="48"/>
  <c r="L36" i="48"/>
  <c r="L37" i="48"/>
  <c r="L38" i="48"/>
  <c r="L39" i="48"/>
  <c r="L40" i="48"/>
  <c r="L41" i="48"/>
  <c r="L79" i="48"/>
  <c r="L80" i="48"/>
  <c r="L11" i="48"/>
  <c r="L12" i="48"/>
  <c r="L13" i="48"/>
  <c r="L14" i="48"/>
  <c r="L15" i="48"/>
  <c r="L16" i="48"/>
  <c r="L17" i="48"/>
  <c r="L18" i="48"/>
  <c r="L19" i="48"/>
  <c r="L20" i="48"/>
  <c r="L21" i="48"/>
  <c r="L22" i="48"/>
  <c r="L23" i="48"/>
  <c r="L24" i="48"/>
  <c r="L25" i="48"/>
  <c r="L26" i="48"/>
  <c r="L27" i="48"/>
  <c r="L28" i="48"/>
  <c r="L29" i="48"/>
  <c r="L160" i="48"/>
  <c r="L450" i="48"/>
  <c r="L128" i="48"/>
  <c r="L129" i="48"/>
  <c r="L130" i="48"/>
  <c r="L131" i="48"/>
  <c r="L132" i="48"/>
  <c r="L133" i="48"/>
  <c r="L134" i="48"/>
  <c r="L136" i="48"/>
  <c r="L137" i="48"/>
  <c r="L138" i="48"/>
  <c r="L140" i="48"/>
  <c r="L141" i="48"/>
  <c r="L142" i="48"/>
  <c r="L143" i="48"/>
  <c r="L144" i="48"/>
  <c r="L145" i="48"/>
  <c r="L146" i="48"/>
  <c r="L147" i="48"/>
  <c r="L148" i="48"/>
  <c r="L149" i="48"/>
  <c r="L150" i="48"/>
  <c r="L159" i="48"/>
  <c r="L252" i="48"/>
  <c r="L30" i="48"/>
  <c r="L31" i="48"/>
  <c r="L32" i="48"/>
  <c r="L33" i="48"/>
  <c r="L228" i="48"/>
  <c r="L229" i="48"/>
  <c r="L230" i="48"/>
  <c r="L231" i="48"/>
  <c r="L232" i="48"/>
  <c r="L233" i="48"/>
  <c r="L234" i="48"/>
  <c r="L235" i="48"/>
  <c r="L236" i="48"/>
  <c r="L237" i="48"/>
  <c r="L238" i="48"/>
  <c r="L239" i="48"/>
  <c r="L240" i="48"/>
  <c r="L241" i="48"/>
  <c r="L242" i="48"/>
  <c r="L243" i="48"/>
  <c r="L244" i="48"/>
  <c r="L245" i="48"/>
  <c r="L246" i="48"/>
  <c r="L247" i="48"/>
  <c r="L248" i="48"/>
  <c r="L249" i="48"/>
  <c r="L250" i="48"/>
  <c r="L251" i="48"/>
  <c r="L81" i="48"/>
  <c r="L7" i="48"/>
  <c r="L9" i="48"/>
  <c r="L201" i="48"/>
  <c r="L202" i="48"/>
  <c r="L203" i="48"/>
  <c r="L204" i="48"/>
  <c r="L205" i="48"/>
  <c r="L206" i="48"/>
  <c r="L207" i="48"/>
  <c r="L208" i="48"/>
  <c r="L209" i="48"/>
  <c r="L210" i="48"/>
  <c r="L44" i="48"/>
  <c r="L45" i="48"/>
  <c r="L46" i="48"/>
  <c r="L47" i="48"/>
  <c r="L48" i="48"/>
  <c r="L49" i="48"/>
  <c r="L50" i="48"/>
  <c r="L51" i="48"/>
  <c r="L52" i="48"/>
  <c r="L200" i="48"/>
  <c r="L117" i="48"/>
  <c r="L118" i="48"/>
  <c r="L119" i="48"/>
  <c r="L106" i="48"/>
  <c r="L107" i="48"/>
  <c r="L178" i="48"/>
  <c r="L179" i="48"/>
  <c r="L157" i="48"/>
  <c r="L158" i="48"/>
  <c r="L401" i="48"/>
  <c r="L402" i="48"/>
  <c r="L403" i="48"/>
  <c r="L404" i="48"/>
  <c r="L405" i="48"/>
  <c r="L406" i="48"/>
  <c r="L448" i="48"/>
  <c r="L449" i="48"/>
  <c r="L155" i="48"/>
  <c r="L464" i="48"/>
  <c r="L463" i="48"/>
  <c r="L304" i="48"/>
  <c r="L305" i="48"/>
  <c r="L306" i="48"/>
  <c r="L307" i="48"/>
  <c r="L308" i="48"/>
  <c r="L309" i="48"/>
  <c r="L310" i="48"/>
  <c r="L311" i="48"/>
  <c r="L312" i="48"/>
  <c r="L313" i="48"/>
  <c r="L314" i="48"/>
  <c r="L315" i="48"/>
  <c r="L316" i="48"/>
  <c r="L317" i="48"/>
  <c r="L318" i="48"/>
  <c r="L319" i="48"/>
  <c r="L320" i="48"/>
  <c r="L321" i="48"/>
  <c r="L164" i="48"/>
  <c r="L165" i="48"/>
  <c r="L73" i="48"/>
  <c r="L74" i="48"/>
  <c r="L75" i="48"/>
  <c r="L76" i="48"/>
  <c r="L267" i="48"/>
  <c r="L170" i="48"/>
  <c r="L358" i="48"/>
  <c r="L359" i="48"/>
  <c r="L360" i="48"/>
  <c r="L361" i="48"/>
  <c r="L362" i="48"/>
  <c r="L363" i="48"/>
  <c r="L364" i="48"/>
  <c r="L365" i="48"/>
  <c r="L367" i="48"/>
  <c r="L368" i="48"/>
  <c r="L369" i="48"/>
  <c r="L370" i="48"/>
  <c r="L371" i="48"/>
  <c r="L82" i="48"/>
  <c r="L83" i="48"/>
  <c r="L84" i="48"/>
  <c r="L85" i="48"/>
  <c r="L86" i="48"/>
  <c r="L87" i="48"/>
  <c r="L88" i="48"/>
  <c r="L89" i="48"/>
  <c r="L90" i="48"/>
  <c r="L91" i="48"/>
  <c r="L92" i="48"/>
  <c r="L93" i="48"/>
  <c r="L94" i="48"/>
  <c r="L95" i="48"/>
  <c r="L96" i="48"/>
  <c r="L97" i="48"/>
  <c r="L98" i="48"/>
  <c r="L99" i="48"/>
  <c r="L100" i="48"/>
  <c r="L101" i="48"/>
  <c r="L102" i="48"/>
  <c r="L103" i="48"/>
  <c r="L104" i="48"/>
  <c r="L173" i="48"/>
  <c r="L174" i="48"/>
  <c r="L175" i="48"/>
  <c r="L176" i="48"/>
  <c r="L411" i="48"/>
  <c r="L412" i="48"/>
  <c r="L413" i="48"/>
  <c r="L77" i="48"/>
  <c r="L414" i="48"/>
  <c r="L415" i="48"/>
  <c r="L416" i="48"/>
  <c r="L417" i="48"/>
  <c r="L418" i="48"/>
  <c r="L419" i="48"/>
  <c r="L420" i="48"/>
  <c r="L421" i="48"/>
  <c r="L422" i="48"/>
  <c r="L423" i="48"/>
  <c r="L424" i="48"/>
  <c r="L425" i="48"/>
  <c r="L426" i="48"/>
  <c r="L427" i="48"/>
  <c r="L428" i="48"/>
  <c r="L429" i="48"/>
  <c r="L430" i="48"/>
  <c r="L431" i="48"/>
  <c r="L432" i="48"/>
  <c r="L339" i="48"/>
  <c r="L171" i="48"/>
  <c r="L172" i="48"/>
  <c r="L78" i="48"/>
  <c r="L199" i="48"/>
  <c r="L410" i="48"/>
  <c r="L180" i="48"/>
  <c r="L181" i="48"/>
  <c r="L227" i="48"/>
  <c r="L460" i="48"/>
  <c r="L293" i="48"/>
  <c r="L294" i="48"/>
  <c r="L295" i="48"/>
  <c r="L296" i="48"/>
  <c r="L297" i="48"/>
  <c r="L298" i="48"/>
  <c r="L299" i="48"/>
  <c r="L300" i="48"/>
  <c r="L301" i="48"/>
  <c r="L302" i="48"/>
  <c r="L303" i="48"/>
  <c r="L166" i="48"/>
  <c r="L167" i="48"/>
  <c r="L168" i="48"/>
  <c r="L42" i="48"/>
  <c r="L43" i="48"/>
  <c r="L372" i="48"/>
  <c r="L373" i="48"/>
  <c r="L374" i="48"/>
  <c r="L375" i="48"/>
  <c r="L376" i="48"/>
  <c r="L377" i="48"/>
  <c r="L378" i="48"/>
  <c r="L379" i="48"/>
  <c r="L380" i="48"/>
  <c r="L381" i="48"/>
  <c r="L382" i="48"/>
  <c r="L383" i="48"/>
  <c r="L384" i="48"/>
  <c r="L385" i="48"/>
  <c r="L386" i="48"/>
  <c r="L387" i="48"/>
  <c r="L388" i="48"/>
  <c r="L389" i="48"/>
  <c r="L390" i="48"/>
  <c r="L53" i="48"/>
  <c r="L54" i="48"/>
  <c r="L55" i="48"/>
  <c r="L56" i="48"/>
  <c r="L57" i="48"/>
  <c r="L58" i="48"/>
  <c r="L59" i="48"/>
  <c r="L61" i="48"/>
  <c r="L62" i="48"/>
  <c r="L63" i="48"/>
  <c r="L64" i="48"/>
  <c r="L65" i="48"/>
  <c r="L66" i="48"/>
  <c r="L67" i="48"/>
  <c r="L68" i="48"/>
  <c r="L69" i="48"/>
  <c r="L211" i="48"/>
  <c r="L212" i="48"/>
  <c r="L213" i="48"/>
  <c r="L214" i="48"/>
  <c r="L215" i="48"/>
  <c r="L216" i="48"/>
  <c r="L217" i="48"/>
  <c r="L218" i="48"/>
  <c r="L219" i="48"/>
  <c r="L220" i="48"/>
  <c r="L221" i="48"/>
  <c r="L222" i="48"/>
  <c r="L223" i="48"/>
  <c r="L224" i="48"/>
  <c r="L225" i="48"/>
  <c r="L226" i="48"/>
  <c r="L459" i="48"/>
  <c r="L456" i="48"/>
  <c r="L457" i="48"/>
  <c r="L458" i="48"/>
  <c r="L111" i="48"/>
  <c r="L112" i="48"/>
  <c r="L443" i="48"/>
  <c r="L444" i="48"/>
  <c r="L445" i="48"/>
  <c r="L446" i="48"/>
  <c r="L447" i="48"/>
  <c r="L467" i="48"/>
  <c r="L468" i="48"/>
  <c r="L391" i="48"/>
  <c r="L392" i="48"/>
  <c r="L393" i="48"/>
  <c r="L394" i="48"/>
  <c r="L395" i="48"/>
  <c r="L396" i="48"/>
  <c r="L397" i="48"/>
  <c r="L398" i="48"/>
  <c r="L451" i="48"/>
  <c r="L253" i="48"/>
  <c r="L254" i="48"/>
  <c r="L255" i="48"/>
  <c r="L256" i="48"/>
  <c r="L257" i="48"/>
  <c r="L258" i="48"/>
  <c r="L259" i="48"/>
  <c r="L260" i="48"/>
  <c r="L261" i="48"/>
  <c r="L262" i="48"/>
  <c r="L71" i="48"/>
  <c r="L72" i="48"/>
  <c r="L115" i="48"/>
  <c r="B20" i="44"/>
  <c r="H33" i="48"/>
  <c r="H367" i="48"/>
  <c r="H368" i="48"/>
  <c r="H369" i="48"/>
  <c r="B97" i="44"/>
  <c r="B21" i="44"/>
  <c r="B22" i="44"/>
  <c r="H69" i="48"/>
  <c r="H455" i="48"/>
  <c r="B205" i="44"/>
  <c r="B206" i="44"/>
  <c r="H122" i="48"/>
  <c r="H76" i="48"/>
  <c r="H363" i="48"/>
  <c r="H32" i="48"/>
  <c r="H31" i="48"/>
  <c r="H134" i="48"/>
  <c r="B96" i="44"/>
  <c r="B95" i="44"/>
  <c r="H275" i="48"/>
  <c r="H152" i="48"/>
  <c r="H153" i="48"/>
  <c r="H154" i="48"/>
  <c r="H124" i="48"/>
  <c r="H125" i="48"/>
  <c r="H126" i="48"/>
  <c r="H127" i="48"/>
  <c r="H156" i="48"/>
  <c r="H462" i="48"/>
  <c r="H177" i="48"/>
  <c r="H263" i="48"/>
  <c r="H264" i="48"/>
  <c r="H265" i="48"/>
  <c r="H266" i="48"/>
  <c r="H461" i="48"/>
  <c r="H409" i="48"/>
  <c r="H336" i="48"/>
  <c r="H337" i="48"/>
  <c r="H338" i="48"/>
  <c r="H322" i="48"/>
  <c r="H323" i="48"/>
  <c r="H324" i="48"/>
  <c r="H325" i="48"/>
  <c r="H326" i="48"/>
  <c r="H327" i="48"/>
  <c r="H328" i="48"/>
  <c r="H329" i="48"/>
  <c r="H330" i="48"/>
  <c r="H331" i="48"/>
  <c r="H332" i="48"/>
  <c r="H333" i="48"/>
  <c r="H334" i="48"/>
  <c r="H335" i="48"/>
  <c r="H348" i="48"/>
  <c r="H349" i="48"/>
  <c r="H350" i="48"/>
  <c r="H351" i="48"/>
  <c r="H352" i="48"/>
  <c r="H353" i="48"/>
  <c r="H354" i="48"/>
  <c r="H355" i="48"/>
  <c r="H356" i="48"/>
  <c r="H357" i="48"/>
  <c r="H163" i="48"/>
  <c r="H465" i="48"/>
  <c r="H466" i="48"/>
  <c r="H399" i="48"/>
  <c r="H400" i="48"/>
  <c r="H284" i="48"/>
  <c r="H285" i="48"/>
  <c r="H286" i="48"/>
  <c r="H287" i="48"/>
  <c r="H288" i="48"/>
  <c r="H289" i="48"/>
  <c r="H290" i="48"/>
  <c r="H291" i="48"/>
  <c r="H292" i="48"/>
  <c r="H161" i="48"/>
  <c r="H162" i="48"/>
  <c r="H433" i="48"/>
  <c r="H434" i="48"/>
  <c r="H435" i="48"/>
  <c r="H436" i="48"/>
  <c r="H437" i="48"/>
  <c r="H438" i="48"/>
  <c r="H439" i="48"/>
  <c r="H440" i="48"/>
  <c r="H441" i="48"/>
  <c r="H442" i="48"/>
  <c r="H340" i="48"/>
  <c r="H341" i="48"/>
  <c r="H342" i="48"/>
  <c r="H343" i="48"/>
  <c r="H344" i="48"/>
  <c r="H345" i="48"/>
  <c r="H346" i="48"/>
  <c r="H347" i="48"/>
  <c r="H110" i="48"/>
  <c r="H452" i="48"/>
  <c r="H453" i="48"/>
  <c r="H454" i="48"/>
  <c r="H268" i="48"/>
  <c r="H269" i="48"/>
  <c r="H270" i="48"/>
  <c r="H271" i="48"/>
  <c r="H272" i="48"/>
  <c r="H273" i="48"/>
  <c r="H274" i="48"/>
  <c r="H277" i="48"/>
  <c r="H278" i="48"/>
  <c r="H279" i="48"/>
  <c r="H280" i="48"/>
  <c r="H281" i="48"/>
  <c r="H282" i="48"/>
  <c r="H283" i="48"/>
  <c r="H116" i="48"/>
  <c r="H407" i="48"/>
  <c r="H408" i="48"/>
  <c r="H169" i="48"/>
  <c r="H182" i="48"/>
  <c r="H183" i="48"/>
  <c r="H184" i="48"/>
  <c r="H185" i="48"/>
  <c r="H186" i="48"/>
  <c r="H187" i="48"/>
  <c r="H188" i="48"/>
  <c r="H189" i="48"/>
  <c r="H190" i="48"/>
  <c r="H191" i="48"/>
  <c r="H192" i="48"/>
  <c r="H193" i="48"/>
  <c r="H194" i="48"/>
  <c r="H195" i="48"/>
  <c r="H197" i="48"/>
  <c r="H198" i="48"/>
  <c r="H120" i="48"/>
  <c r="H121" i="48"/>
  <c r="H123" i="48"/>
  <c r="H70" i="48"/>
  <c r="H105" i="48"/>
  <c r="H34" i="48"/>
  <c r="H35" i="48"/>
  <c r="H36" i="48"/>
  <c r="H37" i="48"/>
  <c r="H38" i="48"/>
  <c r="H39" i="48"/>
  <c r="H40" i="48"/>
  <c r="H41" i="48"/>
  <c r="H79" i="48"/>
  <c r="H80" i="48"/>
  <c r="H11" i="48"/>
  <c r="H12" i="48"/>
  <c r="H13" i="48"/>
  <c r="H14" i="48"/>
  <c r="H15" i="48"/>
  <c r="H16" i="48"/>
  <c r="H17" i="48"/>
  <c r="H18" i="48"/>
  <c r="H19" i="48"/>
  <c r="H20" i="48"/>
  <c r="H21" i="48"/>
  <c r="H22" i="48"/>
  <c r="H23" i="48"/>
  <c r="H24" i="48"/>
  <c r="H25" i="48"/>
  <c r="H26" i="48"/>
  <c r="H27" i="48"/>
  <c r="H28" i="48"/>
  <c r="H29" i="48"/>
  <c r="H160" i="48"/>
  <c r="H450" i="48"/>
  <c r="H128" i="48"/>
  <c r="H129" i="48"/>
  <c r="H130" i="48"/>
  <c r="H131" i="48"/>
  <c r="H132" i="48"/>
  <c r="H133" i="48"/>
  <c r="H136" i="48"/>
  <c r="H137" i="48"/>
  <c r="H138" i="48"/>
  <c r="H140" i="48"/>
  <c r="H141" i="48"/>
  <c r="H142" i="48"/>
  <c r="H143" i="48"/>
  <c r="H144" i="48"/>
  <c r="H145" i="48"/>
  <c r="H146" i="48"/>
  <c r="H147" i="48"/>
  <c r="H148" i="48"/>
  <c r="H149" i="48"/>
  <c r="H150" i="48"/>
  <c r="H159" i="48"/>
  <c r="H252" i="48"/>
  <c r="H30" i="48"/>
  <c r="H228" i="48"/>
  <c r="H229" i="48"/>
  <c r="H230" i="48"/>
  <c r="H231" i="48"/>
  <c r="H232" i="48"/>
  <c r="H233" i="48"/>
  <c r="H234" i="48"/>
  <c r="H235" i="48"/>
  <c r="H236" i="48"/>
  <c r="H237" i="48"/>
  <c r="H238" i="48"/>
  <c r="H239" i="48"/>
  <c r="H240" i="48"/>
  <c r="H241" i="48"/>
  <c r="H242" i="48"/>
  <c r="H243" i="48"/>
  <c r="H244" i="48"/>
  <c r="H245" i="48"/>
  <c r="H246" i="48"/>
  <c r="H247" i="48"/>
  <c r="H248" i="48"/>
  <c r="H249" i="48"/>
  <c r="H250" i="48"/>
  <c r="H251" i="48"/>
  <c r="H81" i="48"/>
  <c r="H7" i="48"/>
  <c r="H9" i="48"/>
  <c r="H201" i="48"/>
  <c r="H202" i="48"/>
  <c r="H203" i="48"/>
  <c r="H204" i="48"/>
  <c r="H205" i="48"/>
  <c r="H206" i="48"/>
  <c r="H207" i="48"/>
  <c r="H208" i="48"/>
  <c r="H209" i="48"/>
  <c r="H210" i="48"/>
  <c r="H44" i="48"/>
  <c r="H45" i="48"/>
  <c r="H46" i="48"/>
  <c r="H47" i="48"/>
  <c r="H48" i="48"/>
  <c r="H49" i="48"/>
  <c r="H50" i="48"/>
  <c r="H51" i="48"/>
  <c r="H52" i="48"/>
  <c r="H200" i="48"/>
  <c r="H117" i="48"/>
  <c r="H118" i="48"/>
  <c r="H119" i="48"/>
  <c r="H106" i="48"/>
  <c r="H107" i="48"/>
  <c r="H178" i="48"/>
  <c r="H179" i="48"/>
  <c r="H157" i="48"/>
  <c r="H158" i="48"/>
  <c r="H401" i="48"/>
  <c r="H402" i="48"/>
  <c r="H403" i="48"/>
  <c r="H404" i="48"/>
  <c r="H405" i="48"/>
  <c r="H406" i="48"/>
  <c r="H448" i="48"/>
  <c r="H449" i="48"/>
  <c r="H155" i="48"/>
  <c r="H464" i="48"/>
  <c r="H463" i="48"/>
  <c r="H304" i="48"/>
  <c r="H305" i="48"/>
  <c r="H306" i="48"/>
  <c r="H307" i="48"/>
  <c r="H308" i="48"/>
  <c r="H309" i="48"/>
  <c r="H310" i="48"/>
  <c r="H311" i="48"/>
  <c r="H312" i="48"/>
  <c r="H313" i="48"/>
  <c r="H314" i="48"/>
  <c r="H315" i="48"/>
  <c r="H316" i="48"/>
  <c r="H317" i="48"/>
  <c r="H318" i="48"/>
  <c r="H319" i="48"/>
  <c r="H320" i="48"/>
  <c r="H321" i="48"/>
  <c r="H164" i="48"/>
  <c r="H165" i="48"/>
  <c r="H73" i="48"/>
  <c r="H74" i="48"/>
  <c r="H75" i="48"/>
  <c r="H267" i="48"/>
  <c r="H170" i="48"/>
  <c r="H358" i="48"/>
  <c r="H359" i="48"/>
  <c r="H360" i="48"/>
  <c r="H361" i="48"/>
  <c r="H362" i="48"/>
  <c r="H364" i="48"/>
  <c r="H365" i="48"/>
  <c r="H370" i="48"/>
  <c r="H371" i="48"/>
  <c r="H82" i="48"/>
  <c r="H83" i="48"/>
  <c r="H84" i="48"/>
  <c r="H85" i="48"/>
  <c r="H86" i="48"/>
  <c r="H87" i="48"/>
  <c r="H88" i="48"/>
  <c r="H89" i="48"/>
  <c r="H90" i="48"/>
  <c r="H91" i="48"/>
  <c r="H92" i="48"/>
  <c r="H93" i="48"/>
  <c r="H94" i="48"/>
  <c r="H95" i="48"/>
  <c r="H96" i="48"/>
  <c r="H97" i="48"/>
  <c r="H98" i="48"/>
  <c r="H99" i="48"/>
  <c r="H100" i="48"/>
  <c r="H101" i="48"/>
  <c r="H102" i="48"/>
  <c r="H103" i="48"/>
  <c r="H104" i="48"/>
  <c r="H173" i="48"/>
  <c r="H174" i="48"/>
  <c r="H175" i="48"/>
  <c r="H176" i="48"/>
  <c r="H411" i="48"/>
  <c r="H412" i="48"/>
  <c r="H413" i="48"/>
  <c r="H77" i="48"/>
  <c r="H414" i="48"/>
  <c r="H415" i="48"/>
  <c r="H416" i="48"/>
  <c r="H417" i="48"/>
  <c r="H418" i="48"/>
  <c r="H419" i="48"/>
  <c r="H420" i="48"/>
  <c r="H421" i="48"/>
  <c r="H422" i="48"/>
  <c r="H423" i="48"/>
  <c r="H424" i="48"/>
  <c r="H425" i="48"/>
  <c r="H426" i="48"/>
  <c r="H427" i="48"/>
  <c r="H428" i="48"/>
  <c r="H429" i="48"/>
  <c r="H430" i="48"/>
  <c r="H431" i="48"/>
  <c r="H432" i="48"/>
  <c r="H339" i="48"/>
  <c r="H171" i="48"/>
  <c r="H172" i="48"/>
  <c r="H78" i="48"/>
  <c r="H199" i="48"/>
  <c r="H410" i="48"/>
  <c r="H180" i="48"/>
  <c r="H181" i="48"/>
  <c r="H227" i="48"/>
  <c r="H460" i="48"/>
  <c r="H293" i="48"/>
  <c r="H294" i="48"/>
  <c r="H295" i="48"/>
  <c r="H296" i="48"/>
  <c r="H297" i="48"/>
  <c r="H298" i="48"/>
  <c r="H299" i="48"/>
  <c r="H300" i="48"/>
  <c r="H301" i="48"/>
  <c r="H302" i="48"/>
  <c r="H303" i="48"/>
  <c r="H166" i="48"/>
  <c r="H167" i="48"/>
  <c r="H168" i="48"/>
  <c r="H42" i="48"/>
  <c r="H43" i="48"/>
  <c r="H372" i="48"/>
  <c r="H373" i="48"/>
  <c r="H374" i="48"/>
  <c r="H375" i="48"/>
  <c r="H376" i="48"/>
  <c r="H377" i="48"/>
  <c r="H378" i="48"/>
  <c r="H379" i="48"/>
  <c r="H380" i="48"/>
  <c r="H381" i="48"/>
  <c r="H382" i="48"/>
  <c r="H383" i="48"/>
  <c r="H384" i="48"/>
  <c r="H385" i="48"/>
  <c r="H386" i="48"/>
  <c r="H387" i="48"/>
  <c r="H388" i="48"/>
  <c r="H389" i="48"/>
  <c r="H390" i="48"/>
  <c r="H53" i="48"/>
  <c r="H54" i="48"/>
  <c r="H55" i="48"/>
  <c r="H56" i="48"/>
  <c r="H57" i="48"/>
  <c r="H58" i="48"/>
  <c r="H59" i="48"/>
  <c r="H61" i="48"/>
  <c r="H62" i="48"/>
  <c r="H63" i="48"/>
  <c r="H64" i="48"/>
  <c r="H65" i="48"/>
  <c r="H66" i="48"/>
  <c r="H67" i="48"/>
  <c r="H68" i="48"/>
  <c r="H211" i="48"/>
  <c r="H212" i="48"/>
  <c r="H213" i="48"/>
  <c r="H214" i="48"/>
  <c r="H215" i="48"/>
  <c r="H216" i="48"/>
  <c r="H217" i="48"/>
  <c r="H218" i="48"/>
  <c r="H219" i="48"/>
  <c r="H220" i="48"/>
  <c r="H221" i="48"/>
  <c r="H222" i="48"/>
  <c r="H223" i="48"/>
  <c r="H224" i="48"/>
  <c r="H225" i="48"/>
  <c r="H226" i="48"/>
  <c r="H459" i="48"/>
  <c r="H456" i="48"/>
  <c r="H457" i="48"/>
  <c r="H458" i="48"/>
  <c r="H111" i="48"/>
  <c r="H112" i="48"/>
  <c r="H443" i="48"/>
  <c r="H444" i="48"/>
  <c r="H445" i="48"/>
  <c r="H446" i="48"/>
  <c r="H447" i="48"/>
  <c r="H467" i="48"/>
  <c r="H468" i="48"/>
  <c r="H391" i="48"/>
  <c r="H392" i="48"/>
  <c r="H393" i="48"/>
  <c r="H394" i="48"/>
  <c r="H395" i="48"/>
  <c r="H396" i="48"/>
  <c r="H397" i="48"/>
  <c r="H398" i="48"/>
  <c r="H451" i="48"/>
  <c r="H253" i="48"/>
  <c r="H254" i="48"/>
  <c r="H255" i="48"/>
  <c r="H256" i="48"/>
  <c r="H257" i="48"/>
  <c r="H258" i="48"/>
  <c r="H259" i="48"/>
  <c r="H260" i="48"/>
  <c r="H261" i="48"/>
  <c r="H262" i="48"/>
  <c r="H71" i="48"/>
  <c r="H72" i="48"/>
  <c r="H115" i="48"/>
  <c r="H151" i="48"/>
  <c r="H114" i="48"/>
  <c r="H113" i="48"/>
  <c r="H10" i="48"/>
  <c r="H3" i="49"/>
  <c r="B94" i="44"/>
  <c r="B17" i="44"/>
  <c r="B19" i="44"/>
  <c r="B18" i="44"/>
  <c r="B204" i="44"/>
  <c r="B93" i="44"/>
  <c r="B92" i="44"/>
  <c r="B209" i="44"/>
  <c r="B199" i="44"/>
  <c r="B198" i="44"/>
  <c r="B197" i="44"/>
  <c r="B89" i="44"/>
  <c r="B88" i="44"/>
  <c r="B87" i="44"/>
  <c r="B91" i="44"/>
  <c r="B202" i="44"/>
  <c r="B201" i="44"/>
  <c r="B200" i="44"/>
  <c r="B196" i="44"/>
  <c r="B192" i="44"/>
  <c r="B191" i="44"/>
  <c r="B190" i="44"/>
  <c r="B189" i="44"/>
  <c r="B194" i="44"/>
  <c r="B193" i="44"/>
  <c r="B195" i="44"/>
  <c r="Q2" i="44"/>
  <c r="B90" i="44"/>
  <c r="B86" i="44"/>
  <c r="B85" i="44"/>
  <c r="B203" i="44"/>
  <c r="B23" i="44"/>
  <c r="B24" i="44"/>
  <c r="B25" i="44"/>
  <c r="B26" i="44"/>
  <c r="B27" i="44"/>
  <c r="B28" i="44"/>
  <c r="B29" i="44"/>
  <c r="B30" i="44"/>
  <c r="B31" i="44"/>
  <c r="B32" i="44"/>
  <c r="B33" i="44"/>
  <c r="B34" i="44"/>
  <c r="B35" i="44"/>
  <c r="B36" i="44"/>
  <c r="B37" i="44"/>
  <c r="B38" i="44"/>
  <c r="B39" i="44"/>
  <c r="B40" i="44"/>
  <c r="B41" i="44"/>
  <c r="B42" i="44"/>
  <c r="B43" i="44"/>
  <c r="B44" i="44"/>
  <c r="B45" i="44"/>
  <c r="B46" i="44"/>
  <c r="B47" i="44"/>
  <c r="B48" i="44"/>
  <c r="B49" i="44"/>
  <c r="B50" i="44"/>
  <c r="B51" i="44"/>
  <c r="B52" i="44"/>
  <c r="B53" i="44"/>
  <c r="B54" i="44"/>
  <c r="B55" i="44"/>
  <c r="B56" i="44"/>
  <c r="B57" i="44"/>
  <c r="B58" i="44"/>
  <c r="B59" i="44"/>
  <c r="B60" i="44"/>
  <c r="B61" i="44"/>
  <c r="B62" i="44"/>
  <c r="B63" i="44"/>
  <c r="B64" i="44"/>
  <c r="B65" i="44"/>
  <c r="B66" i="44"/>
  <c r="B67" i="44"/>
  <c r="B68" i="44"/>
  <c r="B69" i="44"/>
  <c r="B70" i="44"/>
  <c r="B71" i="44"/>
  <c r="B72" i="44"/>
  <c r="B73" i="44"/>
  <c r="B74" i="44"/>
  <c r="B75" i="44"/>
  <c r="B76" i="44"/>
  <c r="B77" i="44"/>
  <c r="B78" i="44"/>
  <c r="B79" i="44"/>
  <c r="B80" i="44"/>
  <c r="B81" i="44"/>
  <c r="B82" i="44"/>
  <c r="B83" i="44"/>
  <c r="B84" i="44"/>
  <c r="B99" i="44"/>
  <c r="B100" i="44"/>
  <c r="B101" i="44"/>
  <c r="B102" i="44"/>
  <c r="B103" i="44"/>
  <c r="B104" i="44"/>
  <c r="B105" i="44"/>
  <c r="B106" i="44"/>
  <c r="B107" i="44"/>
  <c r="B108" i="44"/>
  <c r="B109" i="44"/>
  <c r="B110" i="44"/>
  <c r="B111" i="44"/>
  <c r="B112" i="44"/>
  <c r="B113" i="44"/>
  <c r="B114" i="44"/>
  <c r="B115" i="44"/>
  <c r="B116" i="44"/>
  <c r="B117" i="44"/>
  <c r="B118" i="44"/>
  <c r="B119" i="44"/>
  <c r="B120" i="44"/>
  <c r="B121" i="44"/>
  <c r="B122" i="44"/>
  <c r="B123" i="44"/>
  <c r="B124" i="44"/>
  <c r="B125" i="44"/>
  <c r="B126" i="44"/>
  <c r="B127" i="44"/>
  <c r="B128" i="44"/>
  <c r="B129" i="44"/>
  <c r="B130" i="44"/>
  <c r="B131" i="44"/>
  <c r="B132" i="44"/>
  <c r="B133" i="44"/>
  <c r="B134" i="44"/>
  <c r="B135" i="44"/>
  <c r="B136" i="44"/>
  <c r="B137" i="44"/>
  <c r="B138" i="44"/>
  <c r="B139" i="44"/>
  <c r="B140" i="44"/>
  <c r="B141" i="44"/>
  <c r="B142" i="44"/>
  <c r="B143" i="44"/>
  <c r="B144" i="44"/>
  <c r="B145" i="44"/>
  <c r="B146" i="44"/>
  <c r="B147" i="44"/>
  <c r="B148" i="44"/>
  <c r="B149" i="44"/>
  <c r="B150" i="44"/>
  <c r="B151" i="44"/>
  <c r="B152" i="44"/>
  <c r="B153" i="44"/>
  <c r="B154" i="44"/>
  <c r="B155" i="44"/>
  <c r="B156" i="44"/>
  <c r="B157" i="44"/>
  <c r="B158" i="44"/>
  <c r="B159" i="44"/>
  <c r="B160" i="44"/>
  <c r="B161" i="44"/>
  <c r="B162" i="44"/>
  <c r="B163" i="44"/>
  <c r="B164" i="44"/>
  <c r="B165" i="44"/>
  <c r="B166" i="44"/>
  <c r="B167" i="44"/>
  <c r="B168" i="44"/>
  <c r="B169" i="44"/>
  <c r="B170" i="44"/>
  <c r="B171" i="44"/>
  <c r="B172" i="44"/>
  <c r="B173" i="44"/>
  <c r="B174" i="44"/>
  <c r="B175" i="44"/>
  <c r="B176" i="44"/>
  <c r="B177" i="44"/>
  <c r="B178" i="44"/>
  <c r="B179" i="44"/>
  <c r="B180" i="44"/>
  <c r="B181" i="44"/>
  <c r="B182" i="44"/>
  <c r="B183" i="44"/>
  <c r="B184" i="44"/>
  <c r="B185" i="44"/>
  <c r="B186" i="44"/>
  <c r="B187" i="44"/>
  <c r="B188" i="44"/>
  <c r="B16" i="44"/>
  <c r="B15" i="44"/>
  <c r="B14" i="44"/>
  <c r="B13" i="44"/>
  <c r="B12" i="44"/>
  <c r="B11" i="44"/>
  <c r="B10" i="44"/>
  <c r="B9" i="44"/>
  <c r="B8" i="44"/>
  <c r="B7" i="44"/>
  <c r="B6" i="44"/>
  <c r="B5" i="44"/>
  <c r="D447" i="48"/>
  <c r="D74" i="48"/>
  <c r="D459" i="48"/>
  <c r="D267" i="48"/>
  <c r="D104" i="48"/>
  <c r="D253" i="48"/>
  <c r="D360" i="48"/>
  <c r="D443" i="48"/>
  <c r="D42" i="48"/>
  <c r="D156" i="48"/>
  <c r="D87" i="48"/>
  <c r="D188" i="48"/>
  <c r="D369" i="48"/>
  <c r="D116" i="48"/>
  <c r="D401" i="48"/>
  <c r="D371" i="48"/>
  <c r="D392" i="48"/>
  <c r="D259" i="48"/>
  <c r="D7" i="48"/>
  <c r="D460" i="48"/>
  <c r="D9" i="48"/>
  <c r="D293" i="48"/>
  <c r="D85" i="48"/>
  <c r="D396" i="48"/>
  <c r="D99" i="48"/>
  <c r="D298" i="48"/>
  <c r="D364" i="48"/>
  <c r="D367" i="48"/>
  <c r="D91" i="48"/>
  <c r="D190" i="48"/>
  <c r="D93" i="48"/>
  <c r="D257" i="48"/>
  <c r="D262" i="48"/>
  <c r="D166" i="48"/>
  <c r="D167" i="48"/>
  <c r="D97" i="48"/>
  <c r="D184" i="48"/>
  <c r="D88" i="48"/>
  <c r="D368" i="48"/>
  <c r="D101" i="48"/>
  <c r="D70" i="48"/>
  <c r="D103" i="48"/>
  <c r="D100" i="48"/>
  <c r="D301" i="48"/>
  <c r="D90" i="48"/>
  <c r="D254" i="48"/>
  <c r="D75" i="48"/>
  <c r="D395" i="48"/>
  <c r="D303" i="48"/>
  <c r="D404" i="48"/>
  <c r="D445" i="48"/>
  <c r="D182" i="48"/>
  <c r="D405" i="48"/>
  <c r="D464" i="48"/>
  <c r="D362" i="48"/>
  <c r="D255" i="48"/>
  <c r="D400" i="48"/>
  <c r="D370" i="48"/>
  <c r="D391" i="48"/>
  <c r="D193" i="48"/>
  <c r="D194" i="48"/>
  <c r="D361" i="48"/>
  <c r="D444" i="48"/>
  <c r="D296" i="48"/>
  <c r="D258" i="48"/>
  <c r="D76" i="48"/>
  <c r="D394" i="48"/>
  <c r="D410" i="48"/>
  <c r="D92" i="48"/>
  <c r="D256" i="48"/>
  <c r="D403" i="48"/>
  <c r="D365" i="48"/>
  <c r="D294" i="48"/>
  <c r="D86" i="48"/>
  <c r="D397" i="48"/>
  <c r="D43" i="48"/>
  <c r="D94" i="48"/>
  <c r="D198" i="48"/>
  <c r="D363" i="48"/>
  <c r="D261" i="48"/>
  <c r="D300" i="48"/>
  <c r="D102" i="48"/>
  <c r="D302" i="48"/>
  <c r="D192" i="48"/>
  <c r="D358" i="48"/>
  <c r="D359" i="48"/>
  <c r="D110" i="48"/>
  <c r="D168" i="48"/>
  <c r="D98" i="48"/>
  <c r="D297" i="48"/>
  <c r="D295" i="48"/>
  <c r="D399" i="48"/>
  <c r="D446" i="48"/>
  <c r="D83" i="48"/>
  <c r="D84" i="48"/>
  <c r="D187" i="48"/>
  <c r="D185" i="48"/>
  <c r="D299" i="48"/>
  <c r="D260" i="48"/>
  <c r="D402" i="48"/>
  <c r="D170" i="48"/>
  <c r="D409" i="48"/>
  <c r="D95" i="48"/>
  <c r="D96" i="48"/>
  <c r="D183" i="48"/>
  <c r="D406" i="48"/>
  <c r="D197" i="48"/>
  <c r="D89" i="48"/>
  <c r="D189" i="48"/>
  <c r="D191" i="48"/>
  <c r="D82" i="48"/>
  <c r="D393" i="48"/>
  <c r="D195" i="48"/>
  <c r="D186" i="48"/>
  <c r="D155" i="48"/>
  <c r="D73" i="48"/>
  <c r="A7" i="48"/>
  <c r="A9" i="48" s="1"/>
  <c r="A10" i="48" s="1"/>
  <c r="A11" i="48" s="1"/>
  <c r="A12" i="48" s="1"/>
  <c r="A13" i="48" s="1"/>
  <c r="A14" i="48" s="1"/>
  <c r="A15" i="48" s="1"/>
  <c r="A16" i="48" s="1"/>
  <c r="A17" i="48" s="1"/>
  <c r="A18" i="48" s="1"/>
  <c r="A19" i="48" s="1"/>
  <c r="A20" i="48" s="1"/>
  <c r="A21" i="48" s="1"/>
  <c r="A22" i="48" s="1"/>
  <c r="A23" i="48" s="1"/>
  <c r="A24" i="48" s="1"/>
  <c r="A25" i="48" s="1"/>
  <c r="A26" i="48" s="1"/>
  <c r="A27" i="48" s="1"/>
  <c r="A28" i="48" s="1"/>
  <c r="A29" i="48" s="1"/>
  <c r="A30" i="48" s="1"/>
  <c r="A31" i="48" s="1"/>
  <c r="A32" i="48" s="1"/>
  <c r="A33" i="48" s="1"/>
  <c r="A34" i="48" s="1"/>
  <c r="A35" i="48" s="1"/>
  <c r="A36" i="48" s="1"/>
  <c r="A37" i="48" s="1"/>
  <c r="A38" i="48" s="1"/>
  <c r="A39" i="48" s="1"/>
  <c r="A40" i="48" s="1"/>
  <c r="A41" i="48" s="1"/>
  <c r="A42" i="48" s="1"/>
  <c r="A43" i="48" s="1"/>
  <c r="A44" i="48" s="1"/>
  <c r="A45" i="48" s="1"/>
  <c r="A46" i="48" s="1"/>
  <c r="A47" i="48" s="1"/>
  <c r="A48" i="48" s="1"/>
  <c r="A49" i="48" s="1"/>
  <c r="A50" i="48" s="1"/>
  <c r="A51" i="48" s="1"/>
  <c r="A52" i="48" s="1"/>
  <c r="A53" i="48" s="1"/>
  <c r="A54" i="48" s="1"/>
  <c r="A55" i="48" s="1"/>
  <c r="A56" i="48" s="1"/>
  <c r="A57" i="48" s="1"/>
  <c r="A58" i="48" s="1"/>
  <c r="A59" i="48" s="1"/>
  <c r="A60" i="48" s="1"/>
  <c r="A61" i="48" s="1"/>
  <c r="A62" i="48" s="1"/>
  <c r="A63" i="48" s="1"/>
  <c r="A64" i="48" s="1"/>
  <c r="A65" i="48" s="1"/>
  <c r="A66" i="48" s="1"/>
  <c r="A67" i="48" s="1"/>
  <c r="A68" i="48" s="1"/>
  <c r="A69" i="48" s="1"/>
  <c r="A70" i="48" s="1"/>
  <c r="A71" i="48" s="1"/>
  <c r="A72" i="48" s="1"/>
  <c r="A73" i="48" s="1"/>
  <c r="A74" i="48" s="1"/>
  <c r="A75" i="48" s="1"/>
  <c r="A76" i="48" s="1"/>
  <c r="A77" i="48" s="1"/>
  <c r="A78" i="48" s="1"/>
  <c r="A79" i="48" s="1"/>
  <c r="A80" i="48" s="1"/>
  <c r="A81" i="48" s="1"/>
  <c r="A82" i="48" s="1"/>
  <c r="A83" i="48" s="1"/>
  <c r="A84" i="48" s="1"/>
  <c r="A85" i="48" s="1"/>
  <c r="A86" i="48" s="1"/>
  <c r="A87" i="48" s="1"/>
  <c r="A88" i="48" s="1"/>
  <c r="A89" i="48" s="1"/>
  <c r="A90" i="48" s="1"/>
  <c r="A91" i="48" s="1"/>
  <c r="A92" i="48" s="1"/>
  <c r="A93" i="48" s="1"/>
  <c r="A94" i="48" s="1"/>
  <c r="A95" i="48" s="1"/>
  <c r="A96" i="48" s="1"/>
  <c r="A97" i="48" s="1"/>
  <c r="A98" i="48" s="1"/>
  <c r="A99" i="48" s="1"/>
  <c r="A100" i="48" s="1"/>
  <c r="A101" i="48" s="1"/>
  <c r="A102" i="48" s="1"/>
  <c r="A103" i="48" s="1"/>
  <c r="A104" i="48" s="1"/>
  <c r="A105" i="48" s="1"/>
  <c r="A106" i="48" s="1"/>
  <c r="A107" i="48" s="1"/>
  <c r="A108" i="48" s="1"/>
  <c r="A109" i="48" s="1"/>
  <c r="A110" i="48" s="1"/>
  <c r="A111" i="48" s="1"/>
  <c r="A112" i="48" s="1"/>
  <c r="A113" i="48" s="1"/>
  <c r="A114" i="48" s="1"/>
  <c r="A115" i="48" s="1"/>
  <c r="A116" i="48" s="1"/>
  <c r="A117" i="48" s="1"/>
  <c r="A118" i="48" s="1"/>
  <c r="A119" i="48" s="1"/>
  <c r="A120" i="48" s="1"/>
  <c r="A121" i="48" s="1"/>
  <c r="A122" i="48" s="1"/>
  <c r="A123" i="48" s="1"/>
  <c r="A124" i="48" s="1"/>
  <c r="A125" i="48" s="1"/>
  <c r="A126" i="48" s="1"/>
  <c r="A127" i="48" s="1"/>
  <c r="A128" i="48" s="1"/>
  <c r="A129" i="48" s="1"/>
  <c r="A130" i="48" s="1"/>
  <c r="A131" i="48" s="1"/>
  <c r="A132" i="48" s="1"/>
  <c r="A133" i="48" s="1"/>
  <c r="A134" i="48" s="1"/>
  <c r="A135" i="48" s="1"/>
  <c r="A136" i="48" s="1"/>
  <c r="A137" i="48" s="1"/>
  <c r="A138" i="48" s="1"/>
  <c r="A139" i="48" s="1"/>
  <c r="A140" i="48" s="1"/>
  <c r="A141" i="48" s="1"/>
  <c r="A142" i="48" s="1"/>
  <c r="A143" i="48" s="1"/>
  <c r="A144" i="48" s="1"/>
  <c r="A145" i="48" s="1"/>
  <c r="A146" i="48" s="1"/>
  <c r="A147" i="48" s="1"/>
  <c r="A148" i="48" s="1"/>
  <c r="A149" i="48" s="1"/>
  <c r="A150" i="48" s="1"/>
  <c r="A151" i="48" s="1"/>
  <c r="A152" i="48" s="1"/>
  <c r="A153" i="48" s="1"/>
  <c r="A154" i="48" s="1"/>
  <c r="A155" i="48" s="1"/>
  <c r="A156" i="48" s="1"/>
  <c r="A157" i="48" s="1"/>
  <c r="A158" i="48" s="1"/>
  <c r="A159" i="48" s="1"/>
  <c r="A160" i="48" s="1"/>
  <c r="A161" i="48" s="1"/>
  <c r="A162" i="48" s="1"/>
  <c r="A163" i="48" s="1"/>
  <c r="A164" i="48" s="1"/>
  <c r="A165" i="48" s="1"/>
  <c r="A166" i="48" s="1"/>
  <c r="A167" i="48" s="1"/>
  <c r="A168" i="48" s="1"/>
  <c r="A169" i="48" s="1"/>
  <c r="A170" i="48" s="1"/>
  <c r="A171" i="48" s="1"/>
  <c r="A172" i="48" s="1"/>
  <c r="A173" i="48" s="1"/>
  <c r="A174" i="48" s="1"/>
  <c r="A175" i="48" s="1"/>
  <c r="A176" i="48" s="1"/>
  <c r="A177" i="48" s="1"/>
  <c r="A178" i="48" s="1"/>
  <c r="A179" i="48" s="1"/>
  <c r="A180" i="48" s="1"/>
  <c r="A181" i="48" s="1"/>
  <c r="A182" i="48" s="1"/>
  <c r="A183" i="48" s="1"/>
  <c r="A184" i="48" s="1"/>
  <c r="A185" i="48" s="1"/>
  <c r="A186" i="48" s="1"/>
  <c r="A187" i="48" s="1"/>
  <c r="A188" i="48" s="1"/>
  <c r="A189" i="48" s="1"/>
  <c r="A190" i="48" s="1"/>
  <c r="A191" i="48" s="1"/>
  <c r="A192" i="48" s="1"/>
  <c r="A193" i="48" s="1"/>
  <c r="A194" i="48" s="1"/>
  <c r="A195" i="48" s="1"/>
  <c r="A196" i="48" s="1"/>
  <c r="A197" i="48" s="1"/>
  <c r="A198" i="48" s="1"/>
  <c r="A199" i="48" s="1"/>
  <c r="A200" i="48" s="1"/>
  <c r="A201" i="48" s="1"/>
  <c r="A202" i="48" s="1"/>
  <c r="A203" i="48" s="1"/>
  <c r="A204" i="48" s="1"/>
  <c r="A205" i="48" s="1"/>
  <c r="A206" i="48" s="1"/>
  <c r="A207" i="48" s="1"/>
  <c r="A208" i="48" s="1"/>
  <c r="A209" i="48" s="1"/>
  <c r="A210" i="48" s="1"/>
  <c r="A211" i="48" s="1"/>
  <c r="A212" i="48" s="1"/>
  <c r="A213" i="48" s="1"/>
  <c r="A214" i="48" s="1"/>
  <c r="A215" i="48" s="1"/>
  <c r="A216" i="48" s="1"/>
  <c r="A217" i="48" s="1"/>
  <c r="A218" i="48" s="1"/>
  <c r="A219" i="48" s="1"/>
  <c r="A220" i="48" s="1"/>
  <c r="A221" i="48" s="1"/>
  <c r="A222" i="48" s="1"/>
  <c r="A223" i="48" s="1"/>
  <c r="A224" i="48" s="1"/>
  <c r="A225" i="48" s="1"/>
  <c r="A226" i="48" s="1"/>
  <c r="A227" i="48" s="1"/>
  <c r="A228" i="48" s="1"/>
  <c r="A229" i="48" s="1"/>
  <c r="A230" i="48" s="1"/>
  <c r="A231" i="48" s="1"/>
  <c r="A232" i="48" s="1"/>
  <c r="A233" i="48" s="1"/>
  <c r="A234" i="48" s="1"/>
  <c r="A235" i="48" s="1"/>
  <c r="A236" i="48" s="1"/>
  <c r="A237" i="48" s="1"/>
  <c r="A238" i="48" s="1"/>
  <c r="A239" i="48" s="1"/>
  <c r="A240" i="48" s="1"/>
  <c r="A241" i="48" s="1"/>
  <c r="A242" i="48" s="1"/>
  <c r="A243" i="48" s="1"/>
  <c r="A244" i="48" s="1"/>
  <c r="A245" i="48" s="1"/>
  <c r="A246" i="48" s="1"/>
  <c r="A247" i="48" s="1"/>
  <c r="A248" i="48" s="1"/>
  <c r="A249" i="48" s="1"/>
  <c r="A250" i="48" s="1"/>
  <c r="A251" i="48" s="1"/>
  <c r="A252" i="48" s="1"/>
  <c r="A253" i="48" s="1"/>
  <c r="A254" i="48" s="1"/>
  <c r="A255" i="48" s="1"/>
  <c r="A256" i="48" s="1"/>
  <c r="A257" i="48" s="1"/>
  <c r="A258" i="48" s="1"/>
  <c r="A259" i="48" s="1"/>
  <c r="A260" i="48" s="1"/>
  <c r="A261" i="48" s="1"/>
  <c r="A262" i="48" s="1"/>
  <c r="A263" i="48" s="1"/>
  <c r="A264" i="48" s="1"/>
  <c r="A265" i="48" s="1"/>
  <c r="A266" i="48" s="1"/>
  <c r="A267" i="48" s="1"/>
  <c r="A268" i="48" s="1"/>
  <c r="A269" i="48" s="1"/>
  <c r="A270" i="48" s="1"/>
  <c r="A271" i="48" s="1"/>
  <c r="A272" i="48" s="1"/>
  <c r="A273" i="48" s="1"/>
  <c r="A274" i="48" s="1"/>
  <c r="A275" i="48" s="1"/>
  <c r="A276" i="48" s="1"/>
  <c r="A277" i="48" s="1"/>
  <c r="A278" i="48" s="1"/>
  <c r="A279" i="48" s="1"/>
  <c r="A280" i="48" s="1"/>
  <c r="A281" i="48" s="1"/>
  <c r="A282" i="48" s="1"/>
  <c r="A283" i="48" s="1"/>
  <c r="A284" i="48" s="1"/>
  <c r="A285" i="48" s="1"/>
  <c r="A286" i="48" s="1"/>
  <c r="A287" i="48" s="1"/>
  <c r="A288" i="48" s="1"/>
  <c r="A289" i="48" s="1"/>
  <c r="A290" i="48" s="1"/>
  <c r="A291" i="48" s="1"/>
  <c r="A292" i="48" s="1"/>
  <c r="A293" i="48" s="1"/>
  <c r="A294" i="48" s="1"/>
  <c r="A295" i="48" s="1"/>
  <c r="A296" i="48" s="1"/>
  <c r="A297" i="48" s="1"/>
  <c r="A298" i="48" s="1"/>
  <c r="A299" i="48" s="1"/>
  <c r="A300" i="48" s="1"/>
  <c r="A301" i="48" s="1"/>
  <c r="A302" i="48" s="1"/>
  <c r="A303" i="48" s="1"/>
  <c r="A304" i="48" s="1"/>
  <c r="A305" i="48" s="1"/>
  <c r="A306" i="48" s="1"/>
  <c r="A307" i="48" s="1"/>
  <c r="A308" i="48" s="1"/>
  <c r="A309" i="48" s="1"/>
  <c r="A310" i="48" s="1"/>
  <c r="A311" i="48" s="1"/>
  <c r="A312" i="48" s="1"/>
  <c r="A313" i="48" s="1"/>
  <c r="A314" i="48" s="1"/>
  <c r="A315" i="48" s="1"/>
  <c r="A316" i="48" s="1"/>
  <c r="A317" i="48" s="1"/>
  <c r="A318" i="48" s="1"/>
  <c r="A319" i="48" s="1"/>
  <c r="A320" i="48" s="1"/>
  <c r="A321" i="48" s="1"/>
  <c r="A322" i="48" s="1"/>
  <c r="A323" i="48" s="1"/>
  <c r="A324" i="48" s="1"/>
  <c r="A325" i="48" s="1"/>
  <c r="A326" i="48" s="1"/>
  <c r="A327" i="48" s="1"/>
  <c r="A328" i="48" s="1"/>
  <c r="A329" i="48" s="1"/>
  <c r="A330" i="48" s="1"/>
  <c r="A331" i="48" s="1"/>
  <c r="A332" i="48" s="1"/>
  <c r="A333" i="48" s="1"/>
  <c r="A334" i="48" s="1"/>
  <c r="A335" i="48" s="1"/>
  <c r="A336" i="48" s="1"/>
  <c r="A337" i="48" s="1"/>
  <c r="A338" i="48" s="1"/>
  <c r="A339" i="48" s="1"/>
  <c r="A340" i="48" s="1"/>
  <c r="A341" i="48" s="1"/>
  <c r="A342" i="48" s="1"/>
  <c r="A343" i="48" s="1"/>
  <c r="A344" i="48" s="1"/>
  <c r="A345" i="48" s="1"/>
  <c r="A346" i="48" s="1"/>
  <c r="A347" i="48" s="1"/>
  <c r="A348" i="48" s="1"/>
  <c r="A349" i="48" s="1"/>
  <c r="A350" i="48" s="1"/>
  <c r="A351" i="48" s="1"/>
  <c r="A352" i="48" s="1"/>
  <c r="A353" i="48" s="1"/>
  <c r="A354" i="48" s="1"/>
  <c r="A355" i="48" s="1"/>
  <c r="A356" i="48" s="1"/>
  <c r="A357" i="48" s="1"/>
  <c r="A358" i="48" s="1"/>
  <c r="A359" i="48" s="1"/>
  <c r="A360" i="48" s="1"/>
  <c r="A361" i="48" s="1"/>
  <c r="A362" i="48" s="1"/>
  <c r="A363" i="48" s="1"/>
  <c r="A364" i="48" s="1"/>
  <c r="A365" i="48" s="1"/>
  <c r="A366" i="48" s="1"/>
  <c r="A367" i="48" s="1"/>
  <c r="A368" i="48" s="1"/>
  <c r="A369" i="48" s="1"/>
  <c r="A370" i="48" s="1"/>
  <c r="A371" i="48" s="1"/>
  <c r="A372" i="48" s="1"/>
  <c r="A373" i="48" s="1"/>
  <c r="A374" i="48" s="1"/>
  <c r="A375" i="48" s="1"/>
  <c r="A376" i="48" s="1"/>
  <c r="A377" i="48" s="1"/>
  <c r="A378" i="48" s="1"/>
  <c r="A379" i="48" s="1"/>
  <c r="A380" i="48" s="1"/>
  <c r="A381" i="48" s="1"/>
  <c r="A382" i="48" s="1"/>
  <c r="A383" i="48" s="1"/>
  <c r="A384" i="48" s="1"/>
  <c r="A385" i="48" s="1"/>
  <c r="A386" i="48" s="1"/>
  <c r="A387" i="48" s="1"/>
  <c r="A388" i="48" s="1"/>
  <c r="A389" i="48" s="1"/>
  <c r="A390" i="48" s="1"/>
  <c r="A391" i="48" s="1"/>
  <c r="A392" i="48" s="1"/>
  <c r="A393" i="48" s="1"/>
  <c r="A394" i="48" s="1"/>
  <c r="A395" i="48" s="1"/>
  <c r="A396" i="48" s="1"/>
  <c r="A397" i="48" s="1"/>
  <c r="A398" i="48" s="1"/>
  <c r="A399" i="48" s="1"/>
  <c r="A400" i="48" s="1"/>
  <c r="A401" i="48" s="1"/>
  <c r="A402" i="48" s="1"/>
  <c r="A403" i="48" s="1"/>
  <c r="A404" i="48" s="1"/>
  <c r="A405" i="48" s="1"/>
  <c r="A406" i="48" s="1"/>
  <c r="A407" i="48" s="1"/>
  <c r="A408" i="48" s="1"/>
  <c r="A409" i="48" s="1"/>
  <c r="A410" i="48" s="1"/>
  <c r="A411" i="48" s="1"/>
  <c r="A412" i="48" s="1"/>
  <c r="A413" i="48" s="1"/>
  <c r="A414" i="48" s="1"/>
  <c r="A415" i="48" s="1"/>
  <c r="A416" i="48" s="1"/>
  <c r="A417" i="48" s="1"/>
  <c r="A418" i="48" s="1"/>
  <c r="A419" i="48" s="1"/>
  <c r="A420" i="48" s="1"/>
  <c r="A421" i="48" s="1"/>
  <c r="A422" i="48" s="1"/>
  <c r="A423" i="48" s="1"/>
  <c r="A424" i="48" s="1"/>
  <c r="A425" i="48" s="1"/>
  <c r="A426" i="48" s="1"/>
  <c r="A427" i="48" s="1"/>
  <c r="A428" i="48" s="1"/>
  <c r="A429" i="48" s="1"/>
  <c r="A430" i="48" s="1"/>
  <c r="A431" i="48" s="1"/>
  <c r="A432" i="48" s="1"/>
  <c r="A433" i="48" s="1"/>
  <c r="A434" i="48" s="1"/>
  <c r="A435" i="48" s="1"/>
  <c r="A436" i="48" s="1"/>
  <c r="A437" i="48" s="1"/>
  <c r="A438" i="48" s="1"/>
  <c r="A439" i="48" s="1"/>
  <c r="A440" i="48" s="1"/>
  <c r="A441" i="48" s="1"/>
  <c r="A442" i="48" s="1"/>
  <c r="A443" i="48" s="1"/>
  <c r="A444" i="48" s="1"/>
  <c r="A445" i="48" s="1"/>
  <c r="A446" i="48" s="1"/>
  <c r="A447" i="48" s="1"/>
  <c r="A448" i="48" s="1"/>
  <c r="A449" i="48" s="1"/>
  <c r="A450" i="48" s="1"/>
  <c r="A451" i="48" s="1"/>
  <c r="A452" i="48" s="1"/>
  <c r="A453" i="48" s="1"/>
  <c r="A454" i="48" s="1"/>
  <c r="A455" i="48" s="1"/>
  <c r="A456" i="48" s="1"/>
  <c r="A457" i="48" s="1"/>
  <c r="A458" i="48" s="1"/>
  <c r="A459" i="48" s="1"/>
  <c r="A460" i="48" s="1"/>
  <c r="A461" i="48" s="1"/>
  <c r="A462" i="48" s="1"/>
  <c r="A463" i="48" s="1"/>
  <c r="A464" i="48" s="1"/>
  <c r="A465" i="48" s="1"/>
  <c r="A466" i="48" s="1"/>
  <c r="A467" i="48" s="1"/>
  <c r="A468" i="48" s="1"/>
  <c r="B7" i="49" l="1"/>
  <c r="E7" i="49"/>
  <c r="D7" i="49"/>
  <c r="C7" i="49"/>
</calcChain>
</file>

<file path=xl/sharedStrings.xml><?xml version="1.0" encoding="utf-8"?>
<sst xmlns="http://schemas.openxmlformats.org/spreadsheetml/2006/main" count="8117" uniqueCount="1931">
  <si>
    <t>W-021</t>
  </si>
  <si>
    <t>E71T-1C</t>
  </si>
  <si>
    <t>PTC.WQ.ISO9606-1.23.098</t>
  </si>
  <si>
    <t>W-024</t>
  </si>
  <si>
    <t>PTC.WQ.ISO9606-1.23.108</t>
  </si>
  <si>
    <t>W-032</t>
  </si>
  <si>
    <t>E7018.G</t>
  </si>
  <si>
    <t>WCERT-2211-03</t>
  </si>
  <si>
    <t>PTC.WQ.ISO9606-1.23.099</t>
  </si>
  <si>
    <t>W-096</t>
  </si>
  <si>
    <t>WCERT-2211-04</t>
  </si>
  <si>
    <t>W-321</t>
  </si>
  <si>
    <t>WCERT-2212-02</t>
  </si>
  <si>
    <t>W-611</t>
  </si>
  <si>
    <t>PTC.WQ.ISO9606-1.23.096</t>
  </si>
  <si>
    <t>W-646</t>
  </si>
  <si>
    <t>PTC.WQ.ISO9606-1.23.106</t>
  </si>
  <si>
    <t>W-662</t>
  </si>
  <si>
    <t>PTC.WQ.ISO9606-1.23.097</t>
  </si>
  <si>
    <t>W-706</t>
  </si>
  <si>
    <t>WCERT-2212-01</t>
  </si>
  <si>
    <t>W-746</t>
  </si>
  <si>
    <t>PTC.WQ.ISO9606-1.23.103</t>
  </si>
  <si>
    <t>W-780</t>
  </si>
  <si>
    <t>WCERT-2212-06</t>
  </si>
  <si>
    <t>PTC.WQ.ISO9606-1.23.105</t>
  </si>
  <si>
    <t>W-781</t>
  </si>
  <si>
    <t>PTC.WQ.ISO9606-1.23.104</t>
  </si>
  <si>
    <t>W-801</t>
  </si>
  <si>
    <t>WCERT-2212-03</t>
  </si>
  <si>
    <t>PTC.WQ.ISO9606-1.23.109</t>
  </si>
  <si>
    <t>W-816</t>
  </si>
  <si>
    <t>WCERT-2211-01</t>
  </si>
  <si>
    <t>W-841</t>
  </si>
  <si>
    <t>PTC.WQ.ISO9606-1.23.100</t>
  </si>
  <si>
    <t>W-842</t>
  </si>
  <si>
    <t>PTC.WQ.ISO9606-1.23.102</t>
  </si>
  <si>
    <t>W-844</t>
  </si>
  <si>
    <t>PTC.WQ.ISO9606-1.23.101</t>
  </si>
  <si>
    <t>W-865</t>
  </si>
  <si>
    <t>PTC.WQ.ISO9606-1.23.107</t>
  </si>
  <si>
    <t>W-884</t>
  </si>
  <si>
    <t>PTC.WQ.ISO-9606-1.23.116</t>
  </si>
  <si>
    <t>W-886</t>
  </si>
  <si>
    <t>PTC.WQ.ISO-9606-1.23.117</t>
  </si>
  <si>
    <t>W-888</t>
  </si>
  <si>
    <t>≥3</t>
  </si>
  <si>
    <t>PTC.WQ.ISO-9606-1.23.118</t>
  </si>
  <si>
    <t>W-889</t>
  </si>
  <si>
    <t>PTC.WQ.ISO-9606-1.23.119</t>
  </si>
  <si>
    <t>141</t>
  </si>
  <si>
    <t>WCERT-2212-07</t>
  </si>
  <si>
    <t>WCERT-2212-08</t>
  </si>
  <si>
    <t>WCERT-2212-09</t>
  </si>
  <si>
    <t>WCERT-2212-10</t>
  </si>
  <si>
    <t>141+136</t>
  </si>
  <si>
    <t>WCERT-2212-11</t>
  </si>
  <si>
    <t>WCERT-2212-12</t>
  </si>
  <si>
    <t>W-031</t>
  </si>
  <si>
    <t>WCERT-2212-16</t>
  </si>
  <si>
    <t>WCERT-2212-17</t>
  </si>
  <si>
    <t>WCERT-2212-13</t>
  </si>
  <si>
    <t>WCERT-2023-07</t>
  </si>
  <si>
    <t>WCERT-2024-021-10</t>
  </si>
  <si>
    <t>WCERT-2024-780-10</t>
  </si>
  <si>
    <t>WCERT-2024-032-30</t>
  </si>
  <si>
    <t>WCERT-2024-662-30</t>
  </si>
  <si>
    <t>WCERT-2024-780-30</t>
  </si>
  <si>
    <t>WCERT-2024-032-13</t>
  </si>
  <si>
    <t>WCERT-2024-321-13</t>
  </si>
  <si>
    <t>WCERT-2024-706-13</t>
  </si>
  <si>
    <t>WCERT-2024-884-13</t>
  </si>
  <si>
    <t>WCERT-2024-841-29</t>
  </si>
  <si>
    <t>WCERT-2024-706-29</t>
  </si>
  <si>
    <t>WCERT-2024-844-29</t>
  </si>
  <si>
    <t>WCERT-2024-781-29</t>
  </si>
  <si>
    <t>WCERT-2024-706-23</t>
  </si>
  <si>
    <t>WCERT-2024-611-29</t>
  </si>
  <si>
    <t>WCERT-2023-096</t>
  </si>
  <si>
    <t>WCERT-2023-842</t>
  </si>
  <si>
    <t>ER310</t>
  </si>
  <si>
    <t>WCERT-2024-096-19/12</t>
  </si>
  <si>
    <t>ENiCrFe-3</t>
  </si>
  <si>
    <t>WCERT-2024-032-19/12</t>
  </si>
  <si>
    <t>E308LT1-1/4</t>
  </si>
  <si>
    <t>PTC.WQ.ISO9606-1.24.146</t>
  </si>
  <si>
    <t>PTC.WQ.ISO9606-1.24.145</t>
  </si>
  <si>
    <t>WCERT-2023-746</t>
  </si>
  <si>
    <t>WCERT-2025-662-22</t>
  </si>
  <si>
    <t>WCERT-2025-816-22</t>
  </si>
  <si>
    <t>WCERT-2025-781-22</t>
  </si>
  <si>
    <t>WCERT-2025-321-22</t>
  </si>
  <si>
    <t>WCERT-2024-801-25</t>
  </si>
  <si>
    <t>W-982</t>
  </si>
  <si>
    <t>WCERT-2025-706-22</t>
  </si>
  <si>
    <t>X</t>
  </si>
  <si>
    <t>W-9012</t>
  </si>
  <si>
    <t>WCERT-2025-9012-020</t>
  </si>
  <si>
    <t>W-9007</t>
  </si>
  <si>
    <t>WCERT-2025-9007-020</t>
  </si>
  <si>
    <t>WCERT-2025-9007-021</t>
  </si>
  <si>
    <t>OSR-WPS-ASME-FC-004</t>
  </si>
  <si>
    <t>E316LT1-1/4</t>
  </si>
  <si>
    <t>FCAW</t>
  </si>
  <si>
    <t>1G</t>
  </si>
  <si>
    <t>Groove: Plate &amp; Pipe &gt;600 O.D: F
Pipe: 73mm ≤ O.D ≤ 610mm: F
Fillet: Plate &amp; Pipe: F</t>
  </si>
  <si>
    <t>OSR-WPS-ASME-FC-001</t>
  </si>
  <si>
    <t>3G</t>
  </si>
  <si>
    <t>OSR-WPS-ASME-FC-002</t>
  </si>
  <si>
    <t>OSR-WPS-ASME-GM-003</t>
  </si>
  <si>
    <t>GMAW</t>
  </si>
  <si>
    <t>OSR-WPS-ASME-GT-005</t>
  </si>
  <si>
    <t>ERNiCr 3</t>
  </si>
  <si>
    <t>GTAW</t>
  </si>
  <si>
    <t>ER70S-3</t>
  </si>
  <si>
    <t>2G</t>
  </si>
  <si>
    <t>Groove: Plate &amp; Pipe &gt;600 O.D: F,H
Pipe: 73mm ≤ O.D ≤ 610mm: F,H
Fillet: Plate &amp; Pipe: F,H</t>
  </si>
  <si>
    <t>W-782</t>
  </si>
  <si>
    <t>OSR-WPS-ASME-SM-007</t>
  </si>
  <si>
    <t>SMAW</t>
  </si>
  <si>
    <t>OSR-WPS-ASME-GT-006</t>
  </si>
  <si>
    <t>OSR-WPS-ASME-GM-010</t>
  </si>
  <si>
    <t>ER309</t>
  </si>
  <si>
    <t>W-935</t>
  </si>
  <si>
    <t>W-943</t>
  </si>
  <si>
    <t>OSR-WPS-ASME-GM-011</t>
  </si>
  <si>
    <t>W-981</t>
  </si>
  <si>
    <t>W-992</t>
  </si>
  <si>
    <t>W-4233</t>
  </si>
  <si>
    <t>W-0332</t>
  </si>
  <si>
    <t>W-4537</t>
  </si>
  <si>
    <t>W-8888</t>
  </si>
  <si>
    <t>JOB</t>
  </si>
  <si>
    <t>107</t>
  </si>
  <si>
    <t>E81T1-W2C</t>
  </si>
  <si>
    <t>WCERT-2025-024-015</t>
  </si>
  <si>
    <t>WCERT-2025-031-015</t>
  </si>
  <si>
    <t>WCERT-2025-032-015</t>
  </si>
  <si>
    <t>WCERT-2025-096-015</t>
  </si>
  <si>
    <t>WCERT-2025-646-015</t>
  </si>
  <si>
    <t>PTC.WQ.ISO9606-1.25.025</t>
  </si>
  <si>
    <t>WCERT-2025-746-015</t>
  </si>
  <si>
    <t>WCERT-2025-780-015</t>
  </si>
  <si>
    <t>WCERT-2025-781-015</t>
  </si>
  <si>
    <t>WCERT-2025-816-015</t>
  </si>
  <si>
    <t>WCERT-2025-844-015</t>
  </si>
  <si>
    <t>WCERT-2025-782-015</t>
  </si>
  <si>
    <t>WCERT-2025-884-015</t>
  </si>
  <si>
    <t>WCERT-2025-888-015</t>
  </si>
  <si>
    <t>WCERT-2025-9012-015</t>
  </si>
  <si>
    <t>WCERT-2025-9007-015</t>
  </si>
  <si>
    <t>W-U001</t>
  </si>
  <si>
    <t>PTC.WQ.ISO-9606-1.25.268</t>
  </si>
  <si>
    <t>W-U002</t>
  </si>
  <si>
    <t>PTC.WQ.ISO-9606-1.25.267</t>
  </si>
  <si>
    <t>W-U003</t>
  </si>
  <si>
    <t>PTC.WQ.ISO-9606-1.25.269</t>
  </si>
  <si>
    <t>W-U004</t>
  </si>
  <si>
    <t>PTC.WQ.ISO-9606-1.25.273</t>
  </si>
  <si>
    <t>W-U005</t>
  </si>
  <si>
    <t>PTC.WQ.ISO-9606-1.25.270</t>
  </si>
  <si>
    <t>W-U006</t>
  </si>
  <si>
    <t>PTC.WQ.ISO-9606-1.25.263</t>
  </si>
  <si>
    <t>W-U007</t>
  </si>
  <si>
    <t>PTC.WQ.ISO-9606-1.25.264</t>
  </si>
  <si>
    <t>PTC.WQ.ISO-9606-1.25.271</t>
  </si>
  <si>
    <t>W-U008</t>
  </si>
  <si>
    <t>PTC.WQ.ISO-9606-1.25.266</t>
  </si>
  <si>
    <t>PTC.WQ.ISO-9606-1.25.272</t>
  </si>
  <si>
    <t>W-4303</t>
  </si>
  <si>
    <t>WCERT-2025-4303-31 (1)</t>
  </si>
  <si>
    <t>WCERT-2025-4303-31 (2)</t>
  </si>
  <si>
    <t>W-8185</t>
  </si>
  <si>
    <t>WCERT-2025-8185-31 (1)</t>
  </si>
  <si>
    <t>WCERT-2025-8185-31 (2)</t>
  </si>
  <si>
    <t>W-8899</t>
  </si>
  <si>
    <t>WCERT-2025-8899-31</t>
  </si>
  <si>
    <t>WCERT-2025-4233-10</t>
  </si>
  <si>
    <t>WCERT-2025-4537-10</t>
  </si>
  <si>
    <t>W-5151</t>
  </si>
  <si>
    <t>WCERT-2025-5151-10</t>
  </si>
  <si>
    <t>W-0959</t>
  </si>
  <si>
    <t>WCERT-2025-0959-010</t>
  </si>
  <si>
    <t>W-3712</t>
  </si>
  <si>
    <t>WCERT-2025-3712-010</t>
  </si>
  <si>
    <t>W-7738</t>
  </si>
  <si>
    <t>WCERT-2025-7738-010</t>
  </si>
  <si>
    <t>W-7534</t>
  </si>
  <si>
    <t>WCERT-2025-7534-22</t>
  </si>
  <si>
    <t>W-3055</t>
  </si>
  <si>
    <t>WCERT-2025-3055-22</t>
  </si>
  <si>
    <t>W-8855</t>
  </si>
  <si>
    <t>WCERT-2025-8855-30</t>
  </si>
  <si>
    <t>W-4905</t>
  </si>
  <si>
    <t>W-3418</t>
  </si>
  <si>
    <t>WCERT-2025-3418-30</t>
  </si>
  <si>
    <t>W-7164</t>
  </si>
  <si>
    <t>WCERT-2025-7164-3</t>
  </si>
  <si>
    <t>W-3515</t>
  </si>
  <si>
    <t>WCERT-2025-3515-3</t>
  </si>
  <si>
    <t>W-2786</t>
  </si>
  <si>
    <t>WCERT-2025-2786-17</t>
  </si>
  <si>
    <t>W-6222</t>
  </si>
  <si>
    <t>WCERT-2025-6222-17</t>
  </si>
  <si>
    <t>W-1144</t>
  </si>
  <si>
    <t>WCERT-2025-1144-17</t>
  </si>
  <si>
    <t>W-6867</t>
  </si>
  <si>
    <t>WCERT-2025-6867-17</t>
  </si>
  <si>
    <t>W-3276</t>
  </si>
  <si>
    <t>WCERT-2025-3276-19</t>
  </si>
  <si>
    <t>100</t>
  </si>
  <si>
    <t>WCERT-2025-4537-26</t>
  </si>
  <si>
    <t>WCERT-2025-8888-26</t>
  </si>
  <si>
    <t>W-0288</t>
  </si>
  <si>
    <t>WCERT-2025-0288-01</t>
  </si>
  <si>
    <t>W-4063</t>
  </si>
  <si>
    <t>WCERT-2025-4063-01</t>
  </si>
  <si>
    <t>≥ 3</t>
  </si>
  <si>
    <t>OSR-WPS-ISO-PC+PF-005</t>
  </si>
  <si>
    <t>OSR-WPS-ISO-PB-ML-009</t>
  </si>
  <si>
    <t>OSR-WPS-ISO-PB-007</t>
  </si>
  <si>
    <t>OSR-WPS-ISO-PF-045</t>
  </si>
  <si>
    <t>OSR-WPS-ISO-003</t>
  </si>
  <si>
    <t>OSR-WPS-ISO-PA-038</t>
  </si>
  <si>
    <t>OSR-WPS-ISO-PF-012</t>
  </si>
  <si>
    <t>OSR-WPS-ISO-004</t>
  </si>
  <si>
    <t>OSR-WPS-ISO-PB-008</t>
  </si>
  <si>
    <t>OSR-WPS-ISO-PF-011</t>
  </si>
  <si>
    <t>OSR-WPS-ISO-PB-006</t>
  </si>
  <si>
    <t>OSR-WPS-ISO-PF-013</t>
  </si>
  <si>
    <t>OSR-WPS-ISO-PF-010</t>
  </si>
  <si>
    <t>OSR-WPS-ASME-GT/FC-012</t>
  </si>
  <si>
    <t>W-5345</t>
  </si>
  <si>
    <t>W-0714</t>
  </si>
  <si>
    <t>W-3594</t>
  </si>
  <si>
    <t>W-6033</t>
  </si>
  <si>
    <t>W-0428</t>
  </si>
  <si>
    <t>W-0165</t>
  </si>
  <si>
    <t>ER70S-3
E71T-1C</t>
  </si>
  <si>
    <t>Groove: Plate: F
Pipe: O.D ≥ 25mm: F
Fillet: Plate &amp; Pipe: F</t>
  </si>
  <si>
    <t>Groove
PA, PC</t>
  </si>
  <si>
    <t>Groove
PA, PB</t>
  </si>
  <si>
    <t>Groove
PA, PF</t>
  </si>
  <si>
    <t>Fillet
PA, PB</t>
  </si>
  <si>
    <t>Fillet
PA, PB, PF</t>
  </si>
  <si>
    <t>Groove, Fillet
PA, PB</t>
  </si>
  <si>
    <t>OSR1</t>
  </si>
  <si>
    <t>Groove: Plate &amp; Pipe &gt;600 O.D: F, H
Pipe: 73mm ≤ O.D ≤ 610mm: F, H
Fillet: Plate &amp; Pipe: F, H</t>
  </si>
  <si>
    <t>W-9479</t>
  </si>
  <si>
    <t>W-8356</t>
  </si>
  <si>
    <t>W-0440</t>
  </si>
  <si>
    <t>Groove
PA</t>
  </si>
  <si>
    <t>Groove 
PA, PC</t>
  </si>
  <si>
    <t>Groove
PA, PC, PE</t>
  </si>
  <si>
    <t>Fillet
PA</t>
  </si>
  <si>
    <t>Fillet
PA, PB, PC</t>
  </si>
  <si>
    <t>Fillet
PA, PF</t>
  </si>
  <si>
    <t>Groove PA, PC
Fillet PA, PB, PC</t>
  </si>
  <si>
    <t>Groove PA, PF
Fillet PA, PB, PF</t>
  </si>
  <si>
    <t>WCERT-2025-4905-30</t>
  </si>
  <si>
    <t>114</t>
  </si>
  <si>
    <t>WCERT-2025-031-26</t>
  </si>
  <si>
    <t>WCERT-2025-096-26</t>
  </si>
  <si>
    <t>WCERT-2024-782-26</t>
  </si>
  <si>
    <t>3 to 12</t>
  </si>
  <si>
    <t>WCERT-2023-865-07</t>
  </si>
  <si>
    <t>WCERT-2025-935-26</t>
  </si>
  <si>
    <t>OSR-001-3276</t>
  </si>
  <si>
    <t>OSR-010-3276</t>
  </si>
  <si>
    <t>OSR-001-3055</t>
  </si>
  <si>
    <t>OSR-011-3055</t>
  </si>
  <si>
    <t>OSR-001-7534</t>
  </si>
  <si>
    <t>OSR-001-816</t>
  </si>
  <si>
    <t>OSR-006-816</t>
  </si>
  <si>
    <t>OSR-002-842</t>
  </si>
  <si>
    <t>OSR-002-781</t>
  </si>
  <si>
    <t>OSR-002-4063</t>
  </si>
  <si>
    <t>OSR-001-9012</t>
  </si>
  <si>
    <t>OSR-002-841</t>
  </si>
  <si>
    <t>OSR-002-780</t>
  </si>
  <si>
    <t>OSR-002-8888</t>
  </si>
  <si>
    <t>OSR-003-611</t>
  </si>
  <si>
    <t>OSR-001-0332</t>
  </si>
  <si>
    <t>OSR-001-024</t>
  </si>
  <si>
    <t>OSR-004-021</t>
  </si>
  <si>
    <t>OSR-002-9479</t>
  </si>
  <si>
    <t>OSR-002-321</t>
  </si>
  <si>
    <t>OSR-005-321</t>
  </si>
  <si>
    <t>OSR-009-321</t>
  </si>
  <si>
    <t>OSR-002-706</t>
  </si>
  <si>
    <t>OSR-001-0165</t>
  </si>
  <si>
    <t>OSR-010-0165</t>
  </si>
  <si>
    <t>OSR-002-646</t>
  </si>
  <si>
    <t>OSR-002-031</t>
  </si>
  <si>
    <t>OSR-001-6033</t>
  </si>
  <si>
    <t>OSR-001-3594</t>
  </si>
  <si>
    <t>OSR-001-888</t>
  </si>
  <si>
    <t>OSR-002-943</t>
  </si>
  <si>
    <t>OSR-011-943</t>
  </si>
  <si>
    <t>OSR-002-801</t>
  </si>
  <si>
    <t>OSR-012-801</t>
  </si>
  <si>
    <t>OSR-001-0440</t>
  </si>
  <si>
    <t>OSR-001-844</t>
  </si>
  <si>
    <t>OSR-010-844</t>
  </si>
  <si>
    <t>OSR-002-096</t>
  </si>
  <si>
    <t>OSR-002-9007</t>
  </si>
  <si>
    <t>OSR-002-8356</t>
  </si>
  <si>
    <t>OSR-001-5345</t>
  </si>
  <si>
    <t>OSR-001-0714</t>
  </si>
  <si>
    <t>OSR-002-782</t>
  </si>
  <si>
    <t>OSR-007-782</t>
  </si>
  <si>
    <t>OSR-001-4537</t>
  </si>
  <si>
    <t>OSR-001-0288</t>
  </si>
  <si>
    <t>OSR-004-865</t>
  </si>
  <si>
    <t>OSR-012-865</t>
  </si>
  <si>
    <t>OSR-003-032</t>
  </si>
  <si>
    <t>OSR-001-662</t>
  </si>
  <si>
    <t>OSR-011-992</t>
  </si>
  <si>
    <t>OSR-001-935</t>
  </si>
  <si>
    <t>OSR-010-935</t>
  </si>
  <si>
    <t>OSR-002-884</t>
  </si>
  <si>
    <t>OSR-002-746</t>
  </si>
  <si>
    <t>OSR-002-0428</t>
  </si>
  <si>
    <t>OSR-011-0428</t>
  </si>
  <si>
    <r>
      <t xml:space="preserve">WPS No.
</t>
    </r>
    <r>
      <rPr>
        <sz val="10"/>
        <color indexed="8"/>
        <rFont val="Times New Roman"/>
        <family val="1"/>
      </rPr>
      <t>Số quy trình hàn</t>
    </r>
  </si>
  <si>
    <t>UPDATE</t>
  </si>
  <si>
    <t>HÀN 2</t>
  </si>
  <si>
    <t>HÀN 1</t>
  </si>
  <si>
    <t>ĐÃ NGHỈ</t>
  </si>
  <si>
    <t>OSR-WPS-ISO-PA-014</t>
  </si>
  <si>
    <t>OSR-WPS-ISO-PC-015</t>
  </si>
  <si>
    <t>OSR-WPS-ISO-PC-016</t>
  </si>
  <si>
    <t>OSR-WPS-ISO-PC-017</t>
  </si>
  <si>
    <t>OSR-WPS-ISO-018M</t>
  </si>
  <si>
    <t>OSR-WPS-ISO-019</t>
  </si>
  <si>
    <t>OSR-WPS-ISO-PE-020</t>
  </si>
  <si>
    <t>OSR-WPS-ISO-PF-021</t>
  </si>
  <si>
    <t>OSR-WPS-ISO-PF-023</t>
  </si>
  <si>
    <t>OSR-WPS-ISO-PF-024</t>
  </si>
  <si>
    <t>OSR-WPS-ISO-PF-026</t>
  </si>
  <si>
    <t>OSR-WPS-ISO-PF-029</t>
  </si>
  <si>
    <t>OSR-WPS-ISO-PA-028</t>
  </si>
  <si>
    <r>
      <rPr>
        <b/>
        <sz val="18"/>
        <rFont val="Times New Roman"/>
        <family val="1"/>
      </rPr>
      <t>LIST OF WELDING PROCEDURE SPECIFICATION (WPS) &amp; QUALIFICATION RECORD (PQR)</t>
    </r>
    <r>
      <rPr>
        <sz val="18"/>
        <rFont val="Times New Roman"/>
        <family val="1"/>
      </rPr>
      <t xml:space="preserve">
DANH SÁCH QUI TRÌNH VÀ HỒ SƠ ĐÁNH GIÁ QUI TRÌNH HÀN</t>
    </r>
  </si>
  <si>
    <r>
      <rPr>
        <b/>
        <sz val="11"/>
        <rFont val="Times New Roman"/>
        <family val="1"/>
      </rPr>
      <t xml:space="preserve">Parent material
</t>
    </r>
    <r>
      <rPr>
        <sz val="11"/>
        <rFont val="Times New Roman"/>
        <family val="1"/>
      </rPr>
      <t>Vật liệu gốc</t>
    </r>
  </si>
  <si>
    <r>
      <rPr>
        <b/>
        <sz val="11"/>
        <rFont val="Times New Roman"/>
        <family val="1"/>
      </rPr>
      <t>Sub-Gr No.</t>
    </r>
    <r>
      <rPr>
        <sz val="11"/>
        <rFont val="Times New Roman"/>
        <family val="1"/>
      </rPr>
      <t xml:space="preserve">
Nhóm vật liệu</t>
    </r>
  </si>
  <si>
    <r>
      <rPr>
        <b/>
        <sz val="11"/>
        <rFont val="Times New Roman"/>
        <family val="1"/>
      </rPr>
      <t>Thickness of coupon (mm)</t>
    </r>
    <r>
      <rPr>
        <sz val="11"/>
        <rFont val="Times New Roman"/>
        <family val="1"/>
      </rPr>
      <t xml:space="preserve">
Chiều dày mẫu</t>
    </r>
  </si>
  <si>
    <r>
      <rPr>
        <b/>
        <sz val="11"/>
        <rFont val="Times New Roman"/>
        <family val="1"/>
      </rPr>
      <t>Filler metal</t>
    </r>
    <r>
      <rPr>
        <sz val="11"/>
        <rFont val="Times New Roman"/>
        <family val="1"/>
      </rPr>
      <t xml:space="preserve">
Vật liệu hàn</t>
    </r>
  </si>
  <si>
    <r>
      <rPr>
        <b/>
        <sz val="11"/>
        <rFont val="Times New Roman"/>
        <family val="1"/>
      </rPr>
      <t>Welding position and outside diameter of range of qualification (mm)</t>
    </r>
    <r>
      <rPr>
        <sz val="11"/>
        <rFont val="Times New Roman"/>
        <family val="1"/>
      </rPr>
      <t xml:space="preserve">
Phạm vi vị trí hàn và kích thước ống </t>
    </r>
  </si>
  <si>
    <r>
      <rPr>
        <b/>
        <sz val="11"/>
        <rFont val="Times New Roman"/>
        <family val="1"/>
      </rPr>
      <t xml:space="preserve">Parent material
of range of qualification
</t>
    </r>
    <r>
      <rPr>
        <sz val="11"/>
        <rFont val="Times New Roman"/>
        <family val="1"/>
      </rPr>
      <t>Phạm vi vật liệu áp dụng</t>
    </r>
  </si>
  <si>
    <r>
      <rPr>
        <b/>
        <sz val="11"/>
        <rFont val="Times New Roman"/>
        <family val="1"/>
      </rPr>
      <t>Refer</t>
    </r>
    <r>
      <rPr>
        <sz val="11"/>
        <rFont val="Times New Roman"/>
        <family val="1"/>
      </rPr>
      <t xml:space="preserve">
Tham khảo</t>
    </r>
  </si>
  <si>
    <t>OSR-WPS-ISO-001</t>
  </si>
  <si>
    <t>PF</t>
  </si>
  <si>
    <t>All, except PG, PJ, J-L045
OD &gt; 500 (All)
OD &gt;150 (PA, PF, PC_rotated)</t>
  </si>
  <si>
    <t>OSR-WPS-ISO-002</t>
  </si>
  <si>
    <t>Q355B+Q355B</t>
  </si>
  <si>
    <t>PC+PF</t>
  </si>
  <si>
    <t>x</t>
  </si>
  <si>
    <t>PB</t>
  </si>
  <si>
    <t>OD  ≥  24.15mm 
PA; PB; PC; PE; PF; PH</t>
  </si>
  <si>
    <t>Ø48.3xt4
t = 25</t>
  </si>
  <si>
    <t>E309HT1-1</t>
  </si>
  <si>
    <t>OD &gt; 500mm (All)
OD &gt;150mm (PA, PF, PC_rootated)</t>
  </si>
  <si>
    <t>OD &gt; 500 (All)
OD &gt;150 (PA, PF, PC_rotated)</t>
  </si>
  <si>
    <t>NM500+NM500</t>
  </si>
  <si>
    <t>-</t>
  </si>
  <si>
    <t>E81T1-Ni 1C</t>
  </si>
  <si>
    <t>OD &gt; 500 (All)
OD&gt;150 (PA,PF,PC_rootated)</t>
  </si>
  <si>
    <t>E81T1-Ni 1C
SC-700H</t>
  </si>
  <si>
    <t>PA</t>
  </si>
  <si>
    <t>PC</t>
  </si>
  <si>
    <t>SUS316L+SUS316L</t>
  </si>
  <si>
    <t>ER316L</t>
  </si>
  <si>
    <t>&gt;500  all
&gt;150  PA, PF rotated and PC</t>
  </si>
  <si>
    <t>OD48.3x7.1</t>
  </si>
  <si>
    <t>OD  ≥  24.2</t>
  </si>
  <si>
    <t>SS304+SS304</t>
  </si>
  <si>
    <t>E308LT1-1/-4</t>
  </si>
  <si>
    <t>OD  ≥  24</t>
  </si>
  <si>
    <t>SS316L+SS316L</t>
  </si>
  <si>
    <t>PE</t>
  </si>
  <si>
    <t>OSR-WPS-ISO-PA-022</t>
  </si>
  <si>
    <t>D&gt;500mm or &gt;150mm PA or PC (rotated position)</t>
  </si>
  <si>
    <t>S355J2WP+S355J2WP</t>
  </si>
  <si>
    <t>E81T1-Ni1J-C</t>
  </si>
  <si>
    <t>OSR-WPS-ISO-PA-025</t>
  </si>
  <si>
    <t>H16</t>
  </si>
  <si>
    <t>ER4043</t>
  </si>
  <si>
    <t>OSR-WPS-ISO-PF-027</t>
  </si>
  <si>
    <t>NM450+NM450</t>
  </si>
  <si>
    <t>OD &gt; 500 (All)
OD&gt;150 (PA_rootated)</t>
  </si>
  <si>
    <t>OSR-WPS-ISO-PA-030</t>
  </si>
  <si>
    <t>OD &gt; 500mm (All)
OD &gt;150mm (PA, PF, PC_rotated)</t>
  </si>
  <si>
    <t>OSR-WPS-ISO-PA-031</t>
  </si>
  <si>
    <t>ER80S-Ni1</t>
  </si>
  <si>
    <t>OSR-WPS-ISO-PB-032</t>
  </si>
  <si>
    <t>OSR-WPS-ISO-PF-033</t>
  </si>
  <si>
    <t>OSR-WPS-ISO-PC-034</t>
  </si>
  <si>
    <t>OSR-WPS-ISO-PF-035</t>
  </si>
  <si>
    <t>OD &gt; 500mm (All)
OD &gt;150mm (PA, PF_rotated)</t>
  </si>
  <si>
    <t>ER70S-G
E71T1-C1</t>
  </si>
  <si>
    <t>OD  ≥  30.15mm</t>
  </si>
  <si>
    <t>OSR-WPS-ISO-PA-037</t>
  </si>
  <si>
    <t>SS310S+SS310S</t>
  </si>
  <si>
    <t>SB163 SS310S+A516Gr.70</t>
  </si>
  <si>
    <t>SS310S to A516Gr.70</t>
  </si>
  <si>
    <t>OSR-WPS-ISO-PA-039</t>
  </si>
  <si>
    <t>SB163 SS601S+A516Gr.70</t>
  </si>
  <si>
    <t>SS601S to A516Gr.70</t>
  </si>
  <si>
    <t>OSR-WPS-ISO-PF-040</t>
  </si>
  <si>
    <t>OD &gt; 150 mm</t>
  </si>
  <si>
    <t>OSR-WPS-ISO-PF-041</t>
  </si>
  <si>
    <t>OSR-WPS-ISO-PF-042</t>
  </si>
  <si>
    <t>OSR-WPS-ISO-PA-043</t>
  </si>
  <si>
    <t>ER80S-G
E81T1-W2C</t>
  </si>
  <si>
    <t>OSR-WPS-ISO-PB-044</t>
  </si>
  <si>
    <t>OSR-WPS-ISO-PC-046</t>
  </si>
  <si>
    <t>OSR-WPS-ISO-PA-047</t>
  </si>
  <si>
    <t>EN-AW 6060 T66+
EN-AW 6060 T66</t>
  </si>
  <si>
    <t>ER5356</t>
  </si>
  <si>
    <t>OSR-WPS-ISO-PB-048</t>
  </si>
  <si>
    <t>OD  ≥  17</t>
  </si>
  <si>
    <t>OSR-WPS-ISO-PF-049</t>
  </si>
  <si>
    <t>OSR-WPS-ISO-PF-050</t>
  </si>
  <si>
    <t>E309LT1-1/-4</t>
  </si>
  <si>
    <t>OSR-WPS-ISO-PF-051</t>
  </si>
  <si>
    <t>OSR-WPS-ISO-PB-052</t>
  </si>
  <si>
    <t>OSR-WPS-ISO-PF-053</t>
  </si>
  <si>
    <t>OSR-WPS-ISO-PF-054</t>
  </si>
  <si>
    <t>S235JR+SS316L</t>
  </si>
  <si>
    <t>OSR-WPS-ISO-PF-055</t>
  </si>
  <si>
    <t>E316LT1-1/-4</t>
  </si>
  <si>
    <t>OSR-WPS-ISO-PF-056</t>
  </si>
  <si>
    <t>OSR-WPS-ISO-PF-057</t>
  </si>
  <si>
    <t>OSR-WPS-ISO-PF-058</t>
  </si>
  <si>
    <t>OSR-WPS-ISO-PF-059</t>
  </si>
  <si>
    <t>OSR-WPS-ISO-PA-060</t>
  </si>
  <si>
    <t>52</t>
  </si>
  <si>
    <t>AW 6060 T66+AW 6060 T66</t>
  </si>
  <si>
    <t>BW: 2 to 4
FW: 1.4 to 4</t>
  </si>
  <si>
    <t>OSR-WPS-ISO-PA-061</t>
  </si>
  <si>
    <t>A500Gr.B+SS316L</t>
  </si>
  <si>
    <t>ER309L</t>
  </si>
  <si>
    <t>OSR-WPS-ISO-PF-062</t>
  </si>
  <si>
    <t xml:space="preserve"> A36; A516 Gr. 70; 
A53 Gr. B; A105</t>
  </si>
  <si>
    <t>ASME IX</t>
  </si>
  <si>
    <t>A240 310 + A240 310</t>
  </si>
  <si>
    <t>A240 TP316 + A240 TP316</t>
  </si>
  <si>
    <t>A240 310(S/H);
A240 304(L)</t>
  </si>
  <si>
    <t>A240 SS310S + A516 Gr. 70</t>
  </si>
  <si>
    <t>A312 316(L)</t>
  </si>
  <si>
    <t>SB163 SS601S + A516 Gr. 70</t>
  </si>
  <si>
    <t>SS601S+A516Gr.70</t>
  </si>
  <si>
    <t>OSR-WPS-ASME-FC-008</t>
  </si>
  <si>
    <t>OSR-WPS-ASME-FC-009</t>
  </si>
  <si>
    <t>A516Gr.70 + A516Gr.70</t>
  </si>
  <si>
    <t>GTAW
FCAW</t>
  </si>
  <si>
    <t>API 5L X52+API 5L X52</t>
  </si>
  <si>
    <t>OSR-WPS-D1.1-FC-001</t>
  </si>
  <si>
    <t>SN400B+SN400B</t>
  </si>
  <si>
    <t>AWS D1.1</t>
  </si>
  <si>
    <t>OSR-WPS-D1.1-FC-002</t>
  </si>
  <si>
    <t>SN400B</t>
  </si>
  <si>
    <t>OSR-WPS-D1.1-FC-003</t>
  </si>
  <si>
    <t>F, H
OD  ≥  600</t>
  </si>
  <si>
    <t>SS400</t>
  </si>
  <si>
    <t>OSR-WPS-D1.6-FC-005</t>
  </si>
  <si>
    <t>All Gr. B</t>
  </si>
  <si>
    <t>AWS D1.6</t>
  </si>
  <si>
    <t>OSR-WPS-D1.1-SA-006</t>
  </si>
  <si>
    <t>SAW</t>
  </si>
  <si>
    <t>F7A6-EM12K</t>
  </si>
  <si>
    <t>F
OD  ≥  600</t>
  </si>
  <si>
    <t>SN490B</t>
  </si>
  <si>
    <t>OSR-WPS-D1.1-FC-007</t>
  </si>
  <si>
    <t>OSR-WPS-D1.3-FC-008</t>
  </si>
  <si>
    <t>F</t>
  </si>
  <si>
    <t>AWS D1.3</t>
  </si>
  <si>
    <t>OSR-WPS-D1.3-FC-009</t>
  </si>
  <si>
    <t>OSR-WPS-D1.1-FC-010</t>
  </si>
  <si>
    <t>S.Ten1</t>
  </si>
  <si>
    <t>OSR-WPS-D1.1-GT-011</t>
  </si>
  <si>
    <t>ER70S-G</t>
  </si>
  <si>
    <t>F, H, V, OH
OD  ≥  60.5</t>
  </si>
  <si>
    <t>STPG370E-G</t>
  </si>
  <si>
    <t>OSR-WPS-D1.6-FC-012</t>
  </si>
  <si>
    <t>E309LT1-1/4</t>
  </si>
  <si>
    <t>OSR-WPS-D9.1-GT-013</t>
  </si>
  <si>
    <t>AWS D9.1</t>
  </si>
  <si>
    <t>OSR-WPS-D1.6-FC-014</t>
  </si>
  <si>
    <t>E308LT1-1</t>
  </si>
  <si>
    <t>F, H, V
OD  ≥  600</t>
  </si>
  <si>
    <t>OSR-WPS-D1.1-GT+FC-015</t>
  </si>
  <si>
    <t>F, H, V, OH
OD  ≥  200</t>
  </si>
  <si>
    <t>OSR-WPS-D1.1-FC-016</t>
  </si>
  <si>
    <t>OSR-WPS-D1.1-FC-017</t>
  </si>
  <si>
    <t>S.Ten1+SS400</t>
  </si>
  <si>
    <t>OSR-WPS-D1.1-FC-018</t>
  </si>
  <si>
    <t>OSR-WPS-D9.1-GT-019</t>
  </si>
  <si>
    <t>SS400+SUS430</t>
  </si>
  <si>
    <t>OSR-WPS-D9.1-GT-020</t>
  </si>
  <si>
    <t>A36+SUS304</t>
  </si>
  <si>
    <t>OSR-WPS-D1.1-FC-021</t>
  </si>
  <si>
    <t>SA387M Gr12+SS400</t>
  </si>
  <si>
    <t>E81T1-B2C</t>
  </si>
  <si>
    <t>OSR-WPS-D1.1-FC-022</t>
  </si>
  <si>
    <t>SA387M Gr12+SA387M Gr12</t>
  </si>
  <si>
    <t>SA387M Gr12</t>
  </si>
  <si>
    <t>OSR-WPS-D1.6-FC-023</t>
  </si>
  <si>
    <t>SS400+253MA</t>
  </si>
  <si>
    <t>E309TO-1</t>
  </si>
  <si>
    <t>OSR-WPS-D1.6-FC-024</t>
  </si>
  <si>
    <t>MC253MA</t>
  </si>
  <si>
    <t>253MA</t>
  </si>
  <si>
    <t>OSR-WPS-D1.6-FC-025</t>
  </si>
  <si>
    <t>OSR-WPS-D1.6-FC-026</t>
  </si>
  <si>
    <t>SS400+SUS304</t>
  </si>
  <si>
    <t>OSR-WPS-D1.6-FC-027</t>
  </si>
  <si>
    <t>E308HT1-1/4</t>
  </si>
  <si>
    <t>OSR-WPS-D9.1-GT-028</t>
  </si>
  <si>
    <t>OSR-WPS-D1.1-FC-029</t>
  </si>
  <si>
    <t>NSSW SF-60</t>
  </si>
  <si>
    <t>W.Ten 590RE</t>
  </si>
  <si>
    <t>OSR-WPS-D1.1-FC-030</t>
  </si>
  <si>
    <t>NSSW SF-1ST</t>
  </si>
  <si>
    <t>OSR-WPS-D1.1-GM-031</t>
  </si>
  <si>
    <t>SS400+SPHC</t>
  </si>
  <si>
    <t>ER70S-6</t>
  </si>
  <si>
    <t>OSR-WPS-D1.1-FC-032</t>
  </si>
  <si>
    <t>SS400+S.Ten1</t>
  </si>
  <si>
    <t>OSR-WPS-D1.3-GT-033</t>
  </si>
  <si>
    <t>1.6/12</t>
  </si>
  <si>
    <t>NSSW YT-1ST</t>
  </si>
  <si>
    <t>OSR-WPS-D1.1-GM-034</t>
  </si>
  <si>
    <t>SPHC</t>
  </si>
  <si>
    <t>OSR-WPS-D1.1-SM-035</t>
  </si>
  <si>
    <t>E7018</t>
  </si>
  <si>
    <t>OSR-WPS-D1.6-FC-036</t>
  </si>
  <si>
    <t>OSR-WPS-D1.1-FC-037</t>
  </si>
  <si>
    <t>OH
OD  ≥  600</t>
  </si>
  <si>
    <t>OSR-WPS-D1.1-FC-038</t>
  </si>
  <si>
    <t>OSR-WPS-D1.1-FC-039</t>
  </si>
  <si>
    <t>SM490A+SS400</t>
  </si>
  <si>
    <t>OSR-WPS-D1.1-FC-040</t>
  </si>
  <si>
    <t>SM490A+S25C-N</t>
  </si>
  <si>
    <t>2F</t>
  </si>
  <si>
    <t>OSR-WPS-D1.1-FC-041</t>
  </si>
  <si>
    <t>SS400+S25C-N</t>
  </si>
  <si>
    <t>OSR-WPS-D1.1-FC-042</t>
  </si>
  <si>
    <t>SA387M Gr12+SA182 F12cl2</t>
  </si>
  <si>
    <t>E81T1-B2C2</t>
  </si>
  <si>
    <t>OSR-WPS-D9.1-GM-043</t>
  </si>
  <si>
    <t>OSR-WPS-D1.1-FC-044</t>
  </si>
  <si>
    <t>STPG370E-G+SS400</t>
  </si>
  <si>
    <t>OSR-WPS-D1.1-FC-045</t>
  </si>
  <si>
    <t>STPY400+STPY400</t>
  </si>
  <si>
    <t>F
OD  ≥  355.6</t>
  </si>
  <si>
    <t>OSR-WPS-D1.1-FC-046</t>
  </si>
  <si>
    <t>OSR-WPS-D1.1-FC-047</t>
  </si>
  <si>
    <t>ABREX500+SS400</t>
  </si>
  <si>
    <t>OSR-WPS-D1.1-FC-048</t>
  </si>
  <si>
    <t>STPG370+STPG370</t>
  </si>
  <si>
    <t>F
OD  ≥  48.6</t>
  </si>
  <si>
    <t>OSR-WPS-D1.1-FC-049</t>
  </si>
  <si>
    <t>S45C+SS400</t>
  </si>
  <si>
    <t>F, H
OD  ≥  22</t>
  </si>
  <si>
    <t>OSR-WPS-D1.1-FC-050</t>
  </si>
  <si>
    <t>STPG370+SPHC</t>
  </si>
  <si>
    <t>5F</t>
  </si>
  <si>
    <t>All
OD  ≥  27.2</t>
  </si>
  <si>
    <t>OSR-WPS-D1.6-FC-051</t>
  </si>
  <si>
    <t>E309L</t>
  </si>
  <si>
    <t>OSR-WPS-D1.1-FC-052</t>
  </si>
  <si>
    <t>SS400+SGP</t>
  </si>
  <si>
    <t>OSR-WPS-D1.6-FC-053</t>
  </si>
  <si>
    <t>STPG370+SUS304</t>
  </si>
  <si>
    <t>OSR-WPS-D1.1-SM-054</t>
  </si>
  <si>
    <t>E8016-B2</t>
  </si>
  <si>
    <t>OSR-WPS-D1.6-FC-055</t>
  </si>
  <si>
    <t>A</t>
  </si>
  <si>
    <t>E316LT1-1-4</t>
  </si>
  <si>
    <t>All Gr. A</t>
  </si>
  <si>
    <t>OSR-WPS-D1.6-FC-056</t>
  </si>
  <si>
    <t>SS400+SUS316L</t>
  </si>
  <si>
    <t>E309T1-1-4</t>
  </si>
  <si>
    <t>OSR-WPS-D1.1-FC-057</t>
  </si>
  <si>
    <t>STPY400+SS400</t>
  </si>
  <si>
    <t>F, H
OD  ≥  556.6</t>
  </si>
  <si>
    <t>OSR-WPS-D1.1-FC-058</t>
  </si>
  <si>
    <t>SM490A+SM490A</t>
  </si>
  <si>
    <t>OSR-WPS-D1.1-FC-059</t>
  </si>
  <si>
    <t>OSR-WPS-D1.1-FC-060</t>
  </si>
  <si>
    <t>SM490A+STPG370</t>
  </si>
  <si>
    <t>F, H
OD  ≥  89.1</t>
  </si>
  <si>
    <t>OSR-WPS-D1.1-FC-061</t>
  </si>
  <si>
    <t>SS400+STPT410</t>
  </si>
  <si>
    <t>OSR-WPS-D1.1-FC-062</t>
  </si>
  <si>
    <t>SS400+
ASTM A53 Gr B</t>
  </si>
  <si>
    <t>OSR-WPS-D1.1-FC-063</t>
  </si>
  <si>
    <t>SM490A+
ASTM A53 Gr B</t>
  </si>
  <si>
    <t>OSR-WPS-D1.1-FC-064</t>
  </si>
  <si>
    <t>OSR-WPS-D1.1-FC-065</t>
  </si>
  <si>
    <t>Q355B+SUS304</t>
  </si>
  <si>
    <t>OSR-WPS-D1.1-FC-066</t>
  </si>
  <si>
    <t>OSR-WPS-D1.1-FC-067</t>
  </si>
  <si>
    <t>A572-50+Q355B</t>
  </si>
  <si>
    <t>OSR-WPS-D1.1-FC-068</t>
  </si>
  <si>
    <t>F
20≤OD≤100</t>
  </si>
  <si>
    <t>All Gr. I</t>
  </si>
  <si>
    <t>OSR-WPS-D1.1-FC-069</t>
  </si>
  <si>
    <t>A36+Q355B</t>
  </si>
  <si>
    <t>OSR-WPS-D1.1-FC-070</t>
  </si>
  <si>
    <t>A36+SS400</t>
  </si>
  <si>
    <t>OSR-WPS-D1.1-FC-071</t>
  </si>
  <si>
    <t>SUS 304H+SUS 409</t>
  </si>
  <si>
    <t>EC409</t>
  </si>
  <si>
    <t>OSR-WPS-D1.1-FC-072</t>
  </si>
  <si>
    <t>SUS 304H+A516-70</t>
  </si>
  <si>
    <t>OSR-WPS-D1.1-FC-073</t>
  </si>
  <si>
    <t>OSR-WPS-D1.1-FC-074</t>
  </si>
  <si>
    <t>OSR-WPS-D1.1-FC-075</t>
  </si>
  <si>
    <t>OSR-WPS-D1.1-FC-076</t>
  </si>
  <si>
    <t>OSR-WPS-D1.1-FC-077</t>
  </si>
  <si>
    <t>2;3G</t>
  </si>
  <si>
    <t>OSR-WPS-D1.1-FC-078</t>
  </si>
  <si>
    <t>OSR-WPS-D1.1-FC-079</t>
  </si>
  <si>
    <t>OSR-WPS-D1.1-FC-080</t>
  </si>
  <si>
    <t>A53.B+A36</t>
  </si>
  <si>
    <t>F, H
OD  ≥  48.3</t>
  </si>
  <si>
    <t>OSR-WPS-D1.1-FC-081</t>
  </si>
  <si>
    <t>OSR-WPS-D1.1-FC-082</t>
  </si>
  <si>
    <t>OSR-WPS-D1.1-FC-083</t>
  </si>
  <si>
    <t>SGP+SGP</t>
  </si>
  <si>
    <t>F, H
OD  ≥  27.2</t>
  </si>
  <si>
    <t>OSR-WPS-D1.1-FC-084</t>
  </si>
  <si>
    <t>F, H
OD  ≥  33.4</t>
  </si>
  <si>
    <t>OSR-WPS-D1.6-GT-085</t>
  </si>
  <si>
    <t>ER316</t>
  </si>
  <si>
    <t>F
OD  ≥  25</t>
  </si>
  <si>
    <t>A312 TP316+
A312 TP316</t>
  </si>
  <si>
    <t>OSR-WPS-D1.1-FC-086</t>
  </si>
  <si>
    <t>OSR-WPS-D1.2-GT-087</t>
  </si>
  <si>
    <t>F
OD  ≥  610</t>
  </si>
  <si>
    <t>3004, Alclad 3004, 5052, 5154, 5254, 5454, 5652.</t>
  </si>
  <si>
    <t>AWS D1.2</t>
  </si>
  <si>
    <t>OSR-WPS-D1.1-FC-088</t>
  </si>
  <si>
    <t>4G</t>
  </si>
  <si>
    <t>OSR-WPS-D1.1-FC-089</t>
  </si>
  <si>
    <t>Q355B+A53 Gr. B</t>
  </si>
  <si>
    <t>I</t>
  </si>
  <si>
    <t>OSR-WPS-D9.1-GT-090</t>
  </si>
  <si>
    <t>SS400+SS316L</t>
  </si>
  <si>
    <t>OSR-WPS-C7.4-LBW-091</t>
  </si>
  <si>
    <t>LBW</t>
  </si>
  <si>
    <t>AWS C7.4</t>
  </si>
  <si>
    <t>OSR-WPS-D1.1-FC-092</t>
  </si>
  <si>
    <t>Q235B; Q355B+A500Gr.B</t>
  </si>
  <si>
    <t>1.1; 1.2</t>
  </si>
  <si>
    <t>ISO-001</t>
  </si>
  <si>
    <t>ISO-002</t>
  </si>
  <si>
    <t>ISO-003</t>
  </si>
  <si>
    <t>ISO-004</t>
  </si>
  <si>
    <t>ISO-005</t>
  </si>
  <si>
    <t>ISO-006</t>
  </si>
  <si>
    <t>ISO-007</t>
  </si>
  <si>
    <t>ISO-008</t>
  </si>
  <si>
    <t>ISO-009</t>
  </si>
  <si>
    <t>ISO-010</t>
  </si>
  <si>
    <t>ISO-011</t>
  </si>
  <si>
    <t>ISO-012</t>
  </si>
  <si>
    <t>ISO-013</t>
  </si>
  <si>
    <t>ISO-014</t>
  </si>
  <si>
    <t>ISO-015</t>
  </si>
  <si>
    <t>ISO-016</t>
  </si>
  <si>
    <t>ISO-017</t>
  </si>
  <si>
    <t>ISO-019</t>
  </si>
  <si>
    <t>ISO-020</t>
  </si>
  <si>
    <t>ISO-021</t>
  </si>
  <si>
    <t>ISO-022</t>
  </si>
  <si>
    <t>ISO-023</t>
  </si>
  <si>
    <t>ISO-024</t>
  </si>
  <si>
    <t>ISO-025</t>
  </si>
  <si>
    <t>ISO-026</t>
  </si>
  <si>
    <t>ISO-027</t>
  </si>
  <si>
    <t>ISO-028</t>
  </si>
  <si>
    <t>ISO-029</t>
  </si>
  <si>
    <t>ISO-030</t>
  </si>
  <si>
    <t>ISO-031</t>
  </si>
  <si>
    <t>ISO-032</t>
  </si>
  <si>
    <t>ISO-033</t>
  </si>
  <si>
    <t>ISO-034</t>
  </si>
  <si>
    <t>ISO-035</t>
  </si>
  <si>
    <t>ISO-036</t>
  </si>
  <si>
    <t>ISO-037</t>
  </si>
  <si>
    <t>ISO-038</t>
  </si>
  <si>
    <t>ISO-039</t>
  </si>
  <si>
    <t>ISO-040</t>
  </si>
  <si>
    <t>ISO-041</t>
  </si>
  <si>
    <t>ISO-042</t>
  </si>
  <si>
    <t>ISO-043</t>
  </si>
  <si>
    <t>ISO-044</t>
  </si>
  <si>
    <t>ISO-045</t>
  </si>
  <si>
    <t>ISO-046</t>
  </si>
  <si>
    <t>ISO-047</t>
  </si>
  <si>
    <t>ISO-048</t>
  </si>
  <si>
    <t>ISO-049</t>
  </si>
  <si>
    <t>ISO-050</t>
  </si>
  <si>
    <t>ISO-051</t>
  </si>
  <si>
    <t>ISO-052</t>
  </si>
  <si>
    <t>ISO-053</t>
  </si>
  <si>
    <t>ISO-054</t>
  </si>
  <si>
    <t>ISO-055</t>
  </si>
  <si>
    <t>ISO-056</t>
  </si>
  <si>
    <t>ISO-057</t>
  </si>
  <si>
    <t>ISO-058</t>
  </si>
  <si>
    <t>ISO-059</t>
  </si>
  <si>
    <t>ISO-060</t>
  </si>
  <si>
    <t>ISO-061</t>
  </si>
  <si>
    <t>ISO-062</t>
  </si>
  <si>
    <t>ASME-001</t>
  </si>
  <si>
    <t>ASME-002</t>
  </si>
  <si>
    <t>ASME-003</t>
  </si>
  <si>
    <t>ASME-004</t>
  </si>
  <si>
    <t>ASME-005</t>
  </si>
  <si>
    <t>ASME-006</t>
  </si>
  <si>
    <t>ASME-007</t>
  </si>
  <si>
    <t>ASME-008</t>
  </si>
  <si>
    <t>ASME-009</t>
  </si>
  <si>
    <t>ASME-010</t>
  </si>
  <si>
    <t>ASME-011</t>
  </si>
  <si>
    <t>ASME-012</t>
  </si>
  <si>
    <t>AWS-001</t>
  </si>
  <si>
    <t>AWS-002</t>
  </si>
  <si>
    <t>AWS-003</t>
  </si>
  <si>
    <t>AWS-005</t>
  </si>
  <si>
    <t>AWS-006</t>
  </si>
  <si>
    <t>AWS-007</t>
  </si>
  <si>
    <t>AWS-008</t>
  </si>
  <si>
    <t>AWS-009</t>
  </si>
  <si>
    <t>AWS-010</t>
  </si>
  <si>
    <t>AWS-011</t>
  </si>
  <si>
    <t>AWS-012</t>
  </si>
  <si>
    <t>AWS-013</t>
  </si>
  <si>
    <t>AWS-014</t>
  </si>
  <si>
    <t>AWS-015</t>
  </si>
  <si>
    <t>AWS-016</t>
  </si>
  <si>
    <t>AWS-017</t>
  </si>
  <si>
    <t>AWS-018</t>
  </si>
  <si>
    <t>AWS-019</t>
  </si>
  <si>
    <t>AWS-020</t>
  </si>
  <si>
    <t>AWS-021</t>
  </si>
  <si>
    <t>AWS-022</t>
  </si>
  <si>
    <t>AWS-023</t>
  </si>
  <si>
    <t>AWS-024</t>
  </si>
  <si>
    <t>AWS-025</t>
  </si>
  <si>
    <t>AWS-026</t>
  </si>
  <si>
    <t>AWS-027</t>
  </si>
  <si>
    <t>AWS-028</t>
  </si>
  <si>
    <t>AWS-029</t>
  </si>
  <si>
    <t>AWS-030</t>
  </si>
  <si>
    <t>AWS-031</t>
  </si>
  <si>
    <t>AWS-032</t>
  </si>
  <si>
    <t>AWS-033</t>
  </si>
  <si>
    <t>AWS-034</t>
  </si>
  <si>
    <t>AWS-035</t>
  </si>
  <si>
    <t>AWS-036</t>
  </si>
  <si>
    <t>AWS-037</t>
  </si>
  <si>
    <t>AWS-038</t>
  </si>
  <si>
    <t>AWS-039</t>
  </si>
  <si>
    <t>AWS-040</t>
  </si>
  <si>
    <t>AWS-041</t>
  </si>
  <si>
    <t>AWS-042</t>
  </si>
  <si>
    <t>AWS-043</t>
  </si>
  <si>
    <t>AWS-044</t>
  </si>
  <si>
    <t>AWS-045</t>
  </si>
  <si>
    <t>AWS-046</t>
  </si>
  <si>
    <t>AWS-047</t>
  </si>
  <si>
    <t>AWS-048</t>
  </si>
  <si>
    <t>AWS-049</t>
  </si>
  <si>
    <t>AWS-050</t>
  </si>
  <si>
    <t>AWS-051</t>
  </si>
  <si>
    <t>AWS-052</t>
  </si>
  <si>
    <t>AWS-053</t>
  </si>
  <si>
    <t>AWS-054</t>
  </si>
  <si>
    <t>AWS-055</t>
  </si>
  <si>
    <t>AWS-056</t>
  </si>
  <si>
    <t>AWS-057</t>
  </si>
  <si>
    <t>AWS-058</t>
  </si>
  <si>
    <t>AWS-059</t>
  </si>
  <si>
    <t>AWS-060</t>
  </si>
  <si>
    <t>AWS-061</t>
  </si>
  <si>
    <t>AWS-062</t>
  </si>
  <si>
    <t>AWS-063</t>
  </si>
  <si>
    <t>AWS-064</t>
  </si>
  <si>
    <t>AWS-065</t>
  </si>
  <si>
    <t>AWS-066</t>
  </si>
  <si>
    <t>AWS-067</t>
  </si>
  <si>
    <t>AWS-068</t>
  </si>
  <si>
    <t>AWS-069</t>
  </si>
  <si>
    <t>AWS-070</t>
  </si>
  <si>
    <t>AWS-071</t>
  </si>
  <si>
    <t>AWS-072</t>
  </si>
  <si>
    <t>AWS-073</t>
  </si>
  <si>
    <t>AWS-074</t>
  </si>
  <si>
    <t>AWS-075</t>
  </si>
  <si>
    <t>AWS-076</t>
  </si>
  <si>
    <t>AWS-077</t>
  </si>
  <si>
    <t>AWS-078</t>
  </si>
  <si>
    <t>AWS-079</t>
  </si>
  <si>
    <t>AWS-080</t>
  </si>
  <si>
    <t>AWS-081</t>
  </si>
  <si>
    <t>AWS-082</t>
  </si>
  <si>
    <t>AWS-083</t>
  </si>
  <si>
    <t>AWS-084</t>
  </si>
  <si>
    <t>AWS-085</t>
  </si>
  <si>
    <t>AWS-086</t>
  </si>
  <si>
    <t>AWS-087</t>
  </si>
  <si>
    <t>AWS-088</t>
  </si>
  <si>
    <t>AWS-089</t>
  </si>
  <si>
    <t>AWS-090</t>
  </si>
  <si>
    <t>AWS-091</t>
  </si>
  <si>
    <t>AWS-092</t>
  </si>
  <si>
    <t>W-209</t>
  </si>
  <si>
    <t>W-577</t>
  </si>
  <si>
    <t>ER70S-6
E71T-1C</t>
  </si>
  <si>
    <t>101</t>
  </si>
  <si>
    <t>103</t>
  </si>
  <si>
    <t>ISO-018</t>
  </si>
  <si>
    <t>THUỘC TỔ</t>
  </si>
  <si>
    <t>GIA HẠN 6 MỘT LẦN</t>
  </si>
  <si>
    <t>W-1020</t>
  </si>
  <si>
    <t>OSR-002-0440</t>
  </si>
  <si>
    <t>W-6106</t>
  </si>
  <si>
    <t>OSR-002-6106</t>
  </si>
  <si>
    <t>W-0811</t>
  </si>
  <si>
    <t>OSR-002-0811</t>
  </si>
  <si>
    <t>OSR-002-7534</t>
  </si>
  <si>
    <t>OSR-002-3055</t>
  </si>
  <si>
    <t>OSR-002-3276</t>
  </si>
  <si>
    <t>W-6225</t>
  </si>
  <si>
    <t>OSR-002-6225</t>
  </si>
  <si>
    <r>
      <t xml:space="preserve">S.N
</t>
    </r>
    <r>
      <rPr>
        <sz val="10"/>
        <rFont val="Times New Roman"/>
        <family val="1"/>
      </rPr>
      <t>STT</t>
    </r>
  </si>
  <si>
    <r>
      <t xml:space="preserve">Cer No.
</t>
    </r>
    <r>
      <rPr>
        <sz val="10"/>
        <rFont val="Times New Roman"/>
        <family val="1"/>
      </rPr>
      <t>Chứng chỉ số</t>
    </r>
  </si>
  <si>
    <r>
      <t xml:space="preserve">Refer
</t>
    </r>
    <r>
      <rPr>
        <sz val="10"/>
        <rFont val="Times New Roman"/>
        <family val="1"/>
      </rPr>
      <t>Tham khảo</t>
    </r>
  </si>
  <si>
    <r>
      <t xml:space="preserve">Qualified
</t>
    </r>
    <r>
      <rPr>
        <sz val="10"/>
        <rFont val="Times New Roman"/>
        <family val="1"/>
      </rPr>
      <t>Ngày KT</t>
    </r>
  </si>
  <si>
    <r>
      <t xml:space="preserve">Process
</t>
    </r>
    <r>
      <rPr>
        <sz val="10"/>
        <rFont val="Times New Roman"/>
        <family val="1"/>
      </rPr>
      <t>Phương pháp</t>
    </r>
  </si>
  <si>
    <r>
      <t xml:space="preserve">Pipe dia (mm)
</t>
    </r>
    <r>
      <rPr>
        <sz val="10"/>
        <rFont val="Times New Roman"/>
        <family val="1"/>
      </rPr>
      <t>Đường kính ống</t>
    </r>
  </si>
  <si>
    <r>
      <t xml:space="preserve">Type of filler metal
</t>
    </r>
    <r>
      <rPr>
        <sz val="10"/>
        <rFont val="Times New Roman"/>
        <family val="1"/>
      </rPr>
      <t xml:space="preserve"> Vật liệu hàn</t>
    </r>
  </si>
  <si>
    <t>1.5 to 11.08</t>
  </si>
  <si>
    <t>1.5 to 10.32</t>
  </si>
  <si>
    <t>5 to 24</t>
  </si>
  <si>
    <t>5 to 50</t>
  </si>
  <si>
    <t>5 to 30</t>
  </si>
  <si>
    <t>1.5 to 20</t>
  </si>
  <si>
    <t>1.5 to 16</t>
  </si>
  <si>
    <t>1.5 to 12</t>
  </si>
  <si>
    <t>3to10</t>
  </si>
  <si>
    <t>1.15 to 4.6</t>
  </si>
  <si>
    <r>
      <t>Certified WPS Code</t>
    </r>
    <r>
      <rPr>
        <sz val="10"/>
        <rFont val="Times New Roman"/>
        <family val="1"/>
      </rPr>
      <t xml:space="preserve"> 
Mã  qui trình hàn được chứng nhận</t>
    </r>
  </si>
  <si>
    <t>Ø48.3xt5
t = 25</t>
  </si>
  <si>
    <t>All Gr. I &amp;
 II (≤Gr. 50)</t>
  </si>
  <si>
    <t>All Gr. I &amp; 
II (≤Gr. 50)</t>
  </si>
  <si>
    <t>All Gr. I &amp;
 II (≤Gr. 70)</t>
  </si>
  <si>
    <t>All Gr. I &amp; 
II (≤Gr. 70)</t>
  </si>
  <si>
    <t>WCERT-2025-9007-005</t>
  </si>
  <si>
    <t>WCERT-2025-9007-006</t>
  </si>
  <si>
    <t>112</t>
  </si>
  <si>
    <t>WCERT-2025-9007-009</t>
  </si>
  <si>
    <t>WCERT-2025-9007-008</t>
  </si>
  <si>
    <t>ISO-064</t>
  </si>
  <si>
    <t xml:space="preserve">OD ≥ 13.6 </t>
  </si>
  <si>
    <t>WCERT-2025-9007-010</t>
  </si>
  <si>
    <t>OSR-WPS-ISO-PB-064</t>
  </si>
  <si>
    <t>WCERT-2025-9012-005</t>
  </si>
  <si>
    <t>WCERT-2025-9012-006</t>
  </si>
  <si>
    <t>OD ≥ 25</t>
  </si>
  <si>
    <t>WCERT-2025-9012-007</t>
  </si>
  <si>
    <t>W-9001</t>
  </si>
  <si>
    <t>WCERT-2025-9001-005</t>
  </si>
  <si>
    <t>WCERT-2025-9001-006</t>
  </si>
  <si>
    <t>ISO-063</t>
  </si>
  <si>
    <t>WCERT-2025-662-9</t>
  </si>
  <si>
    <t>OSR-WPS-ISO-PA-063</t>
  </si>
  <si>
    <t>WCERT-2024-801-6</t>
  </si>
  <si>
    <t xml:space="preserve">OD ≥ 500 fix pipe
OD ≥ 150 rotating </t>
  </si>
  <si>
    <t xml:space="preserve">OD ≥ 500 fix pipe
OD ≥ 75 rotating </t>
  </si>
  <si>
    <t>1.96 to 5.6</t>
  </si>
  <si>
    <t>Groove: PA
Fillet: PB</t>
  </si>
  <si>
    <t>WCERT-2025-021-22</t>
  </si>
  <si>
    <t>WCERT-2025-021-06</t>
  </si>
  <si>
    <t>Groove: PA, PF
Fillet: PA, PB, PF</t>
  </si>
  <si>
    <t>WCERT-2025-024-22</t>
  </si>
  <si>
    <t>WCERT-2025-024-8</t>
  </si>
  <si>
    <t>WCERT-2025-096-22</t>
  </si>
  <si>
    <t>WCERT-2025-096-8</t>
  </si>
  <si>
    <t>BW: PA, PF
FW: PA, PB, PF</t>
  </si>
  <si>
    <t>WCERT-2025-096-12</t>
  </si>
  <si>
    <t>WCERT-2025-321-6</t>
  </si>
  <si>
    <t>WCERT-2024-611-22</t>
  </si>
  <si>
    <t>WCERT-2024-611-8</t>
  </si>
  <si>
    <t>WCERT-2025-646-22</t>
  </si>
  <si>
    <t>WCERT-2025-646-12</t>
  </si>
  <si>
    <t>WCERT-2025-662-8</t>
  </si>
  <si>
    <t>WCERT-2025-662-6</t>
  </si>
  <si>
    <t>Groove: PA
Fillet: PA</t>
  </si>
  <si>
    <t>WCERT-2025-746-22</t>
  </si>
  <si>
    <t>WCERT-2025-032-22</t>
  </si>
  <si>
    <t>WCERT-2025-031-22</t>
  </si>
  <si>
    <t>WCERT-2025-706-27</t>
  </si>
  <si>
    <t>WCERT-2025-780-6</t>
  </si>
  <si>
    <t>WCERT-2025-816-8</t>
  </si>
  <si>
    <t>WCERT-2025-801-22</t>
  </si>
  <si>
    <t>WCERT-2024-801-8</t>
  </si>
  <si>
    <t>WCERT-2025-841-22</t>
  </si>
  <si>
    <t>WCERT-2025-841-8</t>
  </si>
  <si>
    <t>WCERT-2025-841-27</t>
  </si>
  <si>
    <t>BW: 3 to 24
FW: 3 to 9.1</t>
  </si>
  <si>
    <t>WCERT-2023-842-22</t>
  </si>
  <si>
    <t>WCERT-2025-844-22</t>
  </si>
  <si>
    <t>Groove, Fillet
PA</t>
  </si>
  <si>
    <t>1.5 to 2.5</t>
  </si>
  <si>
    <t>1.88 to 3.13</t>
  </si>
  <si>
    <t>WCERT-2025-865-6</t>
  </si>
  <si>
    <t xml:space="preserve">OD ≥ 25 </t>
  </si>
  <si>
    <t>Groove 
PA, PF</t>
  </si>
  <si>
    <t>WCERT-2025-888-22</t>
  </si>
  <si>
    <t>WCERT-2025-888-8</t>
  </si>
  <si>
    <t>WCERT-2025-935-22</t>
  </si>
  <si>
    <t>WCERT-2025-982-22</t>
  </si>
  <si>
    <t>WCERT-2025-982-8</t>
  </si>
  <si>
    <t>WCERT-2025-982-015</t>
  </si>
  <si>
    <t>WCERT-2025-992-22</t>
  </si>
  <si>
    <t>Fillet
PA, FB, PF</t>
  </si>
  <si>
    <t>WCERT-2025-992-8</t>
  </si>
  <si>
    <t>HÀN 3</t>
  </si>
  <si>
    <t>Q235B + SS316L</t>
  </si>
  <si>
    <t>S235JR + A53Gr.B</t>
  </si>
  <si>
    <t>3 to 12.7</t>
  </si>
  <si>
    <t>3 to 14.2</t>
  </si>
  <si>
    <t>WCERT-2025-9007-13</t>
  </si>
  <si>
    <t>WCERT-2025-865-15</t>
  </si>
  <si>
    <t>WCERT-2025-865-20</t>
  </si>
  <si>
    <t>Plate: ≥ 3
Pipe: 1.9 to 5.54</t>
  </si>
  <si>
    <t>1.38 to 5.54</t>
  </si>
  <si>
    <t>Plate:  ≥ 3
Pipe 1.8 to 5.2</t>
  </si>
  <si>
    <t>Plate: 12
Pipe: 4.55</t>
  </si>
  <si>
    <t>Plate: 6
Pipe: 2.6</t>
  </si>
  <si>
    <t>Plate: 12
Pipe: 7.14</t>
  </si>
  <si>
    <t>Plate: 16
Pipe: 7.14</t>
  </si>
  <si>
    <t>Plate: 16
Pipe: 11.13</t>
  </si>
  <si>
    <t>Plate: 16
Pipe: 5.5</t>
  </si>
  <si>
    <t>Plate: 9
Pipe: 6</t>
  </si>
  <si>
    <t>Plate: 12
Pipe: 3.38</t>
  </si>
  <si>
    <t>Plate: 3.2
Pipe: 3.9</t>
  </si>
  <si>
    <t>Plate: 12 
Rbar: 22</t>
  </si>
  <si>
    <t>F, H
OD  ≥  34</t>
  </si>
  <si>
    <t>F, H
OD  ≥  42</t>
  </si>
  <si>
    <t>Plate: 12 
Rbar: 42</t>
  </si>
  <si>
    <t>Plate: 12 
Pipe: 3.4</t>
  </si>
  <si>
    <t>GTAW+
FCAW</t>
  </si>
  <si>
    <t>F, H</t>
  </si>
  <si>
    <t>F, H
OD  ≥  Unlimited</t>
  </si>
  <si>
    <t>OSR-WPS-ISO-PA-036</t>
  </si>
  <si>
    <t>W-2111</t>
  </si>
  <si>
    <t>OSR-002-2111</t>
  </si>
  <si>
    <t>Groove: Plate &amp; Pipe &gt;600 O.D: F, V
Pipe: 73mm ≤ O.D ≤ 610mm: F
Fillet: Plate &amp; Pipe: F, H, V</t>
  </si>
  <si>
    <t>OSR1 mới</t>
  </si>
  <si>
    <t>W-10428</t>
  </si>
  <si>
    <t>OSR-002-8185</t>
  </si>
  <si>
    <t>5 to 32</t>
  </si>
  <si>
    <t>W-5465</t>
  </si>
  <si>
    <t>OSR-002-1002</t>
  </si>
  <si>
    <t>OSR-002-10428</t>
  </si>
  <si>
    <t>OSR-002-5465</t>
  </si>
  <si>
    <r>
      <t xml:space="preserve">WPS No.
</t>
    </r>
    <r>
      <rPr>
        <sz val="11"/>
        <rFont val="Times New Roman"/>
        <family val="1"/>
      </rPr>
      <t>Số quy trình hàn</t>
    </r>
  </si>
  <si>
    <r>
      <t xml:space="preserve">Welding 
process
</t>
    </r>
    <r>
      <rPr>
        <sz val="11"/>
        <rFont val="Times New Roman"/>
        <family val="1"/>
      </rPr>
      <t>Phương 
pháp hàn</t>
    </r>
  </si>
  <si>
    <t>Qualified range / Phạm vi ứng dụng</t>
  </si>
  <si>
    <r>
      <t xml:space="preserve">Material thinkness
(mm)
</t>
    </r>
    <r>
      <rPr>
        <sz val="10"/>
        <rFont val="Times New Roman"/>
        <family val="1"/>
      </rPr>
      <t>Chiều dầy vật liệu</t>
    </r>
  </si>
  <si>
    <t>W-1042</t>
  </si>
  <si>
    <t>SS304L; SS316L</t>
  </si>
  <si>
    <t>8.1 to  1.1</t>
  </si>
  <si>
    <t>8.2 to 1.2</t>
  </si>
  <si>
    <t>11.1 to 11.1; 1.1; 1.2; 1.3</t>
  </si>
  <si>
    <t>1.1; 1.2; 1;3 to 
1.1; 1.2; 1.3</t>
  </si>
  <si>
    <t>1.1; 1.2; 1.3; 1.4</t>
  </si>
  <si>
    <t xml:space="preserve">H16; H26; H18; H19; H112 ... </t>
  </si>
  <si>
    <t>1.2 to 1.2</t>
  </si>
  <si>
    <t>1.1 to 1.1</t>
  </si>
  <si>
    <t>8.2 to 8.2</t>
  </si>
  <si>
    <t>8 to 8</t>
  </si>
  <si>
    <t>8.2 to 11.1</t>
  </si>
  <si>
    <t>8 to 11</t>
  </si>
  <si>
    <t>11.1; 11</t>
  </si>
  <si>
    <t>1.4; 1.1; 1.2; 1.3</t>
  </si>
  <si>
    <t>23.1 to 23.1</t>
  </si>
  <si>
    <t>22 to 22</t>
  </si>
  <si>
    <t>1.1 to 11.1</t>
  </si>
  <si>
    <t>22 to 22
23.1 to 22</t>
  </si>
  <si>
    <t>1 to 11</t>
  </si>
  <si>
    <t>SM490A + A53 Gr B</t>
  </si>
  <si>
    <t>SS400 + A53 Gr B</t>
  </si>
  <si>
    <t>3 ~ 18</t>
  </si>
  <si>
    <t>Grove/Fillet: OD ≥ 177.8: F, H</t>
  </si>
  <si>
    <t>Fillet: OD ≥ 27: ALL</t>
  </si>
  <si>
    <t>WQR.AWS.24.706.16</t>
  </si>
  <si>
    <t>WQR.AWS.24.096.19</t>
  </si>
  <si>
    <t>WQR.AWS.24.865.19</t>
  </si>
  <si>
    <t>WQR.AWS.24.096.17</t>
  </si>
  <si>
    <t>WQR.AWS.24.706.20</t>
  </si>
  <si>
    <t>PTC.WQR.AWS.23-034</t>
  </si>
  <si>
    <t>WQR.AWS.24.865.20</t>
  </si>
  <si>
    <t>OSR.WQR.AWS.23.801.1</t>
  </si>
  <si>
    <t>OSR.WQR.AWS.23.611.1</t>
  </si>
  <si>
    <t>OSR.WQR.AWS.23.865.1</t>
  </si>
  <si>
    <t>OSR.WQR.AWS.23.662.1</t>
  </si>
  <si>
    <t>OSR.WQR.AWS.23.841.1</t>
  </si>
  <si>
    <t>OSR.WQR.AWS.23.746.1</t>
  </si>
  <si>
    <t>OSR.WQR.AWS.23.021.1</t>
  </si>
  <si>
    <t>PTC.WQR.AWS.23.842.1</t>
  </si>
  <si>
    <t>Groove/Fillet:
2 ~ 20</t>
  </si>
  <si>
    <t>OSR.WQR.AWS.23.780.1</t>
  </si>
  <si>
    <t>PTC.WQR.AWS.22-266</t>
  </si>
  <si>
    <t>PTC.WQR.AWS.22-265</t>
  </si>
  <si>
    <t>PTC.WQR.AWS.22-268</t>
  </si>
  <si>
    <t>PTC.WQR.AWS.22-260</t>
  </si>
  <si>
    <t>PTC.WQA.AWS.22-261</t>
  </si>
  <si>
    <t>PTC.WQA.AWS.22-263</t>
  </si>
  <si>
    <t>PTC.WQA.AWS.22-264</t>
  </si>
  <si>
    <t>PTC.WQR.AWS.23-026</t>
  </si>
  <si>
    <t>PTC.WQR.AWS.23-027</t>
  </si>
  <si>
    <t>PTC.WQR.AWS.23-028</t>
  </si>
  <si>
    <t>PTC.WQR.AWS.23-030</t>
  </si>
  <si>
    <t>PTC.WQR.AWS.23-029</t>
  </si>
  <si>
    <t>ER70S-G  E71T-1C</t>
  </si>
  <si>
    <t>E71T-1C
E491T1</t>
  </si>
  <si>
    <t>PTC.WQR.AWS.23-031</t>
  </si>
  <si>
    <t>PTC.WQR.AWS.23-032</t>
  </si>
  <si>
    <t>OSR.WQR.AWS.23.032.1</t>
  </si>
  <si>
    <t>OSR.WQR.AWS.23.096.1</t>
  </si>
  <si>
    <t>OSR.WQR.AWS.23.706.1</t>
  </si>
  <si>
    <t>OSR.WQR.AWS.23.842.1</t>
  </si>
  <si>
    <t>OSR.WQR.AWS.23.032.2</t>
  </si>
  <si>
    <t>OSR.WQR.AWS.23.096.2</t>
  </si>
  <si>
    <t>OSR.WQR.AWS.23.076.2</t>
  </si>
  <si>
    <t>OSR.WQR.AWS.23.842.3</t>
  </si>
  <si>
    <t>PTC.WQR.AWS.18-277</t>
  </si>
  <si>
    <t>PTC.WQR.AWS.15-213</t>
  </si>
  <si>
    <t>Grove/Fillet: OD ≥ 600: F, H, V</t>
  </si>
  <si>
    <t>PTC.WQR.AWS.17-245</t>
  </si>
  <si>
    <t xml:space="preserve">Grove/Fillet: OD ≥ 600: F, H, V
</t>
  </si>
  <si>
    <t>0.5 ~ 3</t>
  </si>
  <si>
    <t>PTC.WQR.AWS.17-247</t>
  </si>
  <si>
    <t>PTC.WQR.AWS.17-241</t>
  </si>
  <si>
    <t>PTC.WQR.AWS.17-244</t>
  </si>
  <si>
    <t>OSR-WPS-ISO-PB-072</t>
  </si>
  <si>
    <t>ISO-072</t>
  </si>
  <si>
    <t>OD ≥ 24.15</t>
  </si>
  <si>
    <t>Fillet PA, PB</t>
  </si>
  <si>
    <t>PTC.WQR.AWS.21-157</t>
  </si>
  <si>
    <t>PTC.WQR.AWS.21-160</t>
  </si>
  <si>
    <t>PTC.WQR.AWS.21-155</t>
  </si>
  <si>
    <t>PTC.WQR.AWS.21-165</t>
  </si>
  <si>
    <t>PTC.WQR.AWS.21-161</t>
  </si>
  <si>
    <t>PTC.WQR.AWS.21-162</t>
  </si>
  <si>
    <t>PTC.WQR.AWS.21-167</t>
  </si>
  <si>
    <t>PTC.WQR.AWS.21-158</t>
  </si>
  <si>
    <t>PTC.WQR.AWS.21-170</t>
  </si>
  <si>
    <t>PTC.WQR.AWS.21-178</t>
  </si>
  <si>
    <t>PTC.WQR.AWS.21-174</t>
  </si>
  <si>
    <t>PTC.WQR.AWS.21-177</t>
  </si>
  <si>
    <t>PTC.WQR.AWS.21-169</t>
  </si>
  <si>
    <t>PTC.WQR.AWS.21-168</t>
  </si>
  <si>
    <t>PTC.WQR.AWS.21-175</t>
  </si>
  <si>
    <t>PTC.WQR.AWS.21-171</t>
  </si>
  <si>
    <t>PTC.WQR.AWS.21-172</t>
  </si>
  <si>
    <t>PTC.WQR.AWS.21-176</t>
  </si>
  <si>
    <t>PTC.WQR.AWS.21-173</t>
  </si>
  <si>
    <t>PTC.WQR.AWS.21-179</t>
  </si>
  <si>
    <t>PTC.WQR.AWS.21-180</t>
  </si>
  <si>
    <t>PTC.WQR.AWS.21-183</t>
  </si>
  <si>
    <t>PTC.WQR.AWS.21-184</t>
  </si>
  <si>
    <t>PTC.WQR.AWS.21-220</t>
  </si>
  <si>
    <t>PTC.WQR.AWS.21-218</t>
  </si>
  <si>
    <t>PTC.WQR.AWS.21-222</t>
  </si>
  <si>
    <t>PTC.WQR.AWS.21-223</t>
  </si>
  <si>
    <t>PTC.WQR.AWS.21-022</t>
  </si>
  <si>
    <t>PTC.WQR.AWS.21-186</t>
  </si>
  <si>
    <t>PTC.WQR.AWS.21-190</t>
  </si>
  <si>
    <t>PTC.WQR.AWS.21-191</t>
  </si>
  <si>
    <t>PTC.WQR.AWS.21-192</t>
  </si>
  <si>
    <t>PTC.WQR.AWS.21-227</t>
  </si>
  <si>
    <t>PTC.WQR.AWS.21-226</t>
  </si>
  <si>
    <t>PTC.WQR.AWS.21-193</t>
  </si>
  <si>
    <t>PTC.WQR.AWS.21-194</t>
  </si>
  <si>
    <t>PTC.WQR.AWS.21-197</t>
  </si>
  <si>
    <t>PTC.WQR.AWS.21-198</t>
  </si>
  <si>
    <t>PTC.WQR.AWS.21-199</t>
  </si>
  <si>
    <t>PTC.WQR.AWS.21-201</t>
  </si>
  <si>
    <t>PTC.WQR.AWS.21-200</t>
  </si>
  <si>
    <t>PTC.WQR.AWS.21-212</t>
  </si>
  <si>
    <t>PTC.WQR.AWS.21-203</t>
  </si>
  <si>
    <t>PTC.WQR.AWS.21-205</t>
  </si>
  <si>
    <t>PTC.WQR.AWS.21-206</t>
  </si>
  <si>
    <t>PTC.WQR.AWS.21-207</t>
  </si>
  <si>
    <t>PTC.WQR.AWS.21-208</t>
  </si>
  <si>
    <t>PTC.WQR.AWS.21-209</t>
  </si>
  <si>
    <t>PTC.WQR.AWS.21-211</t>
  </si>
  <si>
    <t>PTC.WQR.AWS.21-217</t>
  </si>
  <si>
    <t>PTC.WQR.AWS.21-214</t>
  </si>
  <si>
    <t>PTC.WQR.AWS.21-213</t>
  </si>
  <si>
    <t>PTC.WQR.AWS.21-215</t>
  </si>
  <si>
    <t>PTC.WQR.AWS.21-308</t>
  </si>
  <si>
    <t>PTC.WQR.AWS.21-307</t>
  </si>
  <si>
    <t>PTC.WQR.AWS.20-228</t>
  </si>
  <si>
    <t>PTC.WQR.AWS.20-231</t>
  </si>
  <si>
    <t>PTC.WQR.AWS.20-230</t>
  </si>
  <si>
    <t>PTC.WQR.AWS.21-225</t>
  </si>
  <si>
    <t>Groove
1.25 ~ 4.6</t>
  </si>
  <si>
    <t>PTC.WQR.AWS.21-181</t>
  </si>
  <si>
    <t>PTC.WQR.AWS.20-204</t>
  </si>
  <si>
    <t>PTC.WQR.AWS.21-182</t>
  </si>
  <si>
    <t>Fillet ≥ 2.3</t>
  </si>
  <si>
    <t>WCERT-2025-021-10</t>
  </si>
  <si>
    <t>All  group 1.1</t>
  </si>
  <si>
    <t>SS400; S235JR 
to A53Gr.B; A500Gr.B</t>
  </si>
  <si>
    <t xml:space="preserve">A500, A53; 
P245GH; P355GH; P355GH; A105;
P355GH; P355GH </t>
  </si>
  <si>
    <t>A500, A53;
P245GH; P355GH; P355GH; A105;
P355GH; P355GH</t>
  </si>
  <si>
    <t>A516 Gr.70 + A516 Gr.70
P245GH + P355GH
P355GH + A105; P355GH + P355GH</t>
  </si>
  <si>
    <t>SUS316L + SUS316L</t>
  </si>
  <si>
    <t>S355J2WP + S355J2WP</t>
  </si>
  <si>
    <t>3003H16 + 3003H16</t>
  </si>
  <si>
    <t>Q355D + NM500</t>
  </si>
  <si>
    <t>Q355D + Q355D</t>
  </si>
  <si>
    <t>Q355D + NM450</t>
  </si>
  <si>
    <t>Q355B + Q355B</t>
  </si>
  <si>
    <t>Q235B + A53Gr.B</t>
  </si>
  <si>
    <t>Q235B + A500Gr.B</t>
  </si>
  <si>
    <t>Q235B + Q235B</t>
  </si>
  <si>
    <t>Q355B + A500Gr.B</t>
  </si>
  <si>
    <t>Q235B + S235JR</t>
  </si>
  <si>
    <t>Q355B + SS400</t>
  </si>
  <si>
    <t>Q235B + Q355B</t>
  </si>
  <si>
    <t>Q235B + SS400</t>
  </si>
  <si>
    <t>SUH309 + Q355B</t>
  </si>
  <si>
    <t>Butt/Fillet: All</t>
  </si>
  <si>
    <r>
      <rPr>
        <b/>
        <sz val="10"/>
        <color indexed="8"/>
        <rFont val="Times New Roman"/>
        <family val="1"/>
      </rPr>
      <t>REVOCATION  (THU HỒI)</t>
    </r>
    <r>
      <rPr>
        <sz val="10"/>
        <color indexed="8"/>
        <rFont val="Times New Roman"/>
        <family val="1"/>
      </rPr>
      <t xml:space="preserve">
The certification of this welder has been revoked &amp; expired sine (Chứng chỉ của thợ này đã được thu hồi &amp; hết hạn từ):</t>
    </r>
  </si>
  <si>
    <t>Reason (Lý do ):</t>
  </si>
  <si>
    <t>Signature (Ký tên ):</t>
  </si>
  <si>
    <r>
      <rPr>
        <b/>
        <sz val="10"/>
        <color indexed="8"/>
        <rFont val="Times New Roman"/>
        <family val="1"/>
      </rPr>
      <t xml:space="preserve">                                                     </t>
    </r>
    <r>
      <rPr>
        <b/>
        <u/>
        <sz val="10"/>
        <color indexed="8"/>
        <rFont val="Times New Roman"/>
        <family val="1"/>
      </rPr>
      <t>PERIOD OF EFFECTIVENESS (CHU KỲ HIỆU LỰC )</t>
    </r>
    <r>
      <rPr>
        <sz val="10"/>
        <color indexed="8"/>
        <rFont val="Times New Roman"/>
        <family val="1"/>
      </rPr>
      <t xml:space="preserve"> 
       The date of certification validity is extended for six months if the welder named on front page has been employed on the class or type of welding with satisfactory results during periods of six months since initial approval or last endorsement (Ngày hiệu lực của chứng chỉ được gia hạn thêm sáu tháng nếu thợ hàn có tên ở trang đầu đã được tuyển dụng theo bậc hoặc kiểu hàn với kết quả đạt yêu cầu trong khoảng thời gian sáu tháng kể từ khi phê duyệt ban đầu hoặc chứng thực lần cuối).
        Prolongation of validity shall be subject to the inspector’s satisfaction with respect to the welder’s documented record and any specific Code requirements (Việc kéo dài hiệu lực phải tùy thuộc vào sự hài lòng của người kiểm tra đối với hồ sơ tài liệu của thợ hàn và bất kỳ yêu cầu cụ thể nào của Code).</t>
    </r>
  </si>
  <si>
    <r>
      <t>Người kiểm tra</t>
    </r>
    <r>
      <rPr>
        <b/>
        <sz val="10"/>
        <color indexed="8"/>
        <rFont val="Times New Roman"/>
        <family val="1"/>
      </rPr>
      <t xml:space="preserve">
Inspector</t>
    </r>
  </si>
  <si>
    <r>
      <t xml:space="preserve">Thời gian gia hạn
</t>
    </r>
    <r>
      <rPr>
        <b/>
        <sz val="10"/>
        <color indexed="8"/>
        <rFont val="Times New Roman"/>
        <family val="1"/>
      </rPr>
      <t>Extended from</t>
    </r>
    <r>
      <rPr>
        <sz val="10"/>
        <color indexed="8"/>
        <rFont val="Times New Roman"/>
        <family val="1"/>
      </rPr>
      <t xml:space="preserve">  ..………………..... </t>
    </r>
    <r>
      <rPr>
        <b/>
        <sz val="10"/>
        <color indexed="8"/>
        <rFont val="Times New Roman"/>
        <family val="1"/>
      </rPr>
      <t>to</t>
    </r>
    <r>
      <rPr>
        <sz val="10"/>
        <color indexed="8"/>
        <rFont val="Times New Roman"/>
        <family val="1"/>
      </rPr>
      <t xml:space="preserve"> …..………………….</t>
    </r>
  </si>
  <si>
    <r>
      <t xml:space="preserve">Thời gian gia hạn
</t>
    </r>
    <r>
      <rPr>
        <b/>
        <sz val="10"/>
        <color indexed="8"/>
        <rFont val="Times New Roman"/>
        <family val="1"/>
      </rPr>
      <t>Extended from</t>
    </r>
    <r>
      <rPr>
        <sz val="10"/>
        <color indexed="8"/>
        <rFont val="Times New Roman"/>
        <family val="1"/>
      </rPr>
      <t xml:space="preserve">  ..………………….. </t>
    </r>
    <r>
      <rPr>
        <b/>
        <sz val="10"/>
        <color indexed="8"/>
        <rFont val="Times New Roman"/>
        <family val="1"/>
      </rPr>
      <t>to</t>
    </r>
    <r>
      <rPr>
        <sz val="10"/>
        <color indexed="8"/>
        <rFont val="Times New Roman"/>
        <family val="1"/>
      </rPr>
      <t xml:space="preserve"> ……………………...</t>
    </r>
  </si>
  <si>
    <t>P</t>
  </si>
  <si>
    <t>OSR-WPS-D1.1-FC-094</t>
  </si>
  <si>
    <t>AWS-094</t>
  </si>
  <si>
    <t>6G</t>
  </si>
  <si>
    <t>5G</t>
  </si>
  <si>
    <t>1.1</t>
  </si>
  <si>
    <t>OSR-WPS-D1.1-FC-095</t>
  </si>
  <si>
    <t>AWS-095</t>
  </si>
  <si>
    <t>1.2</t>
  </si>
  <si>
    <t>AWS-096</t>
  </si>
  <si>
    <t>OSR-WPS-D1.6-FC-096</t>
  </si>
  <si>
    <t>304L + Q235B</t>
  </si>
  <si>
    <t>OSR-WPS-D1.1-FC-097</t>
  </si>
  <si>
    <t>AWS-097</t>
  </si>
  <si>
    <t>S235JR + S235JR</t>
  </si>
  <si>
    <t>8.1</t>
  </si>
  <si>
    <t>OSR-WPS-D1.1-FC-098</t>
  </si>
  <si>
    <t>AWS-098</t>
  </si>
  <si>
    <t>SS400 + Q235B</t>
  </si>
  <si>
    <t>OSR-WPS-D1.1-FC-099</t>
  </si>
  <si>
    <t>AWS-099</t>
  </si>
  <si>
    <t>SS400 + Q355B</t>
  </si>
  <si>
    <t>OSR-WPS-D1.1-FC-100</t>
  </si>
  <si>
    <t>AWS-100</t>
  </si>
  <si>
    <t>S235JR + Q355B</t>
  </si>
  <si>
    <t>8.2</t>
  </si>
  <si>
    <t>11.1</t>
  </si>
  <si>
    <t>1.4</t>
  </si>
  <si>
    <t>5.1</t>
  </si>
  <si>
    <t>1.4; 1.1; 1;2; 1.3</t>
  </si>
  <si>
    <t>7.1</t>
  </si>
  <si>
    <t>11.2</t>
  </si>
  <si>
    <t>OSR-094-781</t>
  </si>
  <si>
    <t>OSR-094-321</t>
  </si>
  <si>
    <t>OSR-094-706</t>
  </si>
  <si>
    <t>OSR-WPS-D1.6-GT+FC-104</t>
  </si>
  <si>
    <t>AWS-104</t>
  </si>
  <si>
    <t>304L + 304L</t>
  </si>
  <si>
    <t>1G
1F</t>
  </si>
  <si>
    <t>OSR-WPS-D1.6-GT+FC-105</t>
  </si>
  <si>
    <t>AWS-105</t>
  </si>
  <si>
    <r>
      <rPr>
        <b/>
        <sz val="11"/>
        <rFont val="Times New Roman"/>
        <family val="1"/>
      </rPr>
      <t>Scope of Material thinkness (mm)</t>
    </r>
    <r>
      <rPr>
        <sz val="11"/>
        <rFont val="Times New Roman"/>
        <family val="1"/>
      </rPr>
      <t xml:space="preserve">
Phạm vi của chiều dày vật liệu</t>
    </r>
  </si>
  <si>
    <t>Fillet
2 ~ Unlimited</t>
  </si>
  <si>
    <t>ER 308L
E308LT1-1/-4</t>
  </si>
  <si>
    <t>OSR-105-021</t>
  </si>
  <si>
    <t>OSR-095-746</t>
  </si>
  <si>
    <t>OSR-095-611</t>
  </si>
  <si>
    <t>OSR-095-021</t>
  </si>
  <si>
    <t>OSR-096-662-2</t>
  </si>
  <si>
    <t>OSR-096-662-1</t>
  </si>
  <si>
    <t>Groove: 2 ~ 24
Fillet:   ≥ 2</t>
  </si>
  <si>
    <t>Fillet:   ≥ 2</t>
  </si>
  <si>
    <t>OSR-097-032</t>
  </si>
  <si>
    <t>OSR-098-1027</t>
  </si>
  <si>
    <t>OSR-098-096</t>
  </si>
  <si>
    <t>Fillet: 3 ~ 32</t>
  </si>
  <si>
    <t>OSR-099-031</t>
  </si>
  <si>
    <t>OSR-099-842</t>
  </si>
  <si>
    <t>OSR-100-782</t>
  </si>
  <si>
    <t>OSR-104-801</t>
  </si>
  <si>
    <t>OSR-105-780</t>
  </si>
  <si>
    <t>Groove: 2 ~ 10
Fillet: ≥ 2</t>
  </si>
  <si>
    <t>Grove: 1G, 1F
Fillet: 1F, 1H</t>
  </si>
  <si>
    <t>3F (F, H, V)</t>
  </si>
  <si>
    <t>3G (F, H, V)</t>
  </si>
  <si>
    <t>1F (F)</t>
  </si>
  <si>
    <t>Fillet: OD &gt; 73</t>
  </si>
  <si>
    <t>OSR-097-842</t>
  </si>
  <si>
    <t>OSR-WPS-D1.1-FC-106</t>
  </si>
  <si>
    <t>AWS-106</t>
  </si>
  <si>
    <t>S235JR + SS400</t>
  </si>
  <si>
    <t>3G (V)</t>
  </si>
  <si>
    <t>Groove/Fillet; OD  ≥  600</t>
  </si>
  <si>
    <t>OSR-WPS-D1.1-FC-107</t>
  </si>
  <si>
    <t>AWS-107</t>
  </si>
  <si>
    <t>S235JR + Q235</t>
  </si>
  <si>
    <t>S235JR + Q235B</t>
  </si>
  <si>
    <t>OSR-WPS-ISO-PB-075</t>
  </si>
  <si>
    <t>OSR-WPS-ISO-PF-074</t>
  </si>
  <si>
    <t>ISO-074</t>
  </si>
  <si>
    <t>OD &gt; 500 All
OD &gt; 150 PA, PF rotated</t>
  </si>
  <si>
    <t>PA, PF</t>
  </si>
  <si>
    <t>Groove: 10 to 40
Fillet: 3 to 40</t>
  </si>
  <si>
    <t>ISO-075</t>
  </si>
  <si>
    <t>All except
PG, PJ</t>
  </si>
  <si>
    <t>OSR-WPS-ISO-PF-077</t>
  </si>
  <si>
    <t>ISO-077</t>
  </si>
  <si>
    <t>Plate: 20
Pipe: 5.08</t>
  </si>
  <si>
    <t>OSR-WPS-ISO-PB-078</t>
  </si>
  <si>
    <t>ISO-078</t>
  </si>
  <si>
    <t>OD ≥ 13.35</t>
  </si>
  <si>
    <t>11.1 to 11.1</t>
  </si>
  <si>
    <t>1 to 1
1 to 11.1</t>
  </si>
  <si>
    <t>Plate: 16
Pipe: 2.87</t>
  </si>
  <si>
    <t>Groove/Fillet
3 to 17.42</t>
  </si>
  <si>
    <t>Fillet
 Plate 3 to 40
Pipe 3 to 10.16</t>
  </si>
  <si>
    <t>Fillet
 Plate 3 to 32
Pipe 3 to 5.74</t>
  </si>
  <si>
    <t>OD ≥ 500 (Fixed)
OD ≥ 75 (Rotated)</t>
  </si>
  <si>
    <t>112
S</t>
  </si>
  <si>
    <t xml:space="preserve"> ≥ 3</t>
  </si>
  <si>
    <t xml:space="preserve"> ≥  3</t>
  </si>
  <si>
    <t xml:space="preserve"> ≥ 5</t>
  </si>
  <si>
    <t xml:space="preserve"> ≥  5</t>
  </si>
  <si>
    <t>OD ≥ 30.15</t>
  </si>
  <si>
    <t>S1 = 3 to 9
S2 = 3 to 8.42</t>
  </si>
  <si>
    <t>PTC.WQ.ISO 9606-1.25.078</t>
  </si>
  <si>
    <t>PTC.WQ.ISO 9606-1.25.076</t>
  </si>
  <si>
    <t>PTC.WQ.ISO 9606-1.25.077</t>
  </si>
  <si>
    <t>PTC.WQ.ISO 9606-1.25.079</t>
  </si>
  <si>
    <t>PTC.WQ.ISO 9606-1.25.080</t>
  </si>
  <si>
    <t>PTC.WQ.ISO 9606-1.25.081</t>
  </si>
  <si>
    <t>PTC.WQ.ISO 9606-1.25.082</t>
  </si>
  <si>
    <t>PTC.WQ.ISO 9606-1.25.083</t>
  </si>
  <si>
    <t>PTC.WQ.ISO 9606-1.24.147</t>
  </si>
  <si>
    <t>1.1 to 8.1</t>
  </si>
  <si>
    <t>1.1 to 11.1 &amp; 1.1</t>
  </si>
  <si>
    <t>S235JR + A53 Gr.B</t>
  </si>
  <si>
    <t>S235JR/S275JR + 316L</t>
  </si>
  <si>
    <t>S235JR/S275JR + A53 Gr.B</t>
  </si>
  <si>
    <t>A53Gr.B/S235J0/S235JR/S275JR</t>
  </si>
  <si>
    <t>S235JR/S275JR</t>
  </si>
  <si>
    <t>Certified date
Ngày CN
D/M/Y</t>
  </si>
  <si>
    <t>Expired
Ngày kết thúc
D/M/Y</t>
  </si>
  <si>
    <t>11.1 to 11.1; 1.1; 1.2; 1.3
1.1; 1.2; 1;3 to 1.1; 1.2; 1.3</t>
  </si>
  <si>
    <t>1.2 to 1.1</t>
  </si>
  <si>
    <t>1.1 to 1.2</t>
  </si>
  <si>
    <t>1.1 to 7.1</t>
  </si>
  <si>
    <t xml:space="preserve">1.1 to 8.1 </t>
  </si>
  <si>
    <t>8.1 to 8.1</t>
  </si>
  <si>
    <t>A516 Gr.70 + A516 Gr.70</t>
  </si>
  <si>
    <t>SB163 SS310S + A516Gr.70</t>
  </si>
  <si>
    <t>SB163 SS601S + A516Gr.70</t>
  </si>
  <si>
    <t>A516 Gr.70 + A36</t>
  </si>
  <si>
    <t>1.2 to 11.1</t>
  </si>
  <si>
    <t>1.2 to 5.1</t>
  </si>
  <si>
    <t>1.2 to 8.1</t>
  </si>
  <si>
    <t>1.2 to 1</t>
  </si>
  <si>
    <t>A53Gr.B/S235JR/S275JR</t>
  </si>
  <si>
    <t xml:space="preserve">11.1 &amp; 1 to 11.1 &amp; 1 </t>
  </si>
  <si>
    <t>Fillet: OD ≥ 600</t>
  </si>
  <si>
    <t>OSR-106-844</t>
  </si>
  <si>
    <t>Groove/Fillet: OD ≥ 600</t>
  </si>
  <si>
    <t>Groove/Fillet
3 ~ 32</t>
  </si>
  <si>
    <t>OSR-106-611</t>
  </si>
  <si>
    <t>OSR-107-1020</t>
  </si>
  <si>
    <t>1.1; 1.2 to 11.1</t>
  </si>
  <si>
    <t>API 5L X52 + API 5L X52</t>
  </si>
  <si>
    <t>SS400 + SS400</t>
  </si>
  <si>
    <t>S275J0 + S275J0</t>
  </si>
  <si>
    <t>NM500 + NM500</t>
  </si>
  <si>
    <t>A500 Gr.B + A500 Gr.B</t>
  </si>
  <si>
    <t>A53Gr.B + A53Gr.B</t>
  </si>
  <si>
    <t>SS304 + SS304</t>
  </si>
  <si>
    <t>Q355D  +  Q355D</t>
  </si>
  <si>
    <t>Q355D  +  NM450</t>
  </si>
  <si>
    <t>NM450 + NM450</t>
  </si>
  <si>
    <t>SS304L + SS304L</t>
  </si>
  <si>
    <t>SS310S + SS310S</t>
  </si>
  <si>
    <t>EN-AW 6060 T66 +
EN-AW 6060 T66</t>
  </si>
  <si>
    <t>S235JR + SS316L</t>
  </si>
  <si>
    <t>SS316L + SS316L</t>
  </si>
  <si>
    <t>AW 6060 T66 + AW 6060 T66</t>
  </si>
  <si>
    <t>A500Gr.B + SS316L</t>
  </si>
  <si>
    <t>SN400B + SN400B</t>
  </si>
  <si>
    <t>SUS321 + SUS321</t>
  </si>
  <si>
    <t>SN490B + SN490B</t>
  </si>
  <si>
    <t>S.Ten1 + S.Ten1</t>
  </si>
  <si>
    <t>SUH309 + SUH309</t>
  </si>
  <si>
    <t>SUS304 + SUS304</t>
  </si>
  <si>
    <t>S.Ten1 + SS400</t>
  </si>
  <si>
    <t>SS400 + SUS430</t>
  </si>
  <si>
    <t>A36 + SUS304</t>
  </si>
  <si>
    <t>SA387M Gr12 + SS400</t>
  </si>
  <si>
    <t>SA387M Gr12 + SA387M Gr12</t>
  </si>
  <si>
    <t>SS400 + 253MA</t>
  </si>
  <si>
    <t>253MA + 253MA</t>
  </si>
  <si>
    <t>SS400 + SUS304</t>
  </si>
  <si>
    <t>W.Ten 590RE + W.Ten 590RE</t>
  </si>
  <si>
    <t>SS400 + SPHC</t>
  </si>
  <si>
    <t>SS400 + S.Ten1</t>
  </si>
  <si>
    <t>SPHC + SPHC</t>
  </si>
  <si>
    <t>SM490A + SS400</t>
  </si>
  <si>
    <t>SM490A + S25C-N</t>
  </si>
  <si>
    <t>SS400 + S25C-N</t>
  </si>
  <si>
    <t>SA387M Gr12 + SA182 F12cl2</t>
  </si>
  <si>
    <t>STPG370E-G + SS400</t>
  </si>
  <si>
    <t>STPY400 + STPY400</t>
  </si>
  <si>
    <t>ABREX500 + SS400</t>
  </si>
  <si>
    <t>STPG370 + STPG370</t>
  </si>
  <si>
    <t>S45C + SS400</t>
  </si>
  <si>
    <t>STPG370 + SPHC</t>
  </si>
  <si>
    <t>SS400 + SGP</t>
  </si>
  <si>
    <t>STPG370 + SUS304</t>
  </si>
  <si>
    <t>STPY400 + SS400</t>
  </si>
  <si>
    <t>SM490A + SM490A</t>
  </si>
  <si>
    <t>SM490A + STPG370</t>
  </si>
  <si>
    <t>SS400 + STPT410</t>
  </si>
  <si>
    <t>Q355B + SUS304</t>
  </si>
  <si>
    <t>A572-50 + A572-50</t>
  </si>
  <si>
    <t>A572-50 + Q355B</t>
  </si>
  <si>
    <t>ASTM A106M + ASTM A106M</t>
  </si>
  <si>
    <t>A36 + Q355B</t>
  </si>
  <si>
    <t>A36 + SS400</t>
  </si>
  <si>
    <t>SUS 304H + SUS 409</t>
  </si>
  <si>
    <t>SUS 304H  +  A516 Gr.70</t>
  </si>
  <si>
    <t>A36 + A36</t>
  </si>
  <si>
    <t>A572-50 + A36</t>
  </si>
  <si>
    <t>SUS304H + SUS304H</t>
  </si>
  <si>
    <t>SGP + SGP</t>
  </si>
  <si>
    <t>A53 Gr. B + A53 Gr. B</t>
  </si>
  <si>
    <t>A312 TP316 + A312 TP316</t>
  </si>
  <si>
    <t>5052 H32 +  5052 H32</t>
  </si>
  <si>
    <t>Q355B + A53 Gr. B</t>
  </si>
  <si>
    <t>SS400 + SS316L</t>
  </si>
  <si>
    <t>Q235B; Q355B + A500Gr.B</t>
  </si>
  <si>
    <t>Grove/Fillet: OD ≥ 600</t>
  </si>
  <si>
    <t>AWS-101</t>
  </si>
  <si>
    <t>AWS-102</t>
  </si>
  <si>
    <t>AWS-103</t>
  </si>
  <si>
    <t>OSR-WPS-D1.1-FC-101</t>
  </si>
  <si>
    <t>OSR-WPS-D1.1-FC-102</t>
  </si>
  <si>
    <t>OSR-WPS-D1.1-FC-103</t>
  </si>
  <si>
    <t>Groove/Fillet; OD  ≥  48.6</t>
  </si>
  <si>
    <t>A53 Gr.B + A36</t>
  </si>
  <si>
    <t>A53 Gr.B + S235JR</t>
  </si>
  <si>
    <t>11.1 to 1.1</t>
  </si>
  <si>
    <t>5.1 + 12</t>
  </si>
  <si>
    <t>2F (F,H)</t>
  </si>
  <si>
    <t>A500 Gr.B + S235JR</t>
  </si>
  <si>
    <t>A106 Gr.B + S235JR</t>
  </si>
  <si>
    <t>AWS-108</t>
  </si>
  <si>
    <t>OSR-WPS-D1.6-GT-108</t>
  </si>
  <si>
    <t>Groove: 3 ~ 20
Fillet: Unlimited</t>
  </si>
  <si>
    <t>Groove: 3 ~ 9.1
Fillet: Unlimited</t>
  </si>
  <si>
    <t>Groove: 3 ~ 24
Fillet: Unlimited</t>
  </si>
  <si>
    <t>Groove ≥ 3
Fillet: Unlimited</t>
  </si>
  <si>
    <t>Groove ≥ 3 
Fillet: Unlimited</t>
  </si>
  <si>
    <t>Groove ≥ 5
Fillet: Unlimited</t>
  </si>
  <si>
    <t>SUS304</t>
  </si>
  <si>
    <t>2G (F, H)</t>
  </si>
  <si>
    <t>WCERT-2025-646-28</t>
  </si>
  <si>
    <t>WCERT-2025-321-28</t>
  </si>
  <si>
    <t>WCERT-2025-706-28</t>
  </si>
  <si>
    <t>WCERT-2025-865-25</t>
  </si>
  <si>
    <t>WCERT-2025-096-25</t>
  </si>
  <si>
    <t>PTC.WQR.AWS.15-212</t>
  </si>
  <si>
    <t>Groove: OD  ≥  600: F, V
Groove: OD  &lt;  600: F
Fillet: OD = Unlimited: F, H, V</t>
  </si>
  <si>
    <t>Groove/Fillet
3 ~ Unlimited</t>
  </si>
  <si>
    <t>Groove: OD ≥ 73
Fillet: OD = Unlimited</t>
  </si>
  <si>
    <t>Grove/Fillet: 20 ≥ OD ≥ 100: F
Fillet: OD = Unlimited</t>
  </si>
  <si>
    <t>Fillet: OD = Unlimited</t>
  </si>
  <si>
    <t>Groove: OD &gt; 600: F, V
Groove: OD ≤ 600: F
Fillet: OD = Unlimited</t>
  </si>
  <si>
    <t>Fillet
3 ~ Unlimited</t>
  </si>
  <si>
    <t>Fillet: OD = Unlimited  F, H</t>
  </si>
  <si>
    <t>Grove/Fillet: 20 ≥ OD ≥ 100: F
Fillet: OD = Unlimited  F, H</t>
  </si>
  <si>
    <t>OSR-101-884</t>
  </si>
  <si>
    <t>2F (F, H)</t>
  </si>
  <si>
    <t>Fillet: OD ≥ 48.6</t>
  </si>
  <si>
    <t>Fillet: OD ≥ 355.6</t>
  </si>
  <si>
    <t>Fillet: OD ≥ 25</t>
  </si>
  <si>
    <t>Fillet: OD ≥ 16</t>
  </si>
  <si>
    <t>Fillet: OD ≥ 88.9</t>
  </si>
  <si>
    <t>Fillet: OD ≥ 34</t>
  </si>
  <si>
    <t>Fillet: OD ≥ 14</t>
  </si>
  <si>
    <t>Fillet: OD ≥ 48.3</t>
  </si>
  <si>
    <t>OSR-102-844</t>
  </si>
  <si>
    <t>OSR-103-1020</t>
  </si>
  <si>
    <t>ER 309</t>
  </si>
  <si>
    <t>ER 308</t>
  </si>
  <si>
    <t>ER 309L</t>
  </si>
  <si>
    <t>OD  ≥  33.4</t>
  </si>
  <si>
    <t>OD  ≥  600</t>
  </si>
  <si>
    <t>Date / Ngày</t>
  </si>
  <si>
    <t>Fillet: OD  ≥  89.1</t>
  </si>
  <si>
    <t>43 to 11.1</t>
  </si>
  <si>
    <t>8.1 to 11.1</t>
  </si>
  <si>
    <t>Groove: OD  &gt;  600: F, V
Groove: OD  ≤  600: F
Fillet: OD = Unlimited: F, H, V</t>
  </si>
  <si>
    <t>1.5</t>
  </si>
  <si>
    <t>5.16</t>
  </si>
  <si>
    <t>5.54</t>
  </si>
  <si>
    <t>7.75</t>
  </si>
  <si>
    <t>2.77</t>
  </si>
  <si>
    <t>2.3</t>
  </si>
  <si>
    <t>8.71</t>
  </si>
  <si>
    <t>2.8</t>
  </si>
  <si>
    <t>5.5</t>
  </si>
  <si>
    <t>4.5</t>
  </si>
  <si>
    <t>3.2</t>
  </si>
  <si>
    <t>4.55</t>
  </si>
  <si>
    <t>4.9</t>
  </si>
  <si>
    <r>
      <rPr>
        <b/>
        <sz val="11"/>
        <rFont val="Times New Roman"/>
        <family val="1"/>
      </rPr>
      <t>S.N</t>
    </r>
    <r>
      <rPr>
        <sz val="11"/>
        <rFont val="Times New Roman"/>
        <family val="1"/>
      </rPr>
      <t xml:space="preserve">
STT</t>
    </r>
  </si>
  <si>
    <t>11.1 to 8.1</t>
  </si>
  <si>
    <t>A53 Gr.B; A500 Gr.B</t>
  </si>
  <si>
    <t>Q235B</t>
  </si>
  <si>
    <t>Q355B</t>
  </si>
  <si>
    <t>S235JR</t>
  </si>
  <si>
    <t>304L</t>
  </si>
  <si>
    <t>OSR-WPS-ISO-PF-079</t>
  </si>
  <si>
    <t>ISO-079</t>
  </si>
  <si>
    <t>OSR-WPS-ISO-PC-080</t>
  </si>
  <si>
    <t>ISO-080</t>
  </si>
  <si>
    <t>S275JR + S275JR</t>
  </si>
  <si>
    <t>Groove/Fillet
3 to 20</t>
  </si>
  <si>
    <t>OD ≥ 500; All
OD &gt; 150; Rotated</t>
  </si>
  <si>
    <t>Plate: 10
Pipe: 3.68</t>
  </si>
  <si>
    <t>S275JR + A53 Gr.B</t>
  </si>
  <si>
    <t>PB, PC</t>
  </si>
  <si>
    <t>Groove/Fillet
 Plate 3 to 20
Pipe 3 to 7.36</t>
  </si>
  <si>
    <t>OD ≥ 24.13</t>
  </si>
  <si>
    <t>Groove
 Plate 3 to 20
Pipe 3 to 7.36</t>
  </si>
  <si>
    <t>PTC.WQ.ISO 9606-1.25.085</t>
  </si>
  <si>
    <t>PTC.WQ.ISO 9606-1.25.084</t>
  </si>
  <si>
    <t>OSR-007-9007</t>
  </si>
  <si>
    <t>OSR-084-9007</t>
  </si>
  <si>
    <t>OSR-099-9007</t>
  </si>
  <si>
    <t>OSR-101-9007</t>
  </si>
  <si>
    <t>OSR-103-9007</t>
  </si>
  <si>
    <t>OSR-107-9007</t>
  </si>
  <si>
    <t>Fillet: OD = All</t>
  </si>
  <si>
    <t>OSR-108-801</t>
  </si>
  <si>
    <t>OSR-108-662</t>
  </si>
  <si>
    <t>1G (F)</t>
  </si>
  <si>
    <t>OSR-095-9001</t>
  </si>
  <si>
    <t>OSR-106-9012</t>
  </si>
  <si>
    <t>OSR-096-9007</t>
  </si>
  <si>
    <t>OSR-094-9012</t>
  </si>
  <si>
    <t>OSR-097-9012</t>
  </si>
  <si>
    <t xml:space="preserve">Groove: OD ≥ 600
Fillet: OD = Unlimited </t>
  </si>
  <si>
    <t>Groove: OD ≥ 73: F
Groove: OD ≥ 600: F,  V
Fillet: OD = Unlimited: F, H, V</t>
  </si>
  <si>
    <t>Groove: OD ≥ 600
Fillet: OD = Unlimited</t>
  </si>
  <si>
    <t>Groove: OD ≥ 73: F
Groove: OD ≥ 600: F, V
Fillet: OD = Unlimited: F, H, V</t>
  </si>
  <si>
    <t>Groove: OD ≥ 73: F
Groove: OD ≥ 600: F, V
Fillet: Unlimited: F, H, V</t>
  </si>
  <si>
    <t>Groove: F</t>
  </si>
  <si>
    <t>Groove: OD ≥ 600
Fillet: OD ≥ 3</t>
  </si>
  <si>
    <t>Groove: OD ≥ 600: F, H, OH
Fillet: Unlimited</t>
  </si>
  <si>
    <t xml:space="preserve">Groove: OD ≥ 33.4
Fillet: OD = Unlimited </t>
  </si>
  <si>
    <t>Groove: OD ≥ 600
Fillet: OD = All</t>
  </si>
  <si>
    <t>Groove: OD ≥ 73: F
Groove: OD ≥ 600: F, V
Fillet: F, V, H</t>
  </si>
  <si>
    <t>Groove: OD ≥ 600
Fillet: Unlimited</t>
  </si>
  <si>
    <t>Groove: OD ≥ 33.4: F, H
Fillet: OD = Unlimited</t>
  </si>
  <si>
    <t>Groove: OD ≥ 33.4
Fillet: OD = Unlimited</t>
  </si>
  <si>
    <t>Groove: 3 ~ 32
Fillet: Unlimited</t>
  </si>
  <si>
    <t>Groove: 3 ~ 20
Fillet ≥ 3</t>
  </si>
  <si>
    <t>Groove/Fillet
3 ~ 20</t>
  </si>
  <si>
    <t>Groove/Fillet
2 ~ Unlimited</t>
  </si>
  <si>
    <t>Groove/Fillet
2 ~ 18</t>
  </si>
  <si>
    <t>Groove/Fillet
3 ~ 6</t>
  </si>
  <si>
    <t>Groove/Fillet
2 ~ 20</t>
  </si>
  <si>
    <t>Groove: 3 ~ 18
Fillet: Unlimited</t>
  </si>
  <si>
    <t>OSR-098-9012</t>
  </si>
  <si>
    <t>Groove: 2 ~ 18
Fillet: 2 ~ 18</t>
  </si>
  <si>
    <t>Groove: 2 ~ 20
Fillet ≥ 3</t>
  </si>
  <si>
    <t xml:space="preserve">Fillet ≥ 3 </t>
  </si>
  <si>
    <t>Groove: 3 ~ 6.4
Fillet: Unlimited</t>
  </si>
  <si>
    <t>Groove: 3 ~ 20
Fillet: 3 ~ 20</t>
  </si>
  <si>
    <t>Fillet ≥ 3</t>
  </si>
  <si>
    <t>Fillet ≥  3</t>
  </si>
  <si>
    <t>Groove: 2 ~ 20
Fillet: 2 ~ 20</t>
  </si>
  <si>
    <t>Groove/Fillet
0.75 ~ 3</t>
  </si>
  <si>
    <t>Groove/Fillet
0.6 ~ 2.4</t>
  </si>
  <si>
    <t>OSR-108-9007</t>
  </si>
  <si>
    <t>OSR-104-865</t>
  </si>
  <si>
    <t>OSR-107-935</t>
  </si>
  <si>
    <t>PTC.WQR.AWS. 22-265</t>
  </si>
  <si>
    <t>OSR-100-888</t>
  </si>
  <si>
    <t>TP vip OSR</t>
  </si>
  <si>
    <t>AWS-109</t>
  </si>
  <si>
    <t>OSR-WPS-D1.1-GT+FC-109</t>
  </si>
  <si>
    <t>A53 Gr.B + A53 Gr.B</t>
  </si>
  <si>
    <t>11.1 to 1 1.1</t>
  </si>
  <si>
    <t>8.7</t>
  </si>
  <si>
    <t>E70S-G
E71T-1C</t>
  </si>
  <si>
    <t>OSR-109-321</t>
  </si>
  <si>
    <t>W-5955</t>
  </si>
  <si>
    <t>OSR-002-5955</t>
  </si>
  <si>
    <t>W-1753</t>
  </si>
  <si>
    <t>W-0984</t>
  </si>
  <si>
    <t>OSR-002-1753</t>
  </si>
  <si>
    <t>OSR-002-0984</t>
  </si>
  <si>
    <t>W-3604</t>
  </si>
  <si>
    <t>OSR-002-3604</t>
  </si>
  <si>
    <t>HÀN RÂU</t>
  </si>
  <si>
    <t>Hàn râu</t>
  </si>
  <si>
    <t>HÀN RÂU Chưa cập nhật</t>
  </si>
  <si>
    <t>STPG370E-G 
+ STPG370E-G</t>
  </si>
  <si>
    <t>OSR-WPS-ASME-SAW-013</t>
  </si>
  <si>
    <t>ASME-013</t>
  </si>
  <si>
    <t>2 to 2</t>
  </si>
  <si>
    <t>8.2 to 2</t>
  </si>
  <si>
    <t>43 to 2</t>
  </si>
  <si>
    <t>ASME-014</t>
  </si>
  <si>
    <t>OSR-WPS-ASME-GT-014</t>
  </si>
  <si>
    <t>ASME-015</t>
  </si>
  <si>
    <t>ER308L</t>
  </si>
  <si>
    <t>3.5</t>
  </si>
  <si>
    <t>1 to 1</t>
  </si>
  <si>
    <t>OSR-WPS-ASME-GT+FC-015</t>
  </si>
  <si>
    <t>ER308L
E308LT1-1/-4</t>
  </si>
  <si>
    <t>1.5 to 7</t>
  </si>
  <si>
    <t>Groove: Plate : F
Pipe: 25mm ≤ O.D: F
Fillet: Plate &amp; Pipe: F</t>
  </si>
  <si>
    <t>OSR-014-021</t>
  </si>
  <si>
    <t>OSR-014-321</t>
  </si>
  <si>
    <t>OSR-014-865</t>
  </si>
  <si>
    <t>115</t>
  </si>
  <si>
    <t>116</t>
  </si>
  <si>
    <t>Groove: Plate: F
Pipe: 73mm ≤ O.D: F
Fillet: Plate &amp; Pipe: F</t>
  </si>
  <si>
    <t>OSR-015-816</t>
  </si>
  <si>
    <t>OSR-015-801</t>
  </si>
  <si>
    <t>OSR-109-021</t>
  </si>
  <si>
    <t>OSR-109-801</t>
  </si>
  <si>
    <t>OSR-109-9007</t>
  </si>
  <si>
    <t>OSR-109-865</t>
  </si>
  <si>
    <t>TP304L</t>
  </si>
  <si>
    <t>TP304L+ TP304L</t>
  </si>
  <si>
    <t>10 to 40</t>
  </si>
  <si>
    <t>OSR-008-981</t>
  </si>
  <si>
    <t>OSR-005-7534</t>
  </si>
  <si>
    <t>OSR-005-0440</t>
  </si>
  <si>
    <t>Groove: Plate &amp; Pipe &gt;610 O.D: F
Pipe: 73mm ≤ O.D ≤ 610mm: F
Fillet: Plate &amp; Pipe: F</t>
  </si>
  <si>
    <t>Groove: Plate &amp; Pipe ≥ 610 O.D: F
Pipe: 73mm ≤ O.D ≤ 610mm: F
Fillet: Plate &amp; Pipe: F</t>
  </si>
  <si>
    <t>OSR-006-0811</t>
  </si>
  <si>
    <t>OSR-006-6106</t>
  </si>
  <si>
    <t>OSR-007-6033</t>
  </si>
  <si>
    <t>OSR-007-3594</t>
  </si>
  <si>
    <t>OSR-008-10428</t>
  </si>
  <si>
    <t>OSR-008-2111</t>
  </si>
  <si>
    <t>Fillet: 1.5~4</t>
  </si>
  <si>
    <t>1F</t>
  </si>
  <si>
    <t>121</t>
  </si>
  <si>
    <t>1.1, 1,2, 1,3, 1,4, 11.1</t>
  </si>
  <si>
    <t>W-0556</t>
  </si>
  <si>
    <t>OSR-002-0556</t>
  </si>
  <si>
    <t>W-0177</t>
  </si>
  <si>
    <t>OSR-002-0177</t>
  </si>
  <si>
    <t>ISO-081</t>
  </si>
  <si>
    <t>OSR-WPS-ISO-PA-081</t>
  </si>
  <si>
    <t>1.1,  1.2 to 1.1,  1.2</t>
  </si>
  <si>
    <t>OD ≥ 150, PA rotated</t>
  </si>
  <si>
    <t>EM12K</t>
  </si>
  <si>
    <t>P355GH + P355GH</t>
  </si>
  <si>
    <t>W-023</t>
  </si>
  <si>
    <t xml:space="preserve">OD ≥ 75 rotating </t>
  </si>
  <si>
    <t>GS HÀN OSR</t>
  </si>
  <si>
    <t>WCERT-081-023</t>
  </si>
  <si>
    <t>OD &gt; 500mm (All)
OD &gt;150mm (PA, PF rotated &amp; PC)</t>
  </si>
  <si>
    <t>OD &gt; 500mm (All)
OD &gt;150mm (PA, PF rotated)</t>
  </si>
  <si>
    <t>CODE</t>
  </si>
  <si>
    <r>
      <t xml:space="preserve">Welder name
</t>
    </r>
    <r>
      <rPr>
        <sz val="12"/>
        <rFont val="Times New Roman"/>
        <family val="1"/>
      </rPr>
      <t>Họ tên thợ hàn</t>
    </r>
  </si>
  <si>
    <t>104</t>
  </si>
  <si>
    <t>REMARK</t>
  </si>
  <si>
    <r>
      <t xml:space="preserve">TABLE OF CERTIFIED WELDERS OR WELDING OPERATORS (TCW)
</t>
    </r>
    <r>
      <rPr>
        <sz val="16"/>
        <color indexed="8"/>
        <rFont val="Times New Roman"/>
        <family val="1"/>
      </rPr>
      <t>BẢN DANH SÁCH THỢ HÀN HOẶC NGƯỜI ĐIỀU KIỂN HÀN ĐÃ ĐƯỢC CHỨNG NHẬN</t>
    </r>
  </si>
  <si>
    <r>
      <t xml:space="preserve">WPS No.
</t>
    </r>
    <r>
      <rPr>
        <sz val="10"/>
        <rFont val="Times New Roman"/>
        <family val="1"/>
      </rPr>
      <t>Số quy trình hàn</t>
    </r>
  </si>
  <si>
    <t>Plate ≥ 3
Pipe 2.87 to 5.74</t>
  </si>
  <si>
    <t xml:space="preserve">OD ≥ 24 </t>
  </si>
  <si>
    <t>Groove: 2 ~ 24
Fillet ≥ 2</t>
  </si>
  <si>
    <t>Groove: 2 ~ 10
Fillet ≥ 2</t>
  </si>
  <si>
    <t>Groove: 20≤OD ≤100
Fillet: OD ≥ 3</t>
  </si>
  <si>
    <t>ASME-022</t>
  </si>
  <si>
    <t>OSR-WPS-ASME-FC-022</t>
  </si>
  <si>
    <t>1  to 1</t>
  </si>
  <si>
    <t xml:space="preserve">T/F: 3 to 24 </t>
  </si>
  <si>
    <t>Groove: 0.75 to 3
Fillet: Unlimited</t>
  </si>
  <si>
    <t>P235GH + S355J2</t>
  </si>
  <si>
    <t>ISO-082</t>
  </si>
  <si>
    <t>OSR-WPS-ISO-PA-082</t>
  </si>
  <si>
    <t>S355J2 + S355J2</t>
  </si>
  <si>
    <t>ISO-083</t>
  </si>
  <si>
    <t>OSR-WPS-ISO-PA-083</t>
  </si>
  <si>
    <t>OD ≥ 75 rotating in PA</t>
  </si>
  <si>
    <t>WCERT-082-321</t>
  </si>
  <si>
    <t>WCERT-082-023</t>
  </si>
  <si>
    <t>136            121</t>
  </si>
  <si>
    <t>WCERT-083-023</t>
  </si>
  <si>
    <t>T-Joint (Groove weld) and fillet:
Plate &amp; Pipe: F, H with OD ≥ 73mm</t>
  </si>
  <si>
    <t>OSR-022-780</t>
  </si>
  <si>
    <t xml:space="preserve">5 to 56 </t>
  </si>
  <si>
    <t>OSR-022-0440</t>
  </si>
  <si>
    <t>OSR-022-2111</t>
  </si>
  <si>
    <t>p</t>
  </si>
  <si>
    <t>106</t>
  </si>
  <si>
    <t>W-1027</t>
  </si>
  <si>
    <t>Hàn 2</t>
  </si>
  <si>
    <t xml:space="preserve">HÀN 1 </t>
  </si>
  <si>
    <t>Thầu phụ</t>
  </si>
  <si>
    <t>ĐANG LÀM</t>
  </si>
  <si>
    <t>TẢO-OSR1</t>
  </si>
  <si>
    <t>CHUNG - OSR1</t>
  </si>
  <si>
    <t>AN - OSR1</t>
  </si>
  <si>
    <t>AWS-111</t>
  </si>
  <si>
    <t>AWS-110</t>
  </si>
  <si>
    <t>OSR-WPS-D1.1-GM-110</t>
  </si>
  <si>
    <t>OSR-WPS-D1.1-GM-111</t>
  </si>
  <si>
    <t>Groove/Fillet
2 ~ 12</t>
  </si>
  <si>
    <t>Groove/ Fillet: OD ≥ 600</t>
  </si>
  <si>
    <t>OSR-110-982</t>
  </si>
  <si>
    <t>AWS D1.1 (Backing)</t>
  </si>
  <si>
    <t>OSR-111-032</t>
  </si>
  <si>
    <t>Hàn ?</t>
  </si>
  <si>
    <t>A500Gr.B + Q235B</t>
  </si>
  <si>
    <t>ASME-023</t>
  </si>
  <si>
    <t>OSR-WPS-ASME-GM/FC-023</t>
  </si>
  <si>
    <t>GMAW
FCAW</t>
  </si>
  <si>
    <t>Groove:OD ≥  73 mm
Fillet: All</t>
  </si>
  <si>
    <t>Groove: OD≥  25 mm
Fillet: All</t>
  </si>
  <si>
    <t>P1 to P1</t>
  </si>
  <si>
    <t>2G (F,H)</t>
  </si>
  <si>
    <r>
      <t xml:space="preserve">T-Joint (Groove weld) and Fillet: Plate &amp; Pipe: F,H with OD </t>
    </r>
    <r>
      <rPr>
        <sz val="11"/>
        <rFont val="Symbol"/>
        <family val="1"/>
        <charset val="2"/>
      </rPr>
      <t>³</t>
    </r>
    <r>
      <rPr>
        <sz val="11"/>
        <rFont val="Times New Roman"/>
        <family val="1"/>
      </rPr>
      <t>73mm</t>
    </r>
  </si>
  <si>
    <t>3G (F,H,V)</t>
  </si>
  <si>
    <t>All P-No. 1</t>
  </si>
  <si>
    <t>E70S-6</t>
  </si>
  <si>
    <t>ISO-084</t>
  </si>
  <si>
    <t>OSR-WPS-ISO-PA-084</t>
  </si>
  <si>
    <t>E71T-1C
EM12K</t>
  </si>
  <si>
    <t>S235J2; S355J2; P245GH; P355GH; Q355D</t>
  </si>
  <si>
    <t>S235JR; S235J2</t>
  </si>
  <si>
    <t>S235JR; S235J2 + A53 Gr.B</t>
  </si>
  <si>
    <t>S235J2; S275JR</t>
  </si>
  <si>
    <t>S235J2; S275JR + A53 Gr.B</t>
  </si>
  <si>
    <t>A516 Gr.70; P245GH; P355GH; A105; S355J2; Q355D</t>
  </si>
  <si>
    <t>S235J2: S355J2: Q355D</t>
  </si>
  <si>
    <t xml:space="preserve">A500: A53; 
P245GH; P355GH; P355GH; A105;
P355GH; P355GH </t>
  </si>
  <si>
    <t>3004: Alclad 3004: 5052: 5154: 5254: 5454: 5652.</t>
  </si>
  <si>
    <t>OSR-084-844</t>
  </si>
  <si>
    <t>WCERT-084-023</t>
  </si>
  <si>
    <t>PA, PC, PE</t>
  </si>
  <si>
    <t>PA, PB, PC</t>
  </si>
  <si>
    <t>141
136</t>
  </si>
  <si>
    <t>Q355B; P245GH</t>
  </si>
  <si>
    <t>A500Gr. B: A53Gr. B; P245GH; A105; P355GH; Q355B</t>
  </si>
  <si>
    <t>S235J2; S355J2; P245GH; P355GH; Q355D; Q355B</t>
  </si>
  <si>
    <t>PA, PC</t>
  </si>
  <si>
    <t>PA, PB, PF</t>
  </si>
  <si>
    <t>PA, PB</t>
  </si>
  <si>
    <t>ASME-018</t>
  </si>
  <si>
    <t>OSR-WPS-ASME-GM-018</t>
  </si>
  <si>
    <t xml:space="preserve">A516 Gr.70 + A516 Gr.70 </t>
  </si>
  <si>
    <t>112S</t>
  </si>
  <si>
    <t>Nguyen Van An</t>
  </si>
  <si>
    <t>Pham The Anh</t>
  </si>
  <si>
    <t>Ha Duyen Bac</t>
  </si>
  <si>
    <t>Nguyen Van Bac</t>
  </si>
  <si>
    <t>Nguyen Xuan Bach</t>
  </si>
  <si>
    <t>Dam Van Bang</t>
  </si>
  <si>
    <t>Doan Van Bien</t>
  </si>
  <si>
    <t>Nguyen Van Binh</t>
  </si>
  <si>
    <t>Nguyen Bien ca</t>
  </si>
  <si>
    <t>Nguyen Van Chan</t>
  </si>
  <si>
    <t>Nguyen Khac Chien</t>
  </si>
  <si>
    <t>Pham Van Chinh</t>
  </si>
  <si>
    <t>Bui Thanh Chuong</t>
  </si>
  <si>
    <t>Nguyen Van Diep</t>
  </si>
  <si>
    <t>Pham Van Dinh</t>
  </si>
  <si>
    <t>Vu Van Do</t>
  </si>
  <si>
    <t>Nguyen Thanh Doan</t>
  </si>
  <si>
    <t>Le Dac Dung</t>
  </si>
  <si>
    <t>Vu Anh Duong</t>
  </si>
  <si>
    <t>Pham Dang Duy</t>
  </si>
  <si>
    <t>Do Tung Giang</t>
  </si>
  <si>
    <t>Hoang Van Ha</t>
  </si>
  <si>
    <t>Do Van Hai</t>
  </si>
  <si>
    <t>Nguyen Thanh Hai</t>
  </si>
  <si>
    <t>Bui Thị Hậu</t>
  </si>
  <si>
    <t>Bui Huy Hien</t>
  </si>
  <si>
    <t>Hoang Van Hien</t>
  </si>
  <si>
    <t>Nguyen Van Hiep</t>
  </si>
  <si>
    <t>Doan Trung Hieu</t>
  </si>
  <si>
    <t>Nguyen Hong Hieu</t>
  </si>
  <si>
    <t>Nguyen Dinh Hoang</t>
  </si>
  <si>
    <t>Nguyen Van Hong</t>
  </si>
  <si>
    <t>Bui Dinh Hung</t>
  </si>
  <si>
    <t>Dong Xuan Hung</t>
  </si>
  <si>
    <t>Hoang Van Hung</t>
  </si>
  <si>
    <t>Nguyen Van Huong</t>
  </si>
  <si>
    <t>Tieu Quang Huy</t>
  </si>
  <si>
    <t>Le Van Huyen</t>
  </si>
  <si>
    <t>Dinh Van Khang</t>
  </si>
  <si>
    <t>Nguyen Manh Khuong</t>
  </si>
  <si>
    <t>Nguyen Van Lam</t>
  </si>
  <si>
    <t>Dinh Xuan Linh</t>
  </si>
  <si>
    <t>Nguyen Van Linh</t>
  </si>
  <si>
    <t>Ngo Tien Manh</t>
  </si>
  <si>
    <t>Nguyen Huu Manh</t>
  </si>
  <si>
    <t>Nguyen Tuan Manh</t>
  </si>
  <si>
    <t>Vu Tien Manh</t>
  </si>
  <si>
    <t>Vu Van Minh</t>
  </si>
  <si>
    <t>Hoang Cong Nam</t>
  </si>
  <si>
    <t>Truong Cong Nhat</t>
  </si>
  <si>
    <t>Tu Ngoc Phan</t>
  </si>
  <si>
    <t>Luong Van Quan</t>
  </si>
  <si>
    <t>Nguyen Dinh Quang</t>
  </si>
  <si>
    <t>Nguyen Xuan Quang</t>
  </si>
  <si>
    <t>Ngo Van Quyet</t>
  </si>
  <si>
    <t>Le Van San</t>
  </si>
  <si>
    <t>Phan Hung Sang</t>
  </si>
  <si>
    <t>Nguyen Van Sinh</t>
  </si>
  <si>
    <t>Nguyen Van Son</t>
  </si>
  <si>
    <t>Vu Van Tam</t>
  </si>
  <si>
    <t>Nguyen Trong Tan</t>
  </si>
  <si>
    <t>Bui Dinh Thai</t>
  </si>
  <si>
    <t>Bui Van Thanh</t>
  </si>
  <si>
    <t>Ngo Van Thien</t>
  </si>
  <si>
    <t>Dam Quang Thinh</t>
  </si>
  <si>
    <t>Le Van Tho</t>
  </si>
  <si>
    <t>Nguyen Van Tho</t>
  </si>
  <si>
    <t>Do Huu Thuan</t>
  </si>
  <si>
    <t>Le Quy Thuan</t>
  </si>
  <si>
    <t>Nguyen Duc Thuan</t>
  </si>
  <si>
    <t>Ca Van Thuy</t>
  </si>
  <si>
    <t>Ha Van Tinh</t>
  </si>
  <si>
    <t>Nguyen Huu Toan</t>
  </si>
  <si>
    <t>Nguyen Khanh Toan</t>
  </si>
  <si>
    <t>Dinh Cong Trang</t>
  </si>
  <si>
    <t>Ngo Van Trang</t>
  </si>
  <si>
    <t>Bui Phat Trieu</t>
  </si>
  <si>
    <t>Dao Van Trung</t>
  </si>
  <si>
    <t>Do Van Trung</t>
  </si>
  <si>
    <t>Duong Van Trung</t>
  </si>
  <si>
    <t>Nguyen Xuan Tu</t>
  </si>
  <si>
    <t>Vu Ba Tu</t>
  </si>
  <si>
    <t>Le Huu Tung</t>
  </si>
  <si>
    <t>Ngo Van Tung</t>
  </si>
  <si>
    <t>Tran Duc Van</t>
  </si>
  <si>
    <t>Nguyen Ba Viet</t>
  </si>
  <si>
    <t>Nguyen Van Viet</t>
  </si>
  <si>
    <t>Do Xuan Vinh</t>
  </si>
  <si>
    <t>Do Van Vuong</t>
  </si>
  <si>
    <t>Trinh Van Vy</t>
  </si>
  <si>
    <t>5 to 40</t>
  </si>
  <si>
    <t>Groove / Fillet:  Plate &amp; Pipe: F
Pipe: OD ≥ 73</t>
  </si>
  <si>
    <t>M-12K</t>
  </si>
  <si>
    <t>OSR-013-321</t>
  </si>
  <si>
    <t>OSR-013-844</t>
  </si>
  <si>
    <t xml:space="preserve">1.5 to 12 </t>
  </si>
  <si>
    <t>Groove weld: Plate &amp; Pipe: F with OD ≥ 73mm
Fillet weld: Plate &amp; Pipe: F</t>
  </si>
  <si>
    <t>OSR-018-780</t>
  </si>
  <si>
    <t>Butt:OD ≥  73 mm
Fillet: All</t>
  </si>
  <si>
    <t>Butt: 610  mm&lt; OD ≤ 73 mm
Fillet: All</t>
  </si>
  <si>
    <t>Duong Tien Dung</t>
  </si>
  <si>
    <t>W-1026</t>
  </si>
  <si>
    <r>
      <t xml:space="preserve">Groove: Plate &amp; Pipe </t>
    </r>
    <r>
      <rPr>
        <sz val="10"/>
        <rFont val="Symbol"/>
        <family val="1"/>
        <charset val="2"/>
      </rPr>
      <t>³</t>
    </r>
    <r>
      <rPr>
        <sz val="8.5"/>
        <rFont val="Times New Roman"/>
        <family val="1"/>
      </rPr>
      <t xml:space="preserve"> </t>
    </r>
    <r>
      <rPr>
        <sz val="10"/>
        <rFont val="Times New Roman"/>
        <family val="1"/>
      </rPr>
      <t>73 O.D: F
Fillet: Plate &amp; Pipe: F</t>
    </r>
  </si>
  <si>
    <t>OSR-018-1026</t>
  </si>
  <si>
    <t>Vu Thi Thu Hang</t>
  </si>
  <si>
    <t>Nguyen Thi Thanh Thuy</t>
  </si>
  <si>
    <t>STT</t>
  </si>
  <si>
    <t>T/p OSR sang hỗ trợ OSR1</t>
  </si>
  <si>
    <t>AN - OSR1
(T/p của OSR)</t>
  </si>
  <si>
    <t>ISO-085</t>
  </si>
  <si>
    <t>OSR-WPS-ISO-PA-085</t>
  </si>
  <si>
    <t>Groove/Fillet
3 to 10</t>
  </si>
  <si>
    <t>310S + P355GH</t>
  </si>
  <si>
    <t>ERNiCr-3</t>
  </si>
  <si>
    <t>OD ≥ 500 (All)
OD &gt; 150; Rotated</t>
  </si>
  <si>
    <t>ISO 15609-1
ISO 15614-2</t>
  </si>
  <si>
    <t>ISO 15609-1
ISO 15614-1</t>
  </si>
  <si>
    <t>Groove/Fillet
3 to 12</t>
  </si>
  <si>
    <t>Groove: 8 to 32
Fillet: Unlimited</t>
  </si>
  <si>
    <t>Groove: 3 to 16
Fillet: Unlimited</t>
  </si>
  <si>
    <t>Groove: 20 to  80
Fillet ≥ 5</t>
  </si>
  <si>
    <t xml:space="preserve">Groove: 15 to 60
Fillet ≥ 5 </t>
  </si>
  <si>
    <t>ISO 9606-2</t>
  </si>
  <si>
    <t>ISO 9606-1</t>
  </si>
  <si>
    <t>TÌNH TRẠNG
ĐẾN
30/10/2025</t>
  </si>
  <si>
    <t>OD ≥ 500 for fixed pipe
OD ≥ 75 rotating in PA</t>
  </si>
  <si>
    <t>OSR-085-321</t>
  </si>
  <si>
    <t>3 to 10</t>
  </si>
  <si>
    <t>OSR-085-322</t>
  </si>
  <si>
    <r>
      <rPr>
        <b/>
        <sz val="11"/>
        <rFont val="Times New Roman"/>
        <family val="1"/>
      </rPr>
      <t>Parent material for the project
V</t>
    </r>
    <r>
      <rPr>
        <sz val="11"/>
        <rFont val="Times New Roman"/>
        <family val="1"/>
      </rPr>
      <t>ật liệu cơ bản dùng cho dự án</t>
    </r>
  </si>
  <si>
    <t>OSR-083-844</t>
  </si>
  <si>
    <r>
      <t xml:space="preserve">Certified
WPS Code
</t>
    </r>
    <r>
      <rPr>
        <sz val="11"/>
        <rFont val="Times New Roman"/>
        <family val="1"/>
      </rPr>
      <t>Mã qui trình hàn</t>
    </r>
  </si>
  <si>
    <t>A53 Gr.B ; A106Gr. B; A500Gr.B; A516 Gr.70</t>
  </si>
  <si>
    <t>AWS-112</t>
  </si>
  <si>
    <t>OSR-WPS-D1.1-FC-112</t>
  </si>
  <si>
    <t>A516Gr. 70 + Q235B</t>
  </si>
  <si>
    <t>S275JR +SS316L</t>
  </si>
  <si>
    <t>600 ≥ OD  ≥  20</t>
  </si>
  <si>
    <t>Groove: 1G, 1F; OD  ≥  73
Fillet: OD = Unlimited</t>
  </si>
  <si>
    <t>Groove: 1G, 1F; OD  ≥  25
Fillet: OD = Unlimited</t>
  </si>
  <si>
    <t>122</t>
  </si>
  <si>
    <t>Groove: 20≤OD ≤100
Fillet: OD = Unlimited</t>
  </si>
  <si>
    <t>Groove: 3 ~ 24
Fillet: 2~Unlimited</t>
  </si>
  <si>
    <r>
      <t xml:space="preserve">Groove: OD </t>
    </r>
    <r>
      <rPr>
        <sz val="10"/>
        <rFont val="Arial"/>
        <family val="2"/>
      </rPr>
      <t>≤</t>
    </r>
    <r>
      <rPr>
        <sz val="10"/>
        <rFont val="Times New Roman"/>
        <family val="1"/>
      </rPr>
      <t xml:space="preserve"> 600: F
Groove: OD &gt; 600: F, V
Fillet: OD = Unlimited</t>
    </r>
  </si>
  <si>
    <t>OSR-096-611</t>
  </si>
  <si>
    <t>AWS-113</t>
  </si>
  <si>
    <t>OSR-WPS-D1.1-FC-113</t>
  </si>
  <si>
    <t>A53Gr.B + Q235B</t>
  </si>
  <si>
    <t>OSR-023-1026</t>
  </si>
  <si>
    <t>WCERT-081-844</t>
  </si>
  <si>
    <r>
      <t xml:space="preserve">ID Welder
</t>
    </r>
    <r>
      <rPr>
        <sz val="10"/>
        <rFont val="Times New Roman"/>
        <family val="1"/>
      </rPr>
      <t>Mã số thợ hàn</t>
    </r>
  </si>
  <si>
    <r>
      <t xml:space="preserve">ID Welder
</t>
    </r>
    <r>
      <rPr>
        <sz val="10"/>
        <color indexed="8"/>
        <rFont val="Times New Roman"/>
        <family val="1"/>
      </rPr>
      <t>Mã thợ hàn</t>
    </r>
  </si>
  <si>
    <r>
      <t xml:space="preserve">Welder Name
</t>
    </r>
    <r>
      <rPr>
        <sz val="10"/>
        <color indexed="8"/>
        <rFont val="Times New Roman"/>
        <family val="1"/>
      </rPr>
      <t>Họ tên thợ hàn</t>
    </r>
  </si>
  <si>
    <r>
      <rPr>
        <b/>
        <sz val="10"/>
        <color indexed="8"/>
        <rFont val="Times New Roman"/>
        <family val="1"/>
      </rPr>
      <t xml:space="preserve">Issue Date
</t>
    </r>
    <r>
      <rPr>
        <sz val="10"/>
        <color indexed="8"/>
        <rFont val="Times New Roman"/>
        <family val="1"/>
      </rPr>
      <t>Ngày cấp</t>
    </r>
  </si>
  <si>
    <t>Groove: 15 to 60 
F ≥ 5</t>
  </si>
  <si>
    <t>Groove: 1.25 to 4.6</t>
  </si>
  <si>
    <t>Groove: 1.5 to 20
Fillet: Unlimited</t>
  </si>
  <si>
    <t>Groove: 5 to 50 
Fillet: Unlimited</t>
  </si>
  <si>
    <t>Groove: 1.5 to 12 
Fillet: Unlimited</t>
  </si>
  <si>
    <t>Groove: 1.5 to 10.32 
Fillet: Unlimited</t>
  </si>
  <si>
    <t>Groove: 1.5 to 16 
Fillet: Unlimited</t>
  </si>
  <si>
    <t>Groove: 1.5 to 20 
Fillet: Unlimited</t>
  </si>
  <si>
    <t>Groove: 1.5 to 11.08 
Fillet: Unlimited</t>
  </si>
  <si>
    <t>Groove: 5 to  40 
Fillet: Unlimited</t>
  </si>
  <si>
    <t>Groove: 1.5 to 7 
Fillet: Unlimited</t>
  </si>
  <si>
    <t>T-Groove: 5 to 56 
Fillet: Unlimited</t>
  </si>
  <si>
    <t>Groove: 1.5 to 12
Fillet: Unlimited</t>
  </si>
  <si>
    <t xml:space="preserve">Groove: 1.15 to 4.6 
Fillet: 1.61 to 4.6 </t>
  </si>
  <si>
    <t xml:space="preserve">Groove: 12.5 to 50 
Fillet: 3 to 50 </t>
  </si>
  <si>
    <t>Groove: 3 to 6.5 
Fillet: 3 to 10</t>
  </si>
  <si>
    <t>Groove: 3 to 24
Fillet: Unlimited</t>
  </si>
  <si>
    <t>Groove: 5 to Unlimited
Fillet: Unlimited</t>
  </si>
  <si>
    <t>Groove: 3 to Unlimited
Fillet: Unlimited</t>
  </si>
  <si>
    <t>Groove: 3 to 11
Fillet: Unlimited</t>
  </si>
  <si>
    <t>Groove: 2 to 20
Fillet: Unlimited</t>
  </si>
  <si>
    <t>Groove/fillet
3 to 24</t>
  </si>
  <si>
    <t>Groove/fillet
3 to 15.5</t>
  </si>
  <si>
    <t>Groove/fillet
1.5 to 2.5</t>
  </si>
  <si>
    <t xml:space="preserve">Groove/fillet
3 to 10 </t>
  </si>
  <si>
    <t>Groove/fillet
1.96 to 5.6</t>
  </si>
  <si>
    <t>Groove/fillet
3 to 10</t>
  </si>
  <si>
    <t>Groove/fillet
 3 to 12</t>
  </si>
  <si>
    <t>Groove/Fillet 
3 to 18</t>
  </si>
  <si>
    <t>Groove/Fillet 
3 to 12</t>
  </si>
  <si>
    <t>Groove/Fillet
3 to 14.2</t>
  </si>
  <si>
    <t>Groove/Fillet       
3 to 20</t>
  </si>
  <si>
    <t xml:space="preserve">Groove/Fillet       
3 to to 24 </t>
  </si>
  <si>
    <t xml:space="preserve">Groove: 15 to    60
Fillet ≥ 5 </t>
  </si>
  <si>
    <t xml:space="preserve">Groove/Fillet       
3 to 12 </t>
  </si>
  <si>
    <t>Fillet: 3 to 50</t>
  </si>
  <si>
    <t>Groove: 15 to 60
Fillet ≥ 5</t>
  </si>
  <si>
    <t xml:space="preserve">Groove/Fillet       
3 to    to 10 </t>
  </si>
  <si>
    <t xml:space="preserve">Groove/Fillet       
3 to 10 </t>
  </si>
  <si>
    <t>Fillet
Plate 3 to 24 
Pipe 3 to 9.1</t>
  </si>
  <si>
    <t>Groove: 7.5 to 30 
Fillet: 3 to 30</t>
  </si>
  <si>
    <t>Groove: 2 to 4
Fillet: 1.4 to 4</t>
  </si>
  <si>
    <t>Fillet
 Plate 3 to 12
Pipe 1.8 to 5.2</t>
  </si>
  <si>
    <t>Fillet
 Plate 3 to 24
Pipe 3 to 10.16</t>
  </si>
  <si>
    <t>Groove: 8 to 32
Fillet: 3 to 32</t>
  </si>
  <si>
    <t>Fillet
1.25 to 4.6</t>
  </si>
  <si>
    <t>Fillet: Unlimited</t>
  </si>
  <si>
    <t>Groove: 1.38 to 5.54
Fillet: 1.9 to 5.54</t>
  </si>
  <si>
    <t>Fillet
 Pipe: 3 to 10.16
Plate: 3 to 50</t>
  </si>
  <si>
    <t>Fillet
 Pipe: 3 to 7.36 Plate: 3 to 50</t>
  </si>
  <si>
    <t>Groove: 3 to 12 
Fillet: Unlimited</t>
  </si>
  <si>
    <t>Groove: 3 to 32
Fillet: Unlimited</t>
  </si>
  <si>
    <t>Groove: 2 to 10 
Fillet ≥ 2</t>
  </si>
  <si>
    <t>Groove: 3 to 32 
Fillet: Unlimited</t>
  </si>
  <si>
    <t>Groove: 2 to 17.4
Fillet: Unlimited</t>
  </si>
  <si>
    <t>Groove: 2 to 6 
Fillet ≥ 2</t>
  </si>
  <si>
    <t>Groove: 1.5 to 4</t>
  </si>
  <si>
    <t>Groove: 3 to 20 
Fillet: Unlimited</t>
  </si>
  <si>
    <t>Groove: 1 to 4
Fillet: Unlimited</t>
  </si>
  <si>
    <t xml:space="preserve">Groove: 2 to 9.8
Fillet: &gt;2 </t>
  </si>
  <si>
    <t>Groove: 3 to 20
Fillet: Unlimited</t>
  </si>
  <si>
    <t>Groove: 3 to 9
Fillet: Unlimited</t>
  </si>
  <si>
    <t>Fillet 
3.38 to 12</t>
  </si>
  <si>
    <t>Fillet
0.8 to 3.2</t>
  </si>
  <si>
    <t>Fillet
3 to Unlimited</t>
  </si>
  <si>
    <t>Groove 
3 to Unlimited
Fillet: Unlimited</t>
  </si>
  <si>
    <t>Groove/Fillet    
3 to 20</t>
  </si>
  <si>
    <t>Groove: 0.6 to 2.4
Fillet: Unlimited</t>
  </si>
  <si>
    <t>Groove: 0.75 to 3</t>
  </si>
  <si>
    <t xml:space="preserve">Fillet
3 to 6 </t>
  </si>
  <si>
    <t xml:space="preserve">Groove/Fillet
3 to Unlimited </t>
  </si>
  <si>
    <t>Groove: 2 to 18
Fillet: Unlimited</t>
  </si>
  <si>
    <t>Groove: 2 to 20
Fillet ≥ 2</t>
  </si>
  <si>
    <t>Groove: 2 to 24
Fillet ≥ 2</t>
  </si>
  <si>
    <t>Groove: 3 to 12
Fillet: Unlimited</t>
  </si>
  <si>
    <t>Groove: 3 to 6.4
Fillet: Unlimited</t>
  </si>
  <si>
    <t>Groove: 3 to 10.2
Fillet: Unlimited</t>
  </si>
  <si>
    <t>Groove: 3 to 9.1
Fillet: Unlimited</t>
  </si>
  <si>
    <t>Groove: 5 to 24
Fillet: Unlimited</t>
  </si>
  <si>
    <t>Groove: 
3 to Unlimited
Fillet: Unlimited</t>
  </si>
  <si>
    <t>Groove: 2.8 to 5.6
Fillet: Unlimited</t>
  </si>
  <si>
    <r>
      <t xml:space="preserve">LIST OF WELDING CERTIFICATIONS
</t>
    </r>
    <r>
      <rPr>
        <sz val="16"/>
        <color indexed="8"/>
        <rFont val="Times New Roman"/>
        <family val="1"/>
      </rPr>
      <t>BẢNG KÊ CÁC CHỨNG CHỈ CỦA THỢ HÀN</t>
    </r>
  </si>
  <si>
    <r>
      <t xml:space="preserve">Possition
</t>
    </r>
    <r>
      <rPr>
        <sz val="10"/>
        <rFont val="Times New Roman"/>
        <family val="1"/>
      </rPr>
      <t>Tư thế hàn</t>
    </r>
  </si>
  <si>
    <r>
      <t xml:space="preserve">ID Welder
</t>
    </r>
    <r>
      <rPr>
        <sz val="12"/>
        <color indexed="8"/>
        <rFont val="Times New Roman"/>
        <family val="1"/>
      </rPr>
      <t>Mã thợ hàn</t>
    </r>
  </si>
  <si>
    <r>
      <t xml:space="preserve">Welder Name
</t>
    </r>
    <r>
      <rPr>
        <sz val="12"/>
        <color indexed="8"/>
        <rFont val="Times New Roman"/>
        <family val="1"/>
      </rPr>
      <t>Họ tên thợ hàn</t>
    </r>
  </si>
  <si>
    <t>ID Welder
Mã số thợ hàn</t>
  </si>
  <si>
    <t>W-251225</t>
  </si>
  <si>
    <t>Huu</t>
  </si>
  <si>
    <t>OSR-001-251225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</si>
</sst>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mmm\-yy;@"/>
    <numFmt numFmtId="165" formatCode="dd/mm/yyyy"/>
    <numFmt numFmtId="166" formatCode="[$-14809]d\ mmm\ yyyy;@"/>
  </numFmts>
  <fonts count="48">
    <font>
      <sz val="11"/>
      <color theme="1"/>
      <name val="Calibri"/>
      <family val="2"/>
      <charset val="163"/>
      <scheme val="minor"/>
    </font>
    <font>
      <sz val="6"/>
      <name val="Times New Roman"/>
      <family val="1"/>
    </font>
    <font>
      <strike/>
      <sz val="10"/>
      <name val=".VnTime"/>
      <family val="2"/>
    </font>
    <font>
      <sz val="10"/>
      <name val="Arial"/>
      <family val="2"/>
    </font>
    <font>
      <sz val="11"/>
      <name val="Times New Roman"/>
      <family val="1"/>
    </font>
    <font>
      <sz val="8"/>
      <name val="Times New Roman"/>
      <family val="1"/>
    </font>
    <font>
      <b/>
      <sz val="8"/>
      <name val="Times New Roman"/>
      <family val="1"/>
    </font>
    <font>
      <b/>
      <sz val="7"/>
      <name val="Times New Roman"/>
      <family val="1"/>
    </font>
    <font>
      <b/>
      <sz val="6"/>
      <name val="Times New Roman"/>
      <family val="1"/>
    </font>
    <font>
      <b/>
      <i/>
      <sz val="8"/>
      <name val="Times New Roman"/>
      <family val="1"/>
    </font>
    <font>
      <sz val="10"/>
      <name val="Times New Roman"/>
      <family val="1"/>
    </font>
    <font>
      <b/>
      <sz val="11"/>
      <name val="Times New Roman"/>
      <family val="1"/>
    </font>
    <font>
      <sz val="10"/>
      <color indexed="8"/>
      <name val="Times New Roman"/>
      <family val="1"/>
    </font>
    <font>
      <b/>
      <u/>
      <sz val="10"/>
      <color indexed="8"/>
      <name val="Times New Roman"/>
      <family val="1"/>
    </font>
    <font>
      <sz val="12"/>
      <name val=".VnTime"/>
      <family val="2"/>
    </font>
    <font>
      <b/>
      <sz val="10"/>
      <color indexed="8"/>
      <name val="Times New Roman"/>
      <family val="1"/>
    </font>
    <font>
      <sz val="12"/>
      <name val="Times New Roman"/>
      <family val="1"/>
    </font>
    <font>
      <sz val="16"/>
      <name val="Times New Roman"/>
      <family val="1"/>
    </font>
    <font>
      <sz val="18"/>
      <name val="Times New Roman"/>
      <family val="1"/>
    </font>
    <font>
      <b/>
      <sz val="18"/>
      <name val="Times New Roman"/>
      <family val="1"/>
    </font>
    <font>
      <sz val="22"/>
      <name val="Times New Roman"/>
      <family val="1"/>
    </font>
    <font>
      <b/>
      <sz val="12"/>
      <name val="Times New Roman"/>
      <family val="1"/>
    </font>
    <font>
      <b/>
      <sz val="10"/>
      <name val="Times New Roman"/>
      <family val="1"/>
    </font>
    <font>
      <sz val="16"/>
      <color indexed="8"/>
      <name val="Times New Roman"/>
      <family val="1"/>
    </font>
    <font>
      <i/>
      <sz val="10"/>
      <name val="Times New Roman"/>
      <family val="1"/>
    </font>
    <font>
      <b/>
      <sz val="22"/>
      <name val="Times New Roman"/>
      <family val="1"/>
    </font>
    <font>
      <sz val="11"/>
      <name val="Symbol"/>
      <family val="1"/>
      <charset val="2"/>
    </font>
    <font>
      <sz val="10"/>
      <name val="Symbol"/>
      <family val="1"/>
      <charset val="2"/>
    </font>
    <font>
      <sz val="8.5"/>
      <name val="Times New Roman"/>
      <family val="1"/>
    </font>
    <font>
      <sz val="12"/>
      <color indexed="8"/>
      <name val="Times New Roman"/>
      <family val="1"/>
    </font>
    <font>
      <sz val="11"/>
      <color theme="1"/>
      <name val="Calibri"/>
      <family val="2"/>
      <charset val="163"/>
      <scheme val="minor"/>
    </font>
    <font>
      <sz val="11"/>
      <color theme="1"/>
      <name val="Calibri"/>
      <family val="2"/>
      <scheme val="minor"/>
    </font>
    <font>
      <sz val="8"/>
      <color theme="1"/>
      <name val="Times New Roman"/>
      <family val="1"/>
    </font>
    <font>
      <b/>
      <sz val="10"/>
      <color theme="1"/>
      <name val="Times New Roman"/>
      <family val="1"/>
    </font>
    <font>
      <sz val="10"/>
      <color theme="1"/>
      <name val="Times New Roman"/>
      <family val="1"/>
    </font>
    <font>
      <b/>
      <sz val="10"/>
      <color rgb="FFFF0000"/>
      <name val="Times New Roman"/>
      <family val="1"/>
    </font>
    <font>
      <sz val="11"/>
      <color theme="1"/>
      <name val="Times New Roman"/>
      <family val="1"/>
    </font>
    <font>
      <b/>
      <sz val="12"/>
      <color rgb="FFFF0000"/>
      <name val="Times New Roman"/>
      <family val="1"/>
    </font>
    <font>
      <b/>
      <sz val="12"/>
      <color rgb="FF0070C0"/>
      <name val="Times New Roman"/>
      <family val="1"/>
    </font>
    <font>
      <b/>
      <sz val="15"/>
      <color rgb="FFFF0000"/>
      <name val="Times New Roman"/>
      <family val="1"/>
    </font>
    <font>
      <b/>
      <sz val="11"/>
      <color rgb="FF0070C0"/>
      <name val="Times New Roman"/>
      <family val="1"/>
    </font>
    <font>
      <b/>
      <sz val="11"/>
      <color rgb="FF7030A0"/>
      <name val="Times New Roman"/>
      <family val="1"/>
    </font>
    <font>
      <b/>
      <sz val="11"/>
      <color rgb="FFFF0000"/>
      <name val="Times New Roman"/>
      <family val="1"/>
    </font>
    <font>
      <sz val="10"/>
      <color rgb="FFFF0000"/>
      <name val="Times New Roman"/>
      <family val="1"/>
    </font>
    <font>
      <b/>
      <sz val="16"/>
      <color theme="1"/>
      <name val="Times New Roman"/>
      <family val="1"/>
    </font>
    <font>
      <b/>
      <sz val="12"/>
      <color theme="1"/>
      <name val="Times New Roman"/>
      <family val="1"/>
    </font>
    <font>
      <b/>
      <sz val="18"/>
      <color rgb="FFFF0000"/>
      <name val="Times New Roman"/>
      <family val="1"/>
    </font>
    <font>
      <u/>
      <sz val="11"/>
      <color theme="10"/>
      <name val="Calibri"/>
      <family val="2"/>
      <charset val="163"/>
      <scheme val="minor"/>
    </font>
  </fonts>
  <fills count="3">
    <fill>
      <patternFill patternType="none"/>
    </fill>
    <fill>
      <patternFill patternType="gray125"/>
    </fill>
    <fill>
      <patternFill patternType="solid">
        <fgColor rgb="FFFFFF00"/>
        <bgColor indexed="64"/>
      </patternFill>
    </fill>
  </fills>
  <borders count="5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right/>
      <top style="double">
        <color indexed="64"/>
      </top>
      <bottom/>
      <diagonal/>
    </border>
    <border>
      <left style="thin">
        <color indexed="64"/>
      </left>
      <right style="thin">
        <color indexed="64"/>
      </right>
      <top style="hair">
        <color indexed="64"/>
      </top>
      <bottom style="double">
        <color indexed="64"/>
      </bottom>
      <diagonal/>
    </border>
    <border>
      <left style="double">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double">
        <color indexed="64"/>
      </right>
      <top style="hair">
        <color indexed="64"/>
      </top>
      <bottom style="hair">
        <color indexed="64"/>
      </bottom>
      <diagonal/>
    </border>
    <border>
      <left style="thin">
        <color indexed="64"/>
      </left>
      <right style="double">
        <color indexed="64"/>
      </right>
      <top style="hair">
        <color indexed="64"/>
      </top>
      <bottom style="double">
        <color indexed="64"/>
      </bottom>
      <diagonal/>
    </border>
    <border>
      <left style="double">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double">
        <color indexed="64"/>
      </left>
      <right style="thin">
        <color indexed="64"/>
      </right>
      <top style="hair">
        <color indexed="64"/>
      </top>
      <bottom style="double">
        <color indexed="64"/>
      </bottom>
      <diagonal/>
    </border>
    <border>
      <left style="thin">
        <color indexed="64"/>
      </left>
      <right/>
      <top style="hair">
        <color indexed="64"/>
      </top>
      <bottom style="hair">
        <color indexed="64"/>
      </bottom>
      <diagonal/>
    </border>
    <border>
      <left style="thin">
        <color indexed="64"/>
      </left>
      <right/>
      <top style="hair">
        <color indexed="64"/>
      </top>
      <bottom style="double">
        <color indexed="64"/>
      </bottom>
      <diagonal/>
    </border>
    <border>
      <left style="thin">
        <color indexed="64"/>
      </left>
      <right/>
      <top style="thin">
        <color indexed="64"/>
      </top>
      <bottom style="hair">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double">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right style="double">
        <color indexed="64"/>
      </right>
      <top/>
      <bottom/>
      <diagonal/>
    </border>
    <border>
      <left/>
      <right style="thin">
        <color indexed="64"/>
      </right>
      <top style="thin">
        <color indexed="64"/>
      </top>
      <bottom style="hair">
        <color indexed="64"/>
      </bottom>
      <diagonal/>
    </border>
    <border>
      <left style="thin">
        <color indexed="64"/>
      </left>
      <right style="double">
        <color indexed="64"/>
      </right>
      <top style="thin">
        <color indexed="64"/>
      </top>
      <bottom/>
      <diagonal/>
    </border>
    <border>
      <left style="double">
        <color indexed="64"/>
      </left>
      <right style="thin">
        <color indexed="64"/>
      </right>
      <top style="hair">
        <color indexed="64"/>
      </top>
      <bottom/>
      <diagonal/>
    </border>
    <border>
      <left style="thin">
        <color indexed="64"/>
      </left>
      <right style="thin">
        <color indexed="64"/>
      </right>
      <top style="hair">
        <color indexed="64"/>
      </top>
      <bottom/>
      <diagonal/>
    </border>
    <border>
      <left style="thin">
        <color indexed="64"/>
      </left>
      <right style="double">
        <color indexed="64"/>
      </right>
      <top style="hair">
        <color indexed="64"/>
      </top>
      <bottom/>
      <diagonal/>
    </border>
    <border>
      <left/>
      <right/>
      <top/>
      <bottom style="double">
        <color indexed="64"/>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double">
        <color indexed="64"/>
      </right>
      <top style="thin">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diagonal/>
    </border>
    <border>
      <left style="thin">
        <color indexed="64"/>
      </left>
      <right/>
      <top style="hair">
        <color indexed="64"/>
      </top>
      <bottom/>
      <diagonal/>
    </border>
    <border>
      <left/>
      <right style="thin">
        <color indexed="64"/>
      </right>
      <top style="hair">
        <color indexed="64"/>
      </top>
      <bottom style="double">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thin">
        <color indexed="64"/>
      </bottom>
      <diagonal/>
    </border>
    <border>
      <left style="thin">
        <color indexed="64"/>
      </left>
      <right/>
      <top style="double">
        <color indexed="64"/>
      </top>
      <bottom/>
      <diagonal/>
    </border>
    <border>
      <left style="thin">
        <color indexed="64"/>
      </left>
      <right/>
      <top/>
      <bottom/>
      <diagonal/>
    </border>
    <border>
      <left style="thin">
        <color indexed="64"/>
      </left>
      <right style="thin">
        <color indexed="64"/>
      </right>
      <top style="double">
        <color indexed="64"/>
      </top>
      <bottom/>
      <diagonal/>
    </border>
    <border>
      <left style="thin">
        <color indexed="64"/>
      </left>
      <right style="thin">
        <color indexed="64"/>
      </right>
      <top/>
      <bottom/>
      <diagonal/>
    </border>
    <border>
      <left style="double">
        <color indexed="64"/>
      </left>
      <right style="thin">
        <color indexed="64"/>
      </right>
      <top style="thin">
        <color indexed="64"/>
      </top>
      <bottom/>
      <diagonal/>
    </border>
    <border>
      <left style="double">
        <color indexed="64"/>
      </left>
      <right style="thin">
        <color indexed="64"/>
      </right>
      <top/>
      <bottom/>
      <diagonal/>
    </border>
    <border>
      <left/>
      <right style="double">
        <color indexed="64"/>
      </right>
      <top style="double">
        <color indexed="64"/>
      </top>
      <bottom style="thin">
        <color indexed="64"/>
      </bottom>
      <diagonal/>
    </border>
    <border>
      <left style="thin">
        <color indexed="64"/>
      </left>
      <right style="double">
        <color indexed="64"/>
      </right>
      <top style="double">
        <color indexed="64"/>
      </top>
      <bottom/>
      <diagonal/>
    </border>
    <border>
      <left style="thin">
        <color indexed="64"/>
      </left>
      <right style="double">
        <color indexed="64"/>
      </right>
      <top/>
      <bottom/>
      <diagonal/>
    </border>
    <border>
      <left style="double">
        <color indexed="64"/>
      </left>
      <right style="thin">
        <color indexed="64"/>
      </right>
      <top style="double">
        <color indexed="64"/>
      </top>
      <bottom/>
      <diagonal/>
    </border>
    <border>
      <left style="thin">
        <color indexed="64"/>
      </left>
      <right/>
      <top style="thin">
        <color indexed="64"/>
      </top>
      <bottom/>
      <diagonal/>
    </border>
    <border>
      <left/>
      <right/>
      <top style="thin">
        <color indexed="64"/>
      </top>
      <bottom/>
      <diagonal/>
    </border>
  </borders>
  <cellStyleXfs count="15">
    <xf numFmtId="0" fontId="0" fillId="0" borderId="0"/>
    <xf numFmtId="164" fontId="31" fillId="0" borderId="0"/>
    <xf numFmtId="0" fontId="3" fillId="0" borderId="0"/>
    <xf numFmtId="164" fontId="2" fillId="0" borderId="0"/>
    <xf numFmtId="164" fontId="31" fillId="0" borderId="0"/>
    <xf numFmtId="164" fontId="2" fillId="0" borderId="0"/>
    <xf numFmtId="0" fontId="30" fillId="0" borderId="0"/>
    <xf numFmtId="0" fontId="14" fillId="0" borderId="0"/>
    <xf numFmtId="0" fontId="30" fillId="0" borderId="0"/>
    <xf numFmtId="0" fontId="31" fillId="0" borderId="0"/>
    <xf numFmtId="0" fontId="31" fillId="0" borderId="0"/>
    <xf numFmtId="0" fontId="30" fillId="0" borderId="0"/>
    <xf numFmtId="0" fontId="31" fillId="0" borderId="0"/>
    <xf numFmtId="0" fontId="14" fillId="0" borderId="0"/>
    <xf numFmtId="0" fontId="47" fillId="0" borderId="0" applyNumberFormat="0" applyFill="0" applyBorder="0" applyAlignment="0" applyProtection="0"/>
  </cellStyleXfs>
  <cellXfs count="444">
    <xf numFmtId="0" fontId="0" fillId="0" borderId="0" xfId="0"/>
    <xf numFmtId="0" fontId="32" fillId="0" borderId="0" xfId="1" applyNumberFormat="1" applyFont="1" applyAlignment="1">
      <alignment horizontal="center" vertical="center"/>
    </xf>
    <xf numFmtId="164" fontId="1" fillId="0" borderId="0" xfId="1" applyFont="1" applyAlignment="1">
      <alignment horizontal="center" vertical="center"/>
    </xf>
    <xf numFmtId="1" fontId="8" fillId="0" borderId="0" xfId="1" applyNumberFormat="1" applyFont="1"/>
    <xf numFmtId="164" fontId="1" fillId="0" borderId="0" xfId="1" applyFont="1"/>
    <xf numFmtId="164" fontId="10" fillId="0" borderId="0" xfId="1" applyFont="1" applyAlignment="1">
      <alignment horizontal="center" vertical="center"/>
    </xf>
    <xf numFmtId="0" fontId="33" fillId="0" borderId="1" xfId="12" applyFont="1" applyBorder="1" applyAlignment="1">
      <alignment horizontal="center" vertical="center" wrapText="1"/>
    </xf>
    <xf numFmtId="0" fontId="34" fillId="0" borderId="1" xfId="12" applyFont="1" applyBorder="1" applyAlignment="1">
      <alignment horizontal="center" vertical="center" wrapText="1"/>
    </xf>
    <xf numFmtId="0" fontId="1" fillId="0" borderId="0" xfId="1" applyNumberFormat="1" applyFont="1" applyAlignment="1">
      <alignment horizontal="center" vertical="center"/>
    </xf>
    <xf numFmtId="0" fontId="1" fillId="0" borderId="0" xfId="1" applyNumberFormat="1" applyFont="1" applyAlignment="1">
      <alignment horizontal="left" vertical="center"/>
    </xf>
    <xf numFmtId="164" fontId="1" fillId="0" borderId="0" xfId="1" applyFont="1" applyAlignment="1">
      <alignment vertical="center"/>
    </xf>
    <xf numFmtId="0" fontId="34" fillId="0" borderId="2" xfId="12" applyFont="1" applyBorder="1"/>
    <xf numFmtId="0" fontId="34" fillId="0" borderId="3" xfId="12" applyFont="1" applyBorder="1"/>
    <xf numFmtId="0" fontId="1" fillId="0" borderId="0" xfId="1" applyNumberFormat="1" applyFont="1" applyAlignment="1">
      <alignment horizontal="center"/>
    </xf>
    <xf numFmtId="164" fontId="1" fillId="0" borderId="0" xfId="1" applyFont="1" applyAlignment="1">
      <alignment horizontal="center"/>
    </xf>
    <xf numFmtId="0" fontId="1" fillId="0" borderId="0" xfId="1" applyNumberFormat="1" applyFont="1"/>
    <xf numFmtId="0" fontId="1" fillId="0" borderId="0" xfId="1" applyNumberFormat="1" applyFont="1" applyAlignment="1">
      <alignment horizontal="left" wrapText="1"/>
    </xf>
    <xf numFmtId="0" fontId="34" fillId="0" borderId="0" xfId="12" applyFont="1" applyAlignment="1">
      <alignment horizontal="center" vertical="center"/>
    </xf>
    <xf numFmtId="0" fontId="35" fillId="0" borderId="0" xfId="12" applyFont="1" applyAlignment="1">
      <alignment horizontal="center" vertical="center"/>
    </xf>
    <xf numFmtId="1" fontId="35" fillId="0" borderId="0" xfId="1" applyNumberFormat="1" applyFont="1" applyAlignment="1">
      <alignment horizontal="center" vertical="center"/>
    </xf>
    <xf numFmtId="0" fontId="36" fillId="0" borderId="0" xfId="0" applyFont="1"/>
    <xf numFmtId="164" fontId="10" fillId="0" borderId="4" xfId="1" applyFont="1" applyBorder="1" applyAlignment="1">
      <alignment horizontal="center" vertical="center" wrapText="1"/>
    </xf>
    <xf numFmtId="0" fontId="10" fillId="0" borderId="4" xfId="3" applyNumberFormat="1" applyFont="1" applyBorder="1" applyAlignment="1">
      <alignment horizontal="center" vertical="center" wrapText="1"/>
    </xf>
    <xf numFmtId="164" fontId="10" fillId="0" borderId="4" xfId="3" applyFont="1" applyBorder="1" applyAlignment="1">
      <alignment horizontal="center" vertical="center" wrapText="1"/>
    </xf>
    <xf numFmtId="0" fontId="10" fillId="0" borderId="4" xfId="5" applyNumberFormat="1" applyFont="1" applyBorder="1" applyAlignment="1">
      <alignment horizontal="center" vertical="center" wrapText="1"/>
    </xf>
    <xf numFmtId="0" fontId="9" fillId="0" borderId="0" xfId="1" applyNumberFormat="1" applyFont="1" applyAlignment="1">
      <alignment vertical="center"/>
    </xf>
    <xf numFmtId="0" fontId="6" fillId="0" borderId="0" xfId="1" applyNumberFormat="1" applyFont="1" applyAlignment="1">
      <alignment vertical="center"/>
    </xf>
    <xf numFmtId="0" fontId="6" fillId="0" borderId="0" xfId="1" applyNumberFormat="1" applyFont="1" applyAlignment="1">
      <alignment horizontal="left" vertical="center"/>
    </xf>
    <xf numFmtId="0" fontId="10" fillId="0" borderId="0" xfId="12" applyFont="1" applyAlignment="1">
      <alignment horizontal="center" vertical="center"/>
    </xf>
    <xf numFmtId="1" fontId="5" fillId="0" borderId="5" xfId="1" applyNumberFormat="1" applyFont="1" applyBorder="1" applyAlignment="1">
      <alignment horizontal="center" vertical="center"/>
    </xf>
    <xf numFmtId="49" fontId="7" fillId="0" borderId="4" xfId="8" applyNumberFormat="1" applyFont="1" applyBorder="1" applyAlignment="1">
      <alignment horizontal="center" vertical="center" wrapText="1"/>
    </xf>
    <xf numFmtId="164" fontId="1" fillId="0" borderId="4" xfId="1" applyFont="1" applyBorder="1"/>
    <xf numFmtId="164" fontId="1" fillId="0" borderId="4" xfId="1" applyFont="1" applyBorder="1" applyAlignment="1">
      <alignment horizontal="center" vertical="center"/>
    </xf>
    <xf numFmtId="49" fontId="7" fillId="0" borderId="6" xfId="8" applyNumberFormat="1" applyFont="1" applyBorder="1" applyAlignment="1">
      <alignment horizontal="center" vertical="center" wrapText="1"/>
    </xf>
    <xf numFmtId="0" fontId="22" fillId="0" borderId="4" xfId="8" applyFont="1" applyBorder="1" applyAlignment="1">
      <alignment horizontal="center" vertical="center" wrapText="1"/>
    </xf>
    <xf numFmtId="0" fontId="33" fillId="0" borderId="4" xfId="8" quotePrefix="1" applyFont="1" applyBorder="1" applyAlignment="1">
      <alignment horizontal="center" vertical="center" wrapText="1"/>
    </xf>
    <xf numFmtId="49" fontId="33" fillId="0" borderId="4" xfId="8" quotePrefix="1" applyNumberFormat="1" applyFont="1" applyBorder="1" applyAlignment="1">
      <alignment horizontal="center" vertical="center" wrapText="1"/>
    </xf>
    <xf numFmtId="0" fontId="22" fillId="0" borderId="4" xfId="3" applyNumberFormat="1" applyFont="1" applyBorder="1" applyAlignment="1">
      <alignment horizontal="center" vertical="center" wrapText="1"/>
    </xf>
    <xf numFmtId="0" fontId="10" fillId="0" borderId="0" xfId="1" applyNumberFormat="1" applyFont="1" applyAlignment="1">
      <alignment horizontal="center" vertical="center"/>
    </xf>
    <xf numFmtId="49" fontId="22" fillId="0" borderId="4" xfId="8" quotePrefix="1" applyNumberFormat="1" applyFont="1" applyBorder="1" applyAlignment="1">
      <alignment horizontal="center" vertical="center" wrapText="1"/>
    </xf>
    <xf numFmtId="49" fontId="22" fillId="0" borderId="4" xfId="8" applyNumberFormat="1" applyFont="1" applyBorder="1" applyAlignment="1">
      <alignment horizontal="center" vertical="center" wrapText="1"/>
    </xf>
    <xf numFmtId="49" fontId="22" fillId="0" borderId="6" xfId="8" applyNumberFormat="1" applyFont="1" applyBorder="1" applyAlignment="1">
      <alignment horizontal="center" vertical="center" wrapText="1"/>
    </xf>
    <xf numFmtId="164" fontId="24" fillId="0" borderId="0" xfId="1" applyFont="1" applyAlignment="1">
      <alignment vertical="center"/>
    </xf>
    <xf numFmtId="164" fontId="10" fillId="0" borderId="0" xfId="1" applyFont="1"/>
    <xf numFmtId="0" fontId="5" fillId="0" borderId="0" xfId="1" applyNumberFormat="1" applyFont="1" applyAlignment="1">
      <alignment horizontal="left" wrapText="1"/>
    </xf>
    <xf numFmtId="0" fontId="33" fillId="0" borderId="1" xfId="12" applyFont="1" applyBorder="1" applyAlignment="1">
      <alignment horizontal="center" vertical="center"/>
    </xf>
    <xf numFmtId="0" fontId="10" fillId="0" borderId="7" xfId="1" applyNumberFormat="1" applyFont="1" applyBorder="1" applyAlignment="1">
      <alignment horizontal="center" vertical="center" wrapText="1"/>
    </xf>
    <xf numFmtId="164" fontId="5" fillId="0" borderId="0" xfId="1" applyFont="1"/>
    <xf numFmtId="1" fontId="5" fillId="0" borderId="0" xfId="1" applyNumberFormat="1" applyFont="1"/>
    <xf numFmtId="0" fontId="34" fillId="0" borderId="8" xfId="12" applyFont="1" applyBorder="1" applyAlignment="1">
      <alignment horizontal="center" vertical="center"/>
    </xf>
    <xf numFmtId="0" fontId="34" fillId="0" borderId="9" xfId="12" applyFont="1" applyBorder="1" applyAlignment="1">
      <alignment horizontal="left" vertical="center" wrapText="1" indent="1"/>
    </xf>
    <xf numFmtId="164" fontId="10" fillId="0" borderId="10" xfId="1" applyFont="1" applyBorder="1" applyAlignment="1">
      <alignment horizontal="left" indent="1"/>
    </xf>
    <xf numFmtId="164" fontId="10" fillId="0" borderId="11" xfId="1" applyFont="1" applyBorder="1" applyAlignment="1">
      <alignment horizontal="left" indent="1"/>
    </xf>
    <xf numFmtId="164" fontId="8" fillId="0" borderId="4" xfId="1" applyFont="1" applyBorder="1" applyAlignment="1">
      <alignment horizontal="center" vertical="center"/>
    </xf>
    <xf numFmtId="49" fontId="7" fillId="0" borderId="12" xfId="8" applyNumberFormat="1" applyFont="1" applyBorder="1" applyAlignment="1">
      <alignment horizontal="center" vertical="center" wrapText="1"/>
    </xf>
    <xf numFmtId="49" fontId="7" fillId="0" borderId="13" xfId="8" applyNumberFormat="1" applyFont="1" applyBorder="1" applyAlignment="1">
      <alignment horizontal="center" vertical="center" wrapText="1"/>
    </xf>
    <xf numFmtId="0" fontId="10" fillId="0" borderId="14" xfId="1" applyNumberFormat="1" applyFont="1" applyBorder="1" applyAlignment="1">
      <alignment horizontal="center" vertical="center" wrapText="1"/>
    </xf>
    <xf numFmtId="49" fontId="22" fillId="0" borderId="15" xfId="8" quotePrefix="1" applyNumberFormat="1" applyFont="1" applyBorder="1" applyAlignment="1">
      <alignment horizontal="center" vertical="center" wrapText="1"/>
    </xf>
    <xf numFmtId="0" fontId="10" fillId="0" borderId="15" xfId="3" applyNumberFormat="1" applyFont="1" applyBorder="1" applyAlignment="1">
      <alignment horizontal="center" vertical="center" wrapText="1"/>
    </xf>
    <xf numFmtId="164" fontId="10" fillId="0" borderId="15" xfId="1" applyFont="1" applyBorder="1" applyAlignment="1">
      <alignment horizontal="center" vertical="center" wrapText="1"/>
    </xf>
    <xf numFmtId="166" fontId="33" fillId="0" borderId="1" xfId="12" applyNumberFormat="1" applyFont="1" applyBorder="1" applyAlignment="1">
      <alignment horizontal="center" vertical="center"/>
    </xf>
    <xf numFmtId="164" fontId="5" fillId="0" borderId="0" xfId="1" applyFont="1" applyAlignment="1">
      <alignment horizontal="center" vertical="center"/>
    </xf>
    <xf numFmtId="0" fontId="22" fillId="0" borderId="4" xfId="12" applyFont="1" applyBorder="1" applyAlignment="1">
      <alignment horizontal="center" vertical="center"/>
    </xf>
    <xf numFmtId="1" fontId="35" fillId="0" borderId="0" xfId="1" applyNumberFormat="1" applyFont="1"/>
    <xf numFmtId="1" fontId="35" fillId="0" borderId="0" xfId="1" applyNumberFormat="1" applyFont="1" applyAlignment="1">
      <alignment vertical="center"/>
    </xf>
    <xf numFmtId="1" fontId="8" fillId="0" borderId="0" xfId="1" applyNumberFormat="1" applyFont="1" applyAlignment="1">
      <alignment vertical="center"/>
    </xf>
    <xf numFmtId="1" fontId="22" fillId="0" borderId="0" xfId="1" applyNumberFormat="1" applyFont="1" applyAlignment="1">
      <alignment horizontal="center" vertical="center"/>
    </xf>
    <xf numFmtId="0" fontId="22" fillId="0" borderId="0" xfId="12" applyFont="1" applyAlignment="1">
      <alignment horizontal="center" vertical="center"/>
    </xf>
    <xf numFmtId="0" fontId="10" fillId="0" borderId="15" xfId="3" applyNumberFormat="1" applyFont="1" applyBorder="1" applyAlignment="1">
      <alignment vertical="center" wrapText="1"/>
    </xf>
    <xf numFmtId="0" fontId="10" fillId="0" borderId="4" xfId="3" applyNumberFormat="1" applyFont="1" applyBorder="1" applyAlignment="1">
      <alignment vertical="center" wrapText="1"/>
    </xf>
    <xf numFmtId="0" fontId="10" fillId="0" borderId="4" xfId="5" applyNumberFormat="1" applyFont="1" applyBorder="1" applyAlignment="1">
      <alignment vertical="center" wrapText="1"/>
    </xf>
    <xf numFmtId="0" fontId="10" fillId="0" borderId="16" xfId="1" applyNumberFormat="1" applyFont="1" applyBorder="1" applyAlignment="1">
      <alignment horizontal="center" vertical="center" wrapText="1"/>
    </xf>
    <xf numFmtId="0" fontId="10" fillId="0" borderId="6" xfId="3" applyNumberFormat="1" applyFont="1" applyBorder="1" applyAlignment="1">
      <alignment horizontal="center" vertical="center" wrapText="1"/>
    </xf>
    <xf numFmtId="0" fontId="10" fillId="0" borderId="6" xfId="3" applyNumberFormat="1" applyFont="1" applyBorder="1" applyAlignment="1">
      <alignment vertical="center" wrapText="1"/>
    </xf>
    <xf numFmtId="164" fontId="10" fillId="0" borderId="6" xfId="1" applyFont="1" applyBorder="1" applyAlignment="1">
      <alignment horizontal="center" vertical="center" wrapText="1"/>
    </xf>
    <xf numFmtId="0" fontId="10" fillId="0" borderId="15" xfId="8" applyFont="1" applyBorder="1" applyAlignment="1">
      <alignment vertical="center" wrapText="1"/>
    </xf>
    <xf numFmtId="0" fontId="10" fillId="0" borderId="4" xfId="8" applyFont="1" applyBorder="1" applyAlignment="1">
      <alignment vertical="center" wrapText="1"/>
    </xf>
    <xf numFmtId="0" fontId="10" fillId="0" borderId="4" xfId="0" applyFont="1" applyBorder="1" applyAlignment="1" applyProtection="1">
      <alignment horizontal="center" vertical="center" wrapText="1"/>
      <protection locked="0" hidden="1"/>
    </xf>
    <xf numFmtId="15" fontId="10" fillId="0" borderId="4" xfId="0" applyNumberFormat="1" applyFont="1" applyBorder="1" applyAlignment="1" applyProtection="1">
      <alignment horizontal="center" vertical="center" wrapText="1"/>
      <protection locked="0" hidden="1"/>
    </xf>
    <xf numFmtId="0" fontId="10" fillId="0" borderId="6" xfId="8" applyFont="1" applyBorder="1" applyAlignment="1">
      <alignment vertical="center" wrapText="1"/>
    </xf>
    <xf numFmtId="164" fontId="6" fillId="0" borderId="0" xfId="1" applyFont="1" applyAlignment="1">
      <alignment horizontal="center" vertical="center" wrapText="1"/>
    </xf>
    <xf numFmtId="164" fontId="6" fillId="0" borderId="0" xfId="1" applyFont="1" applyAlignment="1">
      <alignment horizontal="center" vertical="center"/>
    </xf>
    <xf numFmtId="0" fontId="33" fillId="0" borderId="15" xfId="8" applyFont="1" applyBorder="1" applyAlignment="1">
      <alignment horizontal="center" vertical="center" wrapText="1"/>
    </xf>
    <xf numFmtId="0" fontId="33" fillId="0" borderId="4" xfId="8" applyFont="1" applyBorder="1" applyAlignment="1">
      <alignment horizontal="center" vertical="center" wrapText="1"/>
    </xf>
    <xf numFmtId="0" fontId="33" fillId="0" borderId="6" xfId="8" applyFont="1" applyBorder="1" applyAlignment="1">
      <alignment horizontal="center" vertical="center" wrapText="1"/>
    </xf>
    <xf numFmtId="0" fontId="8" fillId="0" borderId="0" xfId="1" applyNumberFormat="1" applyFont="1" applyAlignment="1">
      <alignment horizontal="center" vertical="center" wrapText="1"/>
    </xf>
    <xf numFmtId="0" fontId="8" fillId="0" borderId="0" xfId="1" applyNumberFormat="1" applyFont="1" applyAlignment="1">
      <alignment horizontal="center" wrapText="1"/>
    </xf>
    <xf numFmtId="0" fontId="1" fillId="0" borderId="5" xfId="1" applyNumberFormat="1" applyFont="1" applyBorder="1" applyAlignment="1">
      <alignment horizontal="center" vertical="center"/>
    </xf>
    <xf numFmtId="0" fontId="1" fillId="0" borderId="5" xfId="1" applyNumberFormat="1" applyFont="1" applyBorder="1" applyAlignment="1">
      <alignment horizontal="left" vertical="center"/>
    </xf>
    <xf numFmtId="0" fontId="10" fillId="0" borderId="5" xfId="1" applyNumberFormat="1" applyFont="1" applyBorder="1" applyAlignment="1">
      <alignment horizontal="center" vertical="center"/>
    </xf>
    <xf numFmtId="164" fontId="24" fillId="0" borderId="5" xfId="1" applyFont="1" applyBorder="1" applyAlignment="1">
      <alignment vertical="center"/>
    </xf>
    <xf numFmtId="0" fontId="8" fillId="0" borderId="5" xfId="1" applyNumberFormat="1" applyFont="1" applyBorder="1" applyAlignment="1">
      <alignment horizontal="center" vertical="center" wrapText="1"/>
    </xf>
    <xf numFmtId="0" fontId="6" fillId="0" borderId="5" xfId="1" applyNumberFormat="1" applyFont="1" applyBorder="1" applyAlignment="1">
      <alignment vertical="center"/>
    </xf>
    <xf numFmtId="0" fontId="9" fillId="0" borderId="5" xfId="1" applyNumberFormat="1" applyFont="1" applyBorder="1" applyAlignment="1">
      <alignment vertical="center"/>
    </xf>
    <xf numFmtId="0" fontId="6" fillId="0" borderId="5" xfId="1" applyNumberFormat="1" applyFont="1" applyBorder="1" applyAlignment="1">
      <alignment horizontal="left" vertical="center"/>
    </xf>
    <xf numFmtId="0" fontId="10" fillId="0" borderId="5" xfId="1" applyNumberFormat="1" applyFont="1" applyBorder="1" applyAlignment="1">
      <alignment horizontal="left" wrapText="1"/>
    </xf>
    <xf numFmtId="164" fontId="5" fillId="0" borderId="5" xfId="1" applyFont="1" applyBorder="1" applyAlignment="1">
      <alignment horizontal="center" vertical="center"/>
    </xf>
    <xf numFmtId="0" fontId="10" fillId="2" borderId="14" xfId="1" applyNumberFormat="1" applyFont="1" applyFill="1" applyBorder="1" applyAlignment="1">
      <alignment horizontal="center" vertical="center" wrapText="1"/>
    </xf>
    <xf numFmtId="0" fontId="22" fillId="2" borderId="4" xfId="8" applyFont="1" applyFill="1" applyBorder="1" applyAlignment="1">
      <alignment horizontal="center" vertical="center" wrapText="1"/>
    </xf>
    <xf numFmtId="49" fontId="22" fillId="2" borderId="4" xfId="8" applyNumberFormat="1" applyFont="1" applyFill="1" applyBorder="1" applyAlignment="1">
      <alignment horizontal="center" vertical="center" wrapText="1"/>
    </xf>
    <xf numFmtId="0" fontId="33" fillId="2" borderId="4" xfId="8" applyFont="1" applyFill="1" applyBorder="1" applyAlignment="1">
      <alignment horizontal="center" vertical="center" wrapText="1"/>
    </xf>
    <xf numFmtId="0" fontId="10" fillId="2" borderId="4" xfId="3" applyNumberFormat="1" applyFont="1" applyFill="1" applyBorder="1" applyAlignment="1">
      <alignment horizontal="center" vertical="center" wrapText="1"/>
    </xf>
    <xf numFmtId="0" fontId="10" fillId="2" borderId="4" xfId="3" applyNumberFormat="1" applyFont="1" applyFill="1" applyBorder="1" applyAlignment="1">
      <alignment vertical="center" wrapText="1"/>
    </xf>
    <xf numFmtId="0" fontId="10" fillId="2" borderId="4" xfId="8" applyFont="1" applyFill="1" applyBorder="1" applyAlignment="1">
      <alignment vertical="center" wrapText="1"/>
    </xf>
    <xf numFmtId="164" fontId="10" fillId="2" borderId="4" xfId="1" applyFont="1" applyFill="1" applyBorder="1" applyAlignment="1">
      <alignment horizontal="center" vertical="center" wrapText="1"/>
    </xf>
    <xf numFmtId="49" fontId="22" fillId="2" borderId="4" xfId="8" quotePrefix="1" applyNumberFormat="1" applyFont="1" applyFill="1" applyBorder="1" applyAlignment="1">
      <alignment horizontal="center" vertical="center" wrapText="1"/>
    </xf>
    <xf numFmtId="0" fontId="21" fillId="0" borderId="17" xfId="2" applyFont="1" applyBorder="1" applyAlignment="1">
      <alignment horizontal="left" vertical="center"/>
    </xf>
    <xf numFmtId="0" fontId="21" fillId="0" borderId="17" xfId="8" applyFont="1" applyBorder="1" applyAlignment="1">
      <alignment vertical="center" wrapText="1"/>
    </xf>
    <xf numFmtId="0" fontId="21" fillId="0" borderId="17" xfId="8" applyFont="1" applyBorder="1" applyAlignment="1">
      <alignment horizontal="left" vertical="center" wrapText="1"/>
    </xf>
    <xf numFmtId="0" fontId="21" fillId="0" borderId="17" xfId="3" applyNumberFormat="1" applyFont="1" applyBorder="1" applyAlignment="1">
      <alignment vertical="center" wrapText="1"/>
    </xf>
    <xf numFmtId="0" fontId="21" fillId="2" borderId="17" xfId="8" applyFont="1" applyFill="1" applyBorder="1" applyAlignment="1">
      <alignment horizontal="left" vertical="center" wrapText="1"/>
    </xf>
    <xf numFmtId="0" fontId="21" fillId="2" borderId="17" xfId="8" applyFont="1" applyFill="1" applyBorder="1" applyAlignment="1">
      <alignment vertical="center" wrapText="1"/>
    </xf>
    <xf numFmtId="0" fontId="21" fillId="0" borderId="17" xfId="2" applyFont="1" applyBorder="1" applyAlignment="1">
      <alignment horizontal="left" vertical="center" wrapText="1"/>
    </xf>
    <xf numFmtId="0" fontId="21" fillId="0" borderId="18" xfId="2" applyFont="1" applyBorder="1" applyAlignment="1">
      <alignment horizontal="left" vertical="center"/>
    </xf>
    <xf numFmtId="0" fontId="21" fillId="0" borderId="9" xfId="1" applyNumberFormat="1" applyFont="1" applyBorder="1" applyAlignment="1">
      <alignment vertical="center" wrapText="1"/>
    </xf>
    <xf numFmtId="49" fontId="7" fillId="0" borderId="0" xfId="8" applyNumberFormat="1" applyFont="1" applyAlignment="1">
      <alignment horizontal="center" vertical="center" wrapText="1"/>
    </xf>
    <xf numFmtId="1" fontId="5" fillId="0" borderId="0" xfId="1" applyNumberFormat="1" applyFont="1" applyAlignment="1">
      <alignment horizontal="center" vertical="center"/>
    </xf>
    <xf numFmtId="0" fontId="21" fillId="0" borderId="19" xfId="8" applyFont="1" applyBorder="1" applyAlignment="1">
      <alignment vertical="center" wrapText="1"/>
    </xf>
    <xf numFmtId="0" fontId="22" fillId="0" borderId="20" xfId="1" applyNumberFormat="1" applyFont="1" applyBorder="1" applyAlignment="1">
      <alignment horizontal="center" vertical="center" wrapText="1"/>
    </xf>
    <xf numFmtId="164" fontId="22" fillId="0" borderId="20" xfId="1" applyFont="1" applyBorder="1" applyAlignment="1">
      <alignment horizontal="center" vertical="center" wrapText="1"/>
    </xf>
    <xf numFmtId="0" fontId="22" fillId="0" borderId="15" xfId="8" applyFont="1" applyBorder="1" applyAlignment="1">
      <alignment horizontal="center" vertical="center" wrapText="1"/>
    </xf>
    <xf numFmtId="49" fontId="33" fillId="0" borderId="6" xfId="8" quotePrefix="1" applyNumberFormat="1" applyFont="1" applyBorder="1" applyAlignment="1">
      <alignment horizontal="center" vertical="center" wrapText="1"/>
    </xf>
    <xf numFmtId="0" fontId="22" fillId="0" borderId="21" xfId="1" applyNumberFormat="1" applyFont="1" applyBorder="1" applyAlignment="1">
      <alignment vertical="center" wrapText="1"/>
    </xf>
    <xf numFmtId="0" fontId="22" fillId="0" borderId="11" xfId="12" applyFont="1" applyBorder="1" applyAlignment="1">
      <alignment vertical="center" wrapText="1"/>
    </xf>
    <xf numFmtId="164" fontId="22" fillId="0" borderId="21" xfId="1" applyFont="1" applyBorder="1" applyAlignment="1">
      <alignment vertical="center" wrapText="1"/>
    </xf>
    <xf numFmtId="164" fontId="22" fillId="0" borderId="11" xfId="1" applyFont="1" applyBorder="1" applyAlignment="1">
      <alignment vertical="center" wrapText="1"/>
    </xf>
    <xf numFmtId="0" fontId="22" fillId="0" borderId="22" xfId="1" applyNumberFormat="1" applyFont="1" applyBorder="1" applyAlignment="1">
      <alignment vertical="center" wrapText="1"/>
    </xf>
    <xf numFmtId="164" fontId="22" fillId="0" borderId="23" xfId="1" applyFont="1" applyBorder="1" applyAlignment="1">
      <alignment horizontal="center" vertical="center" wrapText="1"/>
    </xf>
    <xf numFmtId="1" fontId="22" fillId="0" borderId="0" xfId="1" applyNumberFormat="1" applyFont="1" applyAlignment="1">
      <alignment vertical="center" wrapText="1"/>
    </xf>
    <xf numFmtId="0" fontId="22" fillId="0" borderId="24" xfId="1" applyNumberFormat="1" applyFont="1" applyBorder="1" applyAlignment="1">
      <alignment vertical="center" wrapText="1"/>
    </xf>
    <xf numFmtId="1" fontId="35" fillId="0" borderId="25" xfId="1" applyNumberFormat="1" applyFont="1" applyBorder="1" applyAlignment="1">
      <alignment vertical="center"/>
    </xf>
    <xf numFmtId="164" fontId="6" fillId="0" borderId="5" xfId="1" applyFont="1" applyBorder="1" applyAlignment="1">
      <alignment vertical="center" wrapText="1"/>
    </xf>
    <xf numFmtId="49" fontId="7" fillId="0" borderId="26" xfId="8" applyNumberFormat="1" applyFont="1" applyBorder="1" applyAlignment="1">
      <alignment horizontal="center" vertical="center" wrapText="1"/>
    </xf>
    <xf numFmtId="164" fontId="1" fillId="0" borderId="26" xfId="1" applyFont="1" applyBorder="1"/>
    <xf numFmtId="0" fontId="10" fillId="0" borderId="0" xfId="12" applyFont="1" applyAlignment="1">
      <alignment horizontal="left" vertical="center" wrapText="1"/>
    </xf>
    <xf numFmtId="0" fontId="21" fillId="0" borderId="0" xfId="1" applyNumberFormat="1" applyFont="1" applyAlignment="1">
      <alignment horizontal="center" vertical="center" wrapText="1"/>
    </xf>
    <xf numFmtId="49" fontId="21" fillId="0" borderId="20" xfId="1" applyNumberFormat="1" applyFont="1" applyBorder="1" applyAlignment="1">
      <alignment horizontal="center" vertical="center" wrapText="1"/>
    </xf>
    <xf numFmtId="49" fontId="21" fillId="0" borderId="23" xfId="1" applyNumberFormat="1" applyFont="1" applyBorder="1" applyAlignment="1">
      <alignment horizontal="center" vertical="center" wrapText="1"/>
    </xf>
    <xf numFmtId="49" fontId="21" fillId="0" borderId="20" xfId="1" applyNumberFormat="1" applyFont="1" applyBorder="1" applyAlignment="1">
      <alignment horizontal="center" vertical="center"/>
    </xf>
    <xf numFmtId="49" fontId="21" fillId="0" borderId="27" xfId="1" applyNumberFormat="1" applyFont="1" applyBorder="1" applyAlignment="1">
      <alignment horizontal="center" vertical="center"/>
    </xf>
    <xf numFmtId="49" fontId="21" fillId="0" borderId="21" xfId="1" applyNumberFormat="1" applyFont="1" applyBorder="1" applyAlignment="1">
      <alignment vertical="center" wrapText="1"/>
    </xf>
    <xf numFmtId="49" fontId="21" fillId="0" borderId="11" xfId="1" applyNumberFormat="1" applyFont="1" applyBorder="1" applyAlignment="1">
      <alignment vertical="center" wrapText="1"/>
    </xf>
    <xf numFmtId="49" fontId="21" fillId="0" borderId="21" xfId="1" applyNumberFormat="1" applyFont="1" applyBorder="1" applyAlignment="1">
      <alignment vertical="center"/>
    </xf>
    <xf numFmtId="49" fontId="21" fillId="0" borderId="24" xfId="1" applyNumberFormat="1" applyFont="1" applyBorder="1" applyAlignment="1">
      <alignment vertical="center"/>
    </xf>
    <xf numFmtId="0" fontId="10" fillId="0" borderId="7" xfId="12" applyFont="1" applyBorder="1" applyAlignment="1">
      <alignment horizontal="left" vertical="center" wrapText="1"/>
    </xf>
    <xf numFmtId="0" fontId="22" fillId="0" borderId="26" xfId="12" applyFont="1" applyBorder="1" applyAlignment="1">
      <alignment horizontal="center" vertical="center"/>
    </xf>
    <xf numFmtId="0" fontId="22" fillId="0" borderId="12" xfId="12" applyFont="1" applyBorder="1" applyAlignment="1">
      <alignment horizontal="center" vertical="center"/>
    </xf>
    <xf numFmtId="0" fontId="10" fillId="0" borderId="14" xfId="12" applyFont="1" applyBorder="1" applyAlignment="1">
      <alignment horizontal="left" vertical="center" wrapText="1"/>
    </xf>
    <xf numFmtId="0" fontId="4" fillId="0" borderId="4" xfId="0" applyFont="1" applyBorder="1"/>
    <xf numFmtId="0" fontId="10" fillId="0" borderId="4" xfId="12" applyFont="1" applyBorder="1" applyAlignment="1">
      <alignment horizontal="center" vertical="center" wrapText="1"/>
    </xf>
    <xf numFmtId="0" fontId="10" fillId="0" borderId="4" xfId="12" applyFont="1" applyBorder="1" applyAlignment="1">
      <alignment horizontal="left" vertical="center" wrapText="1"/>
    </xf>
    <xf numFmtId="0" fontId="10" fillId="0" borderId="16" xfId="12" applyFont="1" applyBorder="1" applyAlignment="1">
      <alignment horizontal="left" vertical="center" wrapText="1"/>
    </xf>
    <xf numFmtId="0" fontId="10" fillId="0" borderId="0" xfId="12" applyFont="1" applyAlignment="1">
      <alignment horizontal="left" wrapText="1"/>
    </xf>
    <xf numFmtId="0" fontId="21" fillId="0" borderId="0" xfId="0" applyFont="1" applyAlignment="1" applyProtection="1">
      <alignment horizontal="center" vertical="center"/>
      <protection locked="0" hidden="1"/>
    </xf>
    <xf numFmtId="0" fontId="37" fillId="0" borderId="0" xfId="0" applyFont="1" applyAlignment="1" applyProtection="1">
      <alignment horizontal="center" vertical="center"/>
      <protection locked="0" hidden="1"/>
    </xf>
    <xf numFmtId="164" fontId="8" fillId="0" borderId="0" xfId="1" applyFont="1" applyAlignment="1">
      <alignment vertical="center"/>
    </xf>
    <xf numFmtId="1" fontId="22" fillId="0" borderId="0" xfId="1" applyNumberFormat="1" applyFont="1" applyAlignment="1">
      <alignment horizontal="center" vertical="center" wrapText="1"/>
    </xf>
    <xf numFmtId="0" fontId="21" fillId="2" borderId="17" xfId="2" applyFont="1" applyFill="1" applyBorder="1" applyAlignment="1">
      <alignment horizontal="left" vertical="center"/>
    </xf>
    <xf numFmtId="49" fontId="33" fillId="2" borderId="4" xfId="8" quotePrefix="1" applyNumberFormat="1" applyFont="1" applyFill="1" applyBorder="1" applyAlignment="1">
      <alignment horizontal="center" vertical="center" wrapText="1"/>
    </xf>
    <xf numFmtId="0" fontId="10" fillId="0" borderId="0" xfId="12" applyFont="1" applyAlignment="1">
      <alignment horizontal="center" vertical="center" wrapText="1"/>
    </xf>
    <xf numFmtId="1" fontId="8" fillId="0" borderId="0" xfId="1" applyNumberFormat="1" applyFont="1" applyAlignment="1">
      <alignment horizontal="center" vertical="center"/>
    </xf>
    <xf numFmtId="0" fontId="34" fillId="0" borderId="0" xfId="12" applyFont="1" applyAlignment="1">
      <alignment horizontal="center" vertical="center" wrapText="1"/>
    </xf>
    <xf numFmtId="49" fontId="38" fillId="0" borderId="0" xfId="1" applyNumberFormat="1" applyFont="1" applyAlignment="1">
      <alignment horizontal="center" vertical="center"/>
    </xf>
    <xf numFmtId="0" fontId="36" fillId="0" borderId="0" xfId="0" applyFont="1" applyAlignment="1">
      <alignment horizontal="center" vertical="center"/>
    </xf>
    <xf numFmtId="0" fontId="10" fillId="0" borderId="12" xfId="3" applyNumberFormat="1" applyFont="1" applyBorder="1" applyAlignment="1">
      <alignment horizontal="center" vertical="center" wrapText="1"/>
    </xf>
    <xf numFmtId="0" fontId="10" fillId="2" borderId="12" xfId="3" applyNumberFormat="1" applyFont="1" applyFill="1" applyBorder="1" applyAlignment="1">
      <alignment horizontal="center" vertical="center" wrapText="1"/>
    </xf>
    <xf numFmtId="0" fontId="10" fillId="0" borderId="13" xfId="3" applyNumberFormat="1" applyFont="1" applyBorder="1" applyAlignment="1">
      <alignment horizontal="center" vertical="center" wrapText="1"/>
    </xf>
    <xf numFmtId="0" fontId="11" fillId="0" borderId="4" xfId="13" applyFont="1" applyFill="1" applyBorder="1" applyAlignment="1">
      <alignment horizontal="center" vertical="center" wrapText="1"/>
    </xf>
    <xf numFmtId="0" fontId="4" fillId="0" borderId="4" xfId="13" applyFont="1" applyFill="1" applyBorder="1" applyAlignment="1">
      <alignment horizontal="center" vertical="center" wrapText="1"/>
    </xf>
    <xf numFmtId="0" fontId="16" fillId="0" borderId="0" xfId="13" applyFont="1" applyFill="1"/>
    <xf numFmtId="0" fontId="4" fillId="0" borderId="14" xfId="13" applyFont="1" applyFill="1" applyBorder="1" applyAlignment="1">
      <alignment horizontal="center" vertical="center" wrapText="1"/>
    </xf>
    <xf numFmtId="0" fontId="11" fillId="0" borderId="4" xfId="13" applyFont="1" applyFill="1" applyBorder="1" applyAlignment="1">
      <alignment horizontal="center" vertical="center"/>
    </xf>
    <xf numFmtId="0" fontId="4" fillId="0" borderId="12" xfId="13" applyFont="1" applyFill="1" applyBorder="1" applyAlignment="1">
      <alignment horizontal="center" vertical="center" wrapText="1"/>
    </xf>
    <xf numFmtId="0" fontId="4" fillId="0" borderId="28" xfId="13" applyFont="1" applyFill="1" applyBorder="1" applyAlignment="1">
      <alignment horizontal="center" vertical="center" wrapText="1"/>
    </xf>
    <xf numFmtId="0" fontId="11" fillId="0" borderId="29" xfId="13" applyFont="1" applyFill="1" applyBorder="1" applyAlignment="1">
      <alignment horizontal="center" vertical="center"/>
    </xf>
    <xf numFmtId="0" fontId="11" fillId="0" borderId="29" xfId="13" applyFont="1" applyFill="1" applyBorder="1" applyAlignment="1">
      <alignment horizontal="center" vertical="center" wrapText="1"/>
    </xf>
    <xf numFmtId="0" fontId="4" fillId="0" borderId="29" xfId="13" applyFont="1" applyFill="1" applyBorder="1" applyAlignment="1">
      <alignment horizontal="center" vertical="center" wrapText="1"/>
    </xf>
    <xf numFmtId="0" fontId="4" fillId="0" borderId="30" xfId="13" applyFont="1" applyFill="1" applyBorder="1" applyAlignment="1">
      <alignment horizontal="center" vertical="center" wrapText="1"/>
    </xf>
    <xf numFmtId="0" fontId="4" fillId="0" borderId="16" xfId="13" applyFont="1" applyFill="1" applyBorder="1" applyAlignment="1">
      <alignment horizontal="center" vertical="center" wrapText="1"/>
    </xf>
    <xf numFmtId="0" fontId="21" fillId="0" borderId="17" xfId="8" applyFont="1" applyFill="1" applyBorder="1" applyAlignment="1">
      <alignment horizontal="left" vertical="center" wrapText="1"/>
    </xf>
    <xf numFmtId="0" fontId="22" fillId="0" borderId="4" xfId="8" applyFont="1" applyFill="1" applyBorder="1" applyAlignment="1">
      <alignment horizontal="center" vertical="center" wrapText="1"/>
    </xf>
    <xf numFmtId="49" fontId="22" fillId="0" borderId="4" xfId="8" applyNumberFormat="1" applyFont="1" applyFill="1" applyBorder="1" applyAlignment="1">
      <alignment horizontal="center" vertical="center" wrapText="1"/>
    </xf>
    <xf numFmtId="0" fontId="33" fillId="0" borderId="4" xfId="8" applyFont="1" applyFill="1" applyBorder="1" applyAlignment="1">
      <alignment horizontal="center" vertical="center" wrapText="1"/>
    </xf>
    <xf numFmtId="0" fontId="10" fillId="0" borderId="4" xfId="3" applyNumberFormat="1" applyFont="1" applyFill="1" applyBorder="1" applyAlignment="1">
      <alignment horizontal="center" vertical="center" wrapText="1"/>
    </xf>
    <xf numFmtId="0" fontId="10" fillId="0" borderId="4" xfId="3" applyNumberFormat="1" applyFont="1" applyFill="1" applyBorder="1" applyAlignment="1">
      <alignment vertical="center" wrapText="1"/>
    </xf>
    <xf numFmtId="0" fontId="10" fillId="0" borderId="4" xfId="8" applyFont="1" applyFill="1" applyBorder="1" applyAlignment="1">
      <alignment vertical="center" wrapText="1"/>
    </xf>
    <xf numFmtId="164" fontId="10" fillId="0" borderId="4" xfId="1" applyFont="1" applyFill="1" applyBorder="1" applyAlignment="1">
      <alignment horizontal="center" vertical="center" wrapText="1"/>
    </xf>
    <xf numFmtId="0" fontId="10" fillId="0" borderId="12" xfId="3" applyNumberFormat="1" applyFont="1" applyFill="1" applyBorder="1" applyAlignment="1">
      <alignment horizontal="center" vertical="center" wrapText="1"/>
    </xf>
    <xf numFmtId="0" fontId="21" fillId="0" borderId="17" xfId="8" applyFont="1" applyFill="1" applyBorder="1" applyAlignment="1">
      <alignment vertical="center" wrapText="1"/>
    </xf>
    <xf numFmtId="49" fontId="22" fillId="0" borderId="4" xfId="8" quotePrefix="1" applyNumberFormat="1" applyFont="1" applyFill="1" applyBorder="1" applyAlignment="1">
      <alignment horizontal="center" vertical="center" wrapText="1"/>
    </xf>
    <xf numFmtId="1" fontId="35" fillId="0" borderId="0" xfId="1" applyNumberFormat="1" applyFont="1" applyAlignment="1">
      <alignment horizontal="center" vertical="center"/>
    </xf>
    <xf numFmtId="49" fontId="7" fillId="0" borderId="0" xfId="8" applyNumberFormat="1" applyFont="1" applyBorder="1" applyAlignment="1">
      <alignment horizontal="center" vertical="center" wrapText="1"/>
    </xf>
    <xf numFmtId="1" fontId="35" fillId="0" borderId="0" xfId="1" applyNumberFormat="1" applyFont="1" applyAlignment="1">
      <alignment horizontal="center" vertical="center"/>
    </xf>
    <xf numFmtId="0" fontId="11" fillId="0" borderId="6" xfId="13" applyFont="1" applyFill="1" applyBorder="1" applyAlignment="1">
      <alignment horizontal="center" vertical="center"/>
    </xf>
    <xf numFmtId="0" fontId="11" fillId="0" borderId="6" xfId="13" applyFont="1" applyFill="1" applyBorder="1" applyAlignment="1">
      <alignment horizontal="center" vertical="center" wrapText="1"/>
    </xf>
    <xf numFmtId="0" fontId="4" fillId="0" borderId="6" xfId="13" applyFont="1" applyFill="1" applyBorder="1" applyAlignment="1">
      <alignment horizontal="center" vertical="center" wrapText="1"/>
    </xf>
    <xf numFmtId="0" fontId="4" fillId="0" borderId="13" xfId="13" applyFont="1" applyFill="1" applyBorder="1" applyAlignment="1">
      <alignment horizontal="center" vertical="center" wrapText="1"/>
    </xf>
    <xf numFmtId="164" fontId="10" fillId="0" borderId="0" xfId="1" applyFont="1" applyFill="1" applyAlignment="1">
      <alignment horizontal="center" vertical="center"/>
    </xf>
    <xf numFmtId="0" fontId="10" fillId="0" borderId="14" xfId="1" applyNumberFormat="1" applyFont="1" applyFill="1" applyBorder="1" applyAlignment="1">
      <alignment horizontal="center" vertical="center" wrapText="1"/>
    </xf>
    <xf numFmtId="0" fontId="21" fillId="0" borderId="17" xfId="3" applyNumberFormat="1" applyFont="1" applyFill="1" applyBorder="1" applyAlignment="1">
      <alignment vertical="center" wrapText="1"/>
    </xf>
    <xf numFmtId="0" fontId="22" fillId="0" borderId="4" xfId="3" applyNumberFormat="1" applyFont="1" applyFill="1" applyBorder="1" applyAlignment="1">
      <alignment horizontal="center" vertical="center" wrapText="1"/>
    </xf>
    <xf numFmtId="0" fontId="10" fillId="0" borderId="4" xfId="0" applyFont="1" applyFill="1" applyBorder="1" applyAlignment="1" applyProtection="1">
      <alignment horizontal="center" vertical="center" wrapText="1"/>
      <protection locked="0" hidden="1"/>
    </xf>
    <xf numFmtId="0" fontId="10" fillId="0" borderId="14" xfId="12" applyFont="1" applyFill="1" applyBorder="1" applyAlignment="1">
      <alignment horizontal="left" vertical="center" wrapText="1"/>
    </xf>
    <xf numFmtId="49" fontId="7" fillId="0" borderId="12" xfId="8" applyNumberFormat="1" applyFont="1" applyFill="1" applyBorder="1" applyAlignment="1">
      <alignment horizontal="center" vertical="center" wrapText="1"/>
    </xf>
    <xf numFmtId="0" fontId="21" fillId="0" borderId="0" xfId="0" applyFont="1" applyFill="1" applyAlignment="1" applyProtection="1">
      <alignment horizontal="center" vertical="center"/>
      <protection locked="0" hidden="1"/>
    </xf>
    <xf numFmtId="164" fontId="1" fillId="0" borderId="0" xfId="1" applyFont="1" applyFill="1" applyAlignment="1">
      <alignment horizontal="center" vertical="center"/>
    </xf>
    <xf numFmtId="164" fontId="1" fillId="0" borderId="0" xfId="1" applyFont="1" applyFill="1"/>
    <xf numFmtId="0" fontId="21" fillId="0" borderId="0" xfId="13" applyFont="1" applyFill="1" applyAlignment="1">
      <alignment horizontal="center"/>
    </xf>
    <xf numFmtId="0" fontId="21" fillId="0" borderId="0" xfId="13" applyFont="1" applyFill="1"/>
    <xf numFmtId="0" fontId="16" fillId="0" borderId="0" xfId="13" applyFont="1" applyFill="1" applyAlignment="1">
      <alignment vertical="center"/>
    </xf>
    <xf numFmtId="0" fontId="16" fillId="0" borderId="0" xfId="13" applyFont="1" applyFill="1" applyAlignment="1">
      <alignment horizontal="center" vertical="center"/>
    </xf>
    <xf numFmtId="0" fontId="16" fillId="0" borderId="0" xfId="13" applyFont="1" applyFill="1" applyAlignment="1">
      <alignment horizontal="center"/>
    </xf>
    <xf numFmtId="0" fontId="17" fillId="0" borderId="0" xfId="13" applyFont="1" applyFill="1" applyAlignment="1">
      <alignment vertical="center"/>
    </xf>
    <xf numFmtId="165" fontId="39" fillId="0" borderId="0" xfId="13" applyNumberFormat="1" applyFont="1" applyFill="1" applyAlignment="1">
      <alignment horizontal="center" vertical="top"/>
    </xf>
    <xf numFmtId="165" fontId="16" fillId="0" borderId="0" xfId="13" applyNumberFormat="1" applyFont="1" applyFill="1" applyAlignment="1">
      <alignment horizontal="center" vertical="top"/>
    </xf>
    <xf numFmtId="0" fontId="20" fillId="0" borderId="0" xfId="13" applyFont="1" applyFill="1" applyAlignment="1">
      <alignment horizontal="center"/>
    </xf>
    <xf numFmtId="165" fontId="21" fillId="0" borderId="0" xfId="13" applyNumberFormat="1" applyFont="1" applyFill="1" applyAlignment="1">
      <alignment horizontal="center"/>
    </xf>
    <xf numFmtId="0" fontId="25" fillId="0" borderId="0" xfId="13" applyFont="1" applyFill="1" applyAlignment="1">
      <alignment horizontal="center"/>
    </xf>
    <xf numFmtId="0" fontId="20" fillId="0" borderId="0" xfId="13" applyFont="1" applyFill="1" applyAlignment="1">
      <alignment vertical="center"/>
    </xf>
    <xf numFmtId="0" fontId="20" fillId="0" borderId="0" xfId="13" applyFont="1" applyFill="1" applyAlignment="1">
      <alignment horizontal="center" vertical="center"/>
    </xf>
    <xf numFmtId="0" fontId="16" fillId="0" borderId="0" xfId="13" applyFont="1" applyFill="1" applyAlignment="1">
      <alignment horizontal="right"/>
    </xf>
    <xf numFmtId="165" fontId="16" fillId="0" borderId="31" xfId="13" applyNumberFormat="1" applyFont="1" applyFill="1" applyBorder="1" applyAlignment="1">
      <alignment horizontal="center"/>
    </xf>
    <xf numFmtId="0" fontId="4" fillId="0" borderId="32" xfId="13" applyFont="1" applyFill="1" applyBorder="1" applyAlignment="1">
      <alignment horizontal="centerContinuous" vertical="center" wrapText="1"/>
    </xf>
    <xf numFmtId="0" fontId="11" fillId="0" borderId="33" xfId="13" applyFont="1" applyFill="1" applyBorder="1" applyAlignment="1">
      <alignment horizontal="center" vertical="center" wrapText="1"/>
    </xf>
    <xf numFmtId="0" fontId="11" fillId="0" borderId="33" xfId="13" applyFont="1" applyFill="1" applyBorder="1" applyAlignment="1">
      <alignment horizontal="centerContinuous" vertical="center" wrapText="1"/>
    </xf>
    <xf numFmtId="0" fontId="11" fillId="0" borderId="34" xfId="13" applyFont="1" applyFill="1" applyBorder="1" applyAlignment="1">
      <alignment horizontal="centerContinuous" vertical="center" wrapText="1"/>
    </xf>
    <xf numFmtId="0" fontId="4" fillId="0" borderId="33" xfId="13" applyFont="1" applyFill="1" applyBorder="1" applyAlignment="1">
      <alignment horizontal="center" vertical="center" wrapText="1"/>
    </xf>
    <xf numFmtId="0" fontId="4" fillId="0" borderId="33" xfId="13" applyFont="1" applyFill="1" applyBorder="1" applyAlignment="1">
      <alignment horizontal="centerContinuous" vertical="center" wrapText="1"/>
    </xf>
    <xf numFmtId="0" fontId="4" fillId="0" borderId="35" xfId="13" applyFont="1" applyFill="1" applyBorder="1" applyAlignment="1">
      <alignment horizontal="center" vertical="center" wrapText="1"/>
    </xf>
    <xf numFmtId="0" fontId="40" fillId="0" borderId="32" xfId="13" applyFont="1" applyFill="1" applyBorder="1" applyAlignment="1">
      <alignment horizontal="center" vertical="center"/>
    </xf>
    <xf numFmtId="0" fontId="41" fillId="0" borderId="33" xfId="13" applyFont="1" applyFill="1" applyBorder="1" applyAlignment="1">
      <alignment horizontal="center" vertical="center"/>
    </xf>
    <xf numFmtId="0" fontId="40" fillId="0" borderId="33" xfId="13" applyFont="1" applyFill="1" applyBorder="1" applyAlignment="1">
      <alignment horizontal="center" vertical="center"/>
    </xf>
    <xf numFmtId="0" fontId="41" fillId="0" borderId="33" xfId="13" applyFont="1" applyFill="1" applyBorder="1" applyAlignment="1">
      <alignment horizontal="center" vertical="center" wrapText="1"/>
    </xf>
    <xf numFmtId="0" fontId="41" fillId="0" borderId="36" xfId="13" applyFont="1" applyFill="1" applyBorder="1" applyAlignment="1">
      <alignment horizontal="center" vertical="center"/>
    </xf>
    <xf numFmtId="0" fontId="40" fillId="0" borderId="35" xfId="13" applyFont="1" applyFill="1" applyBorder="1" applyAlignment="1">
      <alignment horizontal="center" vertical="center"/>
    </xf>
    <xf numFmtId="0" fontId="42" fillId="0" borderId="35" xfId="13" applyFont="1" applyFill="1" applyBorder="1" applyAlignment="1">
      <alignment horizontal="center" vertical="center"/>
    </xf>
    <xf numFmtId="0" fontId="4" fillId="0" borderId="33" xfId="13" applyFont="1" applyFill="1" applyBorder="1" applyAlignment="1">
      <alignment horizontal="centerContinuous" vertical="center"/>
    </xf>
    <xf numFmtId="0" fontId="4" fillId="0" borderId="7" xfId="13" applyFont="1" applyFill="1" applyBorder="1" applyAlignment="1">
      <alignment horizontal="center" vertical="center" wrapText="1"/>
    </xf>
    <xf numFmtId="0" fontId="11" fillId="0" borderId="15" xfId="13" applyFont="1" applyFill="1" applyBorder="1" applyAlignment="1">
      <alignment horizontal="center" vertical="center"/>
    </xf>
    <xf numFmtId="0" fontId="11" fillId="0" borderId="15" xfId="13" applyFont="1" applyFill="1" applyBorder="1" applyAlignment="1">
      <alignment horizontal="center" vertical="center" wrapText="1"/>
    </xf>
    <xf numFmtId="0" fontId="4" fillId="0" borderId="15" xfId="13" applyFont="1" applyFill="1" applyBorder="1" applyAlignment="1">
      <alignment horizontal="center" vertical="center" wrapText="1"/>
    </xf>
    <xf numFmtId="0" fontId="4" fillId="0" borderId="15" xfId="13" applyFont="1" applyFill="1" applyBorder="1" applyAlignment="1">
      <alignment horizontal="center" vertical="center"/>
    </xf>
    <xf numFmtId="0" fontId="4" fillId="0" borderId="37" xfId="13" applyFont="1" applyFill="1" applyBorder="1" applyAlignment="1">
      <alignment horizontal="center" vertical="center"/>
    </xf>
    <xf numFmtId="0" fontId="11" fillId="0" borderId="26" xfId="13" applyFont="1" applyFill="1" applyBorder="1" applyAlignment="1">
      <alignment horizontal="center" vertical="center"/>
    </xf>
    <xf numFmtId="0" fontId="21" fillId="0" borderId="15" xfId="13" applyFont="1" applyFill="1" applyBorder="1" applyAlignment="1">
      <alignment horizontal="center" vertical="center"/>
    </xf>
    <xf numFmtId="0" fontId="21" fillId="0" borderId="19" xfId="13" applyFont="1" applyFill="1" applyBorder="1" applyAlignment="1">
      <alignment horizontal="center" vertical="center"/>
    </xf>
    <xf numFmtId="0" fontId="21" fillId="0" borderId="37" xfId="13" applyFont="1" applyFill="1" applyBorder="1" applyAlignment="1">
      <alignment horizontal="center" vertical="center"/>
    </xf>
    <xf numFmtId="0" fontId="4" fillId="0" borderId="4" xfId="13" applyFont="1" applyFill="1" applyBorder="1" applyAlignment="1">
      <alignment horizontal="center" vertical="center"/>
    </xf>
    <xf numFmtId="49" fontId="4" fillId="0" borderId="15" xfId="13" applyNumberFormat="1" applyFont="1" applyFill="1" applyBorder="1" applyAlignment="1">
      <alignment horizontal="center" vertical="center" wrapText="1"/>
    </xf>
    <xf numFmtId="0" fontId="16" fillId="0" borderId="0" xfId="13" quotePrefix="1" applyFont="1" applyFill="1" applyAlignment="1">
      <alignment horizontal="center" vertical="center"/>
    </xf>
    <xf numFmtId="0" fontId="4" fillId="0" borderId="12" xfId="13" applyFont="1" applyFill="1" applyBorder="1" applyAlignment="1">
      <alignment horizontal="center" vertical="center"/>
    </xf>
    <xf numFmtId="0" fontId="11" fillId="0" borderId="38" xfId="13" applyFont="1" applyFill="1" applyBorder="1" applyAlignment="1">
      <alignment horizontal="center" vertical="center"/>
    </xf>
    <xf numFmtId="0" fontId="11" fillId="0" borderId="17" xfId="13" applyFont="1" applyFill="1" applyBorder="1" applyAlignment="1">
      <alignment horizontal="center" vertical="center"/>
    </xf>
    <xf numFmtId="0" fontId="11" fillId="0" borderId="12" xfId="13" applyFont="1" applyFill="1" applyBorder="1" applyAlignment="1">
      <alignment horizontal="center" vertical="center"/>
    </xf>
    <xf numFmtId="49" fontId="4" fillId="0" borderId="4" xfId="13" applyNumberFormat="1" applyFont="1" applyFill="1" applyBorder="1" applyAlignment="1">
      <alignment horizontal="center" vertical="center" wrapText="1"/>
    </xf>
    <xf numFmtId="0" fontId="21" fillId="0" borderId="38" xfId="13" applyFont="1" applyFill="1" applyBorder="1" applyAlignment="1">
      <alignment horizontal="center" vertical="center"/>
    </xf>
    <xf numFmtId="0" fontId="21" fillId="0" borderId="4" xfId="13" applyFont="1" applyFill="1" applyBorder="1" applyAlignment="1">
      <alignment horizontal="center" vertical="center"/>
    </xf>
    <xf numFmtId="0" fontId="21" fillId="0" borderId="17" xfId="13" applyFont="1" applyFill="1" applyBorder="1" applyAlignment="1">
      <alignment horizontal="center" vertical="center"/>
    </xf>
    <xf numFmtId="0" fontId="21" fillId="0" borderId="12" xfId="13" applyFont="1" applyFill="1" applyBorder="1" applyAlignment="1">
      <alignment horizontal="center" vertical="center"/>
    </xf>
    <xf numFmtId="0" fontId="4" fillId="0" borderId="4" xfId="10" applyFont="1" applyFill="1" applyBorder="1" applyAlignment="1">
      <alignment horizontal="left" vertical="center" wrapText="1" indent="1"/>
    </xf>
    <xf numFmtId="0" fontId="11" fillId="0" borderId="38" xfId="13" applyFont="1" applyFill="1" applyBorder="1" applyAlignment="1">
      <alignment horizontal="center" vertical="center" wrapText="1"/>
    </xf>
    <xf numFmtId="0" fontId="11" fillId="0" borderId="17" xfId="13" applyFont="1" applyFill="1" applyBorder="1" applyAlignment="1">
      <alignment horizontal="center" vertical="center" wrapText="1"/>
    </xf>
    <xf numFmtId="0" fontId="11" fillId="0" borderId="12" xfId="13" applyFont="1" applyFill="1" applyBorder="1" applyAlignment="1">
      <alignment horizontal="center" vertical="center" wrapText="1"/>
    </xf>
    <xf numFmtId="0" fontId="21" fillId="0" borderId="39" xfId="13" applyFont="1" applyFill="1" applyBorder="1" applyAlignment="1">
      <alignment horizontal="center" vertical="center"/>
    </xf>
    <xf numFmtId="0" fontId="21" fillId="0" borderId="29" xfId="13" applyFont="1" applyFill="1" applyBorder="1" applyAlignment="1">
      <alignment horizontal="center" vertical="center"/>
    </xf>
    <xf numFmtId="0" fontId="21" fillId="0" borderId="40" xfId="13" applyFont="1" applyFill="1" applyBorder="1" applyAlignment="1">
      <alignment horizontal="center" vertical="center"/>
    </xf>
    <xf numFmtId="0" fontId="21" fillId="0" borderId="30" xfId="13" applyFont="1" applyFill="1" applyBorder="1" applyAlignment="1">
      <alignment horizontal="center" vertical="center"/>
    </xf>
    <xf numFmtId="0" fontId="4" fillId="0" borderId="29" xfId="13" applyFont="1" applyFill="1" applyBorder="1" applyAlignment="1">
      <alignment horizontal="center" vertical="center"/>
    </xf>
    <xf numFmtId="0" fontId="4" fillId="0" borderId="6" xfId="13" applyFont="1" applyFill="1" applyBorder="1" applyAlignment="1">
      <alignment horizontal="center" vertical="center"/>
    </xf>
    <xf numFmtId="0" fontId="21" fillId="0" borderId="41" xfId="13" applyFont="1" applyFill="1" applyBorder="1" applyAlignment="1">
      <alignment horizontal="center" vertical="center"/>
    </xf>
    <xf numFmtId="0" fontId="21" fillId="0" borderId="6" xfId="13" applyFont="1" applyFill="1" applyBorder="1" applyAlignment="1">
      <alignment horizontal="center" vertical="center"/>
    </xf>
    <xf numFmtId="0" fontId="21" fillId="0" borderId="18" xfId="13" applyFont="1" applyFill="1" applyBorder="1" applyAlignment="1">
      <alignment horizontal="center" vertical="center"/>
    </xf>
    <xf numFmtId="0" fontId="21" fillId="0" borderId="13" xfId="13" applyFont="1" applyFill="1" applyBorder="1" applyAlignment="1">
      <alignment horizontal="center" vertical="center"/>
    </xf>
    <xf numFmtId="0" fontId="16" fillId="0" borderId="5" xfId="13" applyFont="1" applyFill="1" applyBorder="1"/>
    <xf numFmtId="0" fontId="21" fillId="0" borderId="5" xfId="13" applyFont="1" applyFill="1" applyBorder="1" applyAlignment="1">
      <alignment horizontal="center"/>
    </xf>
    <xf numFmtId="0" fontId="21" fillId="0" borderId="5" xfId="13" applyFont="1" applyFill="1" applyBorder="1"/>
    <xf numFmtId="0" fontId="16" fillId="0" borderId="5" xfId="13" applyFont="1" applyFill="1" applyBorder="1" applyAlignment="1">
      <alignment vertical="center"/>
    </xf>
    <xf numFmtId="0" fontId="16" fillId="0" borderId="5" xfId="13" applyFont="1" applyFill="1" applyBorder="1" applyAlignment="1">
      <alignment horizontal="center" vertical="center"/>
    </xf>
    <xf numFmtId="0" fontId="16" fillId="0" borderId="5" xfId="13" applyFont="1" applyFill="1" applyBorder="1" applyAlignment="1">
      <alignment horizontal="center"/>
    </xf>
    <xf numFmtId="0" fontId="11" fillId="0" borderId="0" xfId="13" applyFont="1" applyFill="1" applyAlignment="1">
      <alignment horizontal="left" vertical="center" wrapText="1"/>
    </xf>
    <xf numFmtId="0" fontId="11" fillId="0" borderId="15" xfId="13" applyFont="1" applyFill="1" applyBorder="1" applyAlignment="1">
      <alignment horizontal="left" vertical="center" wrapText="1" indent="1"/>
    </xf>
    <xf numFmtId="0" fontId="11" fillId="0" borderId="4" xfId="13" applyFont="1" applyFill="1" applyBorder="1" applyAlignment="1">
      <alignment horizontal="left" vertical="center" wrapText="1" indent="1"/>
    </xf>
    <xf numFmtId="0" fontId="11" fillId="0" borderId="29" xfId="13" applyFont="1" applyFill="1" applyBorder="1" applyAlignment="1">
      <alignment horizontal="left" vertical="center" wrapText="1" indent="1"/>
    </xf>
    <xf numFmtId="0" fontId="11" fillId="0" borderId="6" xfId="13" applyFont="1" applyFill="1" applyBorder="1" applyAlignment="1">
      <alignment horizontal="left" vertical="center" wrapText="1" indent="1"/>
    </xf>
    <xf numFmtId="49" fontId="4" fillId="0" borderId="15" xfId="13" applyNumberFormat="1" applyFont="1" applyFill="1" applyBorder="1" applyAlignment="1">
      <alignment horizontal="left" vertical="center" wrapText="1" indent="1"/>
    </xf>
    <xf numFmtId="49" fontId="4" fillId="0" borderId="4" xfId="13" applyNumberFormat="1" applyFont="1" applyFill="1" applyBorder="1" applyAlignment="1">
      <alignment horizontal="left" vertical="center" wrapText="1" indent="1"/>
    </xf>
    <xf numFmtId="0" fontId="4" fillId="0" borderId="4" xfId="13" applyFont="1" applyFill="1" applyBorder="1" applyAlignment="1">
      <alignment horizontal="left" vertical="center" indent="1"/>
    </xf>
    <xf numFmtId="0" fontId="4" fillId="0" borderId="4" xfId="13" applyFont="1" applyFill="1" applyBorder="1" applyAlignment="1">
      <alignment horizontal="left" vertical="center" wrapText="1" indent="1"/>
    </xf>
    <xf numFmtId="0" fontId="4" fillId="0" borderId="29" xfId="13" applyFont="1" applyFill="1" applyBorder="1" applyAlignment="1">
      <alignment horizontal="left" vertical="center" wrapText="1" indent="1"/>
    </xf>
    <xf numFmtId="0" fontId="4" fillId="0" borderId="6" xfId="13" applyFont="1" applyFill="1" applyBorder="1" applyAlignment="1">
      <alignment horizontal="left" vertical="center" wrapText="1" indent="1"/>
    </xf>
    <xf numFmtId="0" fontId="4" fillId="0" borderId="15" xfId="13" applyFont="1" applyFill="1" applyBorder="1" applyAlignment="1">
      <alignment horizontal="left" vertical="center" wrapText="1" indent="1"/>
    </xf>
    <xf numFmtId="1" fontId="33" fillId="0" borderId="1" xfId="12" applyNumberFormat="1" applyFont="1" applyBorder="1" applyAlignment="1">
      <alignment horizontal="center" vertical="center" wrapText="1"/>
    </xf>
    <xf numFmtId="0" fontId="22" fillId="0" borderId="4" xfId="8" quotePrefix="1" applyFont="1" applyBorder="1" applyAlignment="1">
      <alignment horizontal="center" vertical="center" wrapText="1"/>
    </xf>
    <xf numFmtId="1" fontId="35" fillId="0" borderId="0" xfId="1" applyNumberFormat="1" applyFont="1" applyAlignment="1">
      <alignment horizontal="center" vertical="center"/>
    </xf>
    <xf numFmtId="164" fontId="10" fillId="2" borderId="0" xfId="1" applyFont="1" applyFill="1" applyAlignment="1">
      <alignment horizontal="center" vertical="center"/>
    </xf>
    <xf numFmtId="0" fontId="43" fillId="0" borderId="0" xfId="12" applyFont="1" applyAlignment="1">
      <alignment horizontal="center" vertical="center"/>
    </xf>
    <xf numFmtId="164" fontId="43" fillId="0" borderId="0" xfId="1" applyFont="1" applyAlignment="1">
      <alignment horizontal="center" vertical="center"/>
    </xf>
    <xf numFmtId="0" fontId="43" fillId="0" borderId="0" xfId="0" applyFont="1" applyAlignment="1">
      <alignment horizontal="center" vertical="center"/>
    </xf>
    <xf numFmtId="49" fontId="35" fillId="0" borderId="0" xfId="8" applyNumberFormat="1" applyFont="1" applyAlignment="1">
      <alignment horizontal="center" vertical="center" wrapText="1"/>
    </xf>
    <xf numFmtId="164" fontId="43" fillId="0" borderId="0" xfId="1" applyFont="1" applyFill="1" applyAlignment="1">
      <alignment horizontal="center" vertical="center"/>
    </xf>
    <xf numFmtId="1" fontId="35" fillId="0" borderId="0" xfId="1" applyNumberFormat="1" applyFont="1" applyFill="1"/>
    <xf numFmtId="0" fontId="32" fillId="0" borderId="0" xfId="1" applyNumberFormat="1" applyFont="1" applyFill="1" applyAlignment="1">
      <alignment horizontal="center" vertical="center"/>
    </xf>
    <xf numFmtId="0" fontId="10" fillId="0" borderId="0" xfId="12" applyFont="1" applyFill="1" applyAlignment="1">
      <alignment horizontal="left" vertical="center" wrapText="1"/>
    </xf>
    <xf numFmtId="1" fontId="22" fillId="0" borderId="0" xfId="1" applyNumberFormat="1" applyFont="1" applyFill="1" applyAlignment="1">
      <alignment horizontal="center" vertical="center" wrapText="1"/>
    </xf>
    <xf numFmtId="0" fontId="22" fillId="0" borderId="20" xfId="1" applyNumberFormat="1" applyFont="1" applyFill="1" applyBorder="1" applyAlignment="1">
      <alignment horizontal="center" vertical="center" wrapText="1"/>
    </xf>
    <xf numFmtId="164" fontId="22" fillId="0" borderId="23" xfId="1" applyFont="1" applyFill="1" applyBorder="1" applyAlignment="1">
      <alignment horizontal="center" vertical="center" wrapText="1"/>
    </xf>
    <xf numFmtId="164" fontId="22" fillId="0" borderId="20" xfId="1" applyFont="1" applyFill="1" applyBorder="1" applyAlignment="1">
      <alignment horizontal="center" vertical="center" wrapText="1"/>
    </xf>
    <xf numFmtId="1" fontId="35" fillId="0" borderId="25" xfId="1" applyNumberFormat="1" applyFont="1" applyFill="1" applyBorder="1" applyAlignment="1">
      <alignment vertical="center"/>
    </xf>
    <xf numFmtId="1" fontId="22" fillId="0" borderId="0" xfId="1" applyNumberFormat="1" applyFont="1" applyFill="1" applyAlignment="1">
      <alignment vertical="center" wrapText="1"/>
    </xf>
    <xf numFmtId="0" fontId="22" fillId="0" borderId="22" xfId="1" applyNumberFormat="1" applyFont="1" applyFill="1" applyBorder="1" applyAlignment="1">
      <alignment vertical="center" wrapText="1"/>
    </xf>
    <xf numFmtId="0" fontId="22" fillId="0" borderId="21" xfId="1" applyNumberFormat="1" applyFont="1" applyFill="1" applyBorder="1" applyAlignment="1">
      <alignment vertical="center" wrapText="1"/>
    </xf>
    <xf numFmtId="0" fontId="21" fillId="0" borderId="9" xfId="1" applyNumberFormat="1" applyFont="1" applyFill="1" applyBorder="1" applyAlignment="1">
      <alignment vertical="center" wrapText="1"/>
    </xf>
    <xf numFmtId="164" fontId="22" fillId="0" borderId="21" xfId="1" applyFont="1" applyFill="1" applyBorder="1" applyAlignment="1">
      <alignment vertical="center" wrapText="1"/>
    </xf>
    <xf numFmtId="164" fontId="22" fillId="0" borderId="11" xfId="1" applyFont="1" applyFill="1" applyBorder="1" applyAlignment="1">
      <alignment vertical="center" wrapText="1"/>
    </xf>
    <xf numFmtId="0" fontId="22" fillId="0" borderId="24" xfId="1" applyNumberFormat="1" applyFont="1" applyFill="1" applyBorder="1" applyAlignment="1">
      <alignment vertical="center" wrapText="1"/>
    </xf>
    <xf numFmtId="0" fontId="22" fillId="0" borderId="11" xfId="12" applyFont="1" applyFill="1" applyBorder="1" applyAlignment="1">
      <alignment vertical="center" wrapText="1"/>
    </xf>
    <xf numFmtId="1" fontId="35" fillId="0" borderId="0" xfId="1" applyNumberFormat="1" applyFont="1" applyFill="1" applyAlignment="1">
      <alignment horizontal="center" vertical="center"/>
    </xf>
    <xf numFmtId="0" fontId="10" fillId="0" borderId="0" xfId="12" applyFont="1" applyFill="1" applyAlignment="1">
      <alignment horizontal="center" vertical="center"/>
    </xf>
    <xf numFmtId="0" fontId="43" fillId="0" borderId="0" xfId="12" applyFont="1" applyFill="1" applyAlignment="1">
      <alignment horizontal="center" vertical="center"/>
    </xf>
    <xf numFmtId="0" fontId="10" fillId="0" borderId="7" xfId="1" applyNumberFormat="1" applyFont="1" applyFill="1" applyBorder="1" applyAlignment="1">
      <alignment horizontal="center" vertical="center" wrapText="1"/>
    </xf>
    <xf numFmtId="0" fontId="22" fillId="0" borderId="15" xfId="8" applyFont="1" applyFill="1" applyBorder="1" applyAlignment="1">
      <alignment horizontal="center" vertical="center" wrapText="1"/>
    </xf>
    <xf numFmtId="0" fontId="21" fillId="0" borderId="19" xfId="8" applyFont="1" applyFill="1" applyBorder="1" applyAlignment="1">
      <alignment vertical="center" wrapText="1"/>
    </xf>
    <xf numFmtId="0" fontId="10" fillId="0" borderId="15" xfId="3" applyNumberFormat="1" applyFont="1" applyFill="1" applyBorder="1" applyAlignment="1">
      <alignment horizontal="center" vertical="center" wrapText="1"/>
    </xf>
    <xf numFmtId="0" fontId="10" fillId="0" borderId="15" xfId="3" applyNumberFormat="1" applyFont="1" applyFill="1" applyBorder="1" applyAlignment="1">
      <alignment vertical="center" wrapText="1"/>
    </xf>
    <xf numFmtId="0" fontId="10" fillId="0" borderId="15" xfId="8" applyFont="1" applyFill="1" applyBorder="1" applyAlignment="1">
      <alignment vertical="center" wrapText="1"/>
    </xf>
    <xf numFmtId="164" fontId="10" fillId="0" borderId="15" xfId="1" applyFont="1" applyFill="1" applyBorder="1" applyAlignment="1">
      <alignment horizontal="center" vertical="center" wrapText="1"/>
    </xf>
    <xf numFmtId="0" fontId="10" fillId="0" borderId="7" xfId="12" applyFont="1" applyFill="1" applyBorder="1" applyAlignment="1">
      <alignment horizontal="left" vertical="center" wrapText="1"/>
    </xf>
    <xf numFmtId="0" fontId="33" fillId="0" borderId="4" xfId="8" quotePrefix="1" applyFont="1" applyFill="1" applyBorder="1" applyAlignment="1">
      <alignment horizontal="center" vertical="center" wrapText="1"/>
    </xf>
    <xf numFmtId="0" fontId="21" fillId="0" borderId="17" xfId="2" applyFont="1" applyFill="1" applyBorder="1" applyAlignment="1">
      <alignment horizontal="left" vertical="center"/>
    </xf>
    <xf numFmtId="15" fontId="10" fillId="0" borderId="4" xfId="0" applyNumberFormat="1" applyFont="1" applyFill="1" applyBorder="1" applyAlignment="1" applyProtection="1">
      <alignment horizontal="center" vertical="center" wrapText="1"/>
      <protection locked="0" hidden="1"/>
    </xf>
    <xf numFmtId="49" fontId="33" fillId="0" borderId="4" xfId="8" quotePrefix="1" applyNumberFormat="1" applyFont="1" applyFill="1" applyBorder="1" applyAlignment="1">
      <alignment horizontal="center" vertical="center" wrapText="1"/>
    </xf>
    <xf numFmtId="0" fontId="10" fillId="0" borderId="4" xfId="5" applyNumberFormat="1" applyFont="1" applyFill="1" applyBorder="1" applyAlignment="1">
      <alignment vertical="center" wrapText="1"/>
    </xf>
    <xf numFmtId="164" fontId="10" fillId="0" borderId="4" xfId="3" applyFont="1" applyFill="1" applyBorder="1" applyAlignment="1">
      <alignment horizontal="center" vertical="center" wrapText="1"/>
    </xf>
    <xf numFmtId="0" fontId="36" fillId="0" borderId="0" xfId="0" applyFont="1" applyFill="1"/>
    <xf numFmtId="0" fontId="10" fillId="0" borderId="0" xfId="12" applyFont="1" applyFill="1" applyAlignment="1">
      <alignment horizontal="center" vertical="center" wrapText="1"/>
    </xf>
    <xf numFmtId="0" fontId="21" fillId="0" borderId="17" xfId="2" applyFont="1" applyFill="1" applyBorder="1" applyAlignment="1">
      <alignment horizontal="left" vertical="center" wrapText="1"/>
    </xf>
    <xf numFmtId="0" fontId="10" fillId="0" borderId="4" xfId="5" applyNumberFormat="1" applyFont="1" applyFill="1" applyBorder="1" applyAlignment="1">
      <alignment horizontal="center" vertical="center" wrapText="1"/>
    </xf>
    <xf numFmtId="0" fontId="43" fillId="0" borderId="0" xfId="0" applyFont="1" applyFill="1" applyAlignment="1">
      <alignment horizontal="center" vertical="center"/>
    </xf>
    <xf numFmtId="0" fontId="22" fillId="0" borderId="4" xfId="8" quotePrefix="1" applyFont="1" applyFill="1" applyBorder="1" applyAlignment="1">
      <alignment horizontal="center" vertical="center" wrapText="1"/>
    </xf>
    <xf numFmtId="49" fontId="35" fillId="0" borderId="0" xfId="8" applyNumberFormat="1" applyFont="1" applyFill="1" applyAlignment="1">
      <alignment horizontal="center" vertical="center" wrapText="1"/>
    </xf>
    <xf numFmtId="0" fontId="10" fillId="0" borderId="16" xfId="1" applyNumberFormat="1" applyFont="1" applyFill="1" applyBorder="1" applyAlignment="1">
      <alignment horizontal="center" vertical="center" wrapText="1"/>
    </xf>
    <xf numFmtId="49" fontId="33" fillId="0" borderId="6" xfId="8" quotePrefix="1" applyNumberFormat="1" applyFont="1" applyFill="1" applyBorder="1" applyAlignment="1">
      <alignment horizontal="center" vertical="center" wrapText="1"/>
    </xf>
    <xf numFmtId="0" fontId="21" fillId="0" borderId="18" xfId="2" applyFont="1" applyFill="1" applyBorder="1" applyAlignment="1">
      <alignment horizontal="left" vertical="center"/>
    </xf>
    <xf numFmtId="0" fontId="10" fillId="0" borderId="6" xfId="3" applyNumberFormat="1" applyFont="1" applyFill="1" applyBorder="1" applyAlignment="1">
      <alignment horizontal="center" vertical="center" wrapText="1"/>
    </xf>
    <xf numFmtId="0" fontId="10" fillId="0" borderId="6" xfId="3" applyNumberFormat="1" applyFont="1" applyFill="1" applyBorder="1" applyAlignment="1">
      <alignment vertical="center" wrapText="1"/>
    </xf>
    <xf numFmtId="0" fontId="10" fillId="0" borderId="6" xfId="8" applyFont="1" applyFill="1" applyBorder="1" applyAlignment="1">
      <alignment vertical="center" wrapText="1"/>
    </xf>
    <xf numFmtId="164" fontId="10" fillId="0" borderId="6" xfId="1" applyFont="1" applyFill="1" applyBorder="1" applyAlignment="1">
      <alignment horizontal="center" vertical="center" wrapText="1"/>
    </xf>
    <xf numFmtId="0" fontId="10" fillId="0" borderId="13" xfId="3" applyNumberFormat="1" applyFont="1" applyFill="1" applyBorder="1" applyAlignment="1">
      <alignment horizontal="center" vertical="center" wrapText="1"/>
    </xf>
    <xf numFmtId="0" fontId="10" fillId="0" borderId="16" xfId="12" applyFont="1" applyFill="1" applyBorder="1" applyAlignment="1">
      <alignment horizontal="left" vertical="center" wrapText="1"/>
    </xf>
    <xf numFmtId="1" fontId="35" fillId="0" borderId="0" xfId="1" applyNumberFormat="1" applyFont="1" applyFill="1" applyAlignment="1">
      <alignment vertical="center"/>
    </xf>
    <xf numFmtId="0" fontId="1" fillId="0" borderId="5" xfId="1" applyNumberFormat="1" applyFont="1" applyFill="1" applyBorder="1" applyAlignment="1">
      <alignment horizontal="center" vertical="center"/>
    </xf>
    <xf numFmtId="0" fontId="10" fillId="0" borderId="5" xfId="1" applyNumberFormat="1" applyFont="1" applyFill="1" applyBorder="1" applyAlignment="1">
      <alignment horizontal="center" vertical="center"/>
    </xf>
    <xf numFmtId="0" fontId="1" fillId="0" borderId="5" xfId="1" applyNumberFormat="1" applyFont="1" applyFill="1" applyBorder="1" applyAlignment="1">
      <alignment horizontal="left" vertical="center"/>
    </xf>
    <xf numFmtId="0" fontId="6" fillId="0" borderId="5" xfId="1" applyNumberFormat="1" applyFont="1" applyFill="1" applyBorder="1" applyAlignment="1">
      <alignment vertical="center"/>
    </xf>
    <xf numFmtId="0" fontId="9" fillId="0" borderId="5" xfId="1" applyNumberFormat="1" applyFont="1" applyFill="1" applyBorder="1" applyAlignment="1">
      <alignment vertical="center"/>
    </xf>
    <xf numFmtId="0" fontId="6" fillId="0" borderId="5" xfId="1" applyNumberFormat="1" applyFont="1" applyFill="1" applyBorder="1" applyAlignment="1">
      <alignment horizontal="left" vertical="center"/>
    </xf>
    <xf numFmtId="164" fontId="6" fillId="0" borderId="5" xfId="1" applyFont="1" applyFill="1" applyBorder="1" applyAlignment="1">
      <alignment vertical="center" wrapText="1"/>
    </xf>
    <xf numFmtId="0" fontId="10" fillId="0" borderId="5" xfId="1" applyNumberFormat="1" applyFont="1" applyFill="1" applyBorder="1" applyAlignment="1">
      <alignment horizontal="left" wrapText="1"/>
    </xf>
    <xf numFmtId="164" fontId="1" fillId="0" borderId="0" xfId="1" applyFont="1" applyFill="1" applyAlignment="1">
      <alignment vertical="center"/>
    </xf>
    <xf numFmtId="0" fontId="1" fillId="0" borderId="0" xfId="1" applyNumberFormat="1" applyFont="1" applyFill="1" applyAlignment="1">
      <alignment horizontal="center" vertical="center"/>
    </xf>
    <xf numFmtId="0" fontId="10" fillId="0" borderId="0" xfId="1" applyNumberFormat="1" applyFont="1" applyFill="1" applyAlignment="1">
      <alignment horizontal="center" vertical="center"/>
    </xf>
    <xf numFmtId="0" fontId="1" fillId="0" borderId="0" xfId="1" applyNumberFormat="1" applyFont="1" applyFill="1" applyAlignment="1">
      <alignment horizontal="left" vertical="center"/>
    </xf>
    <xf numFmtId="0" fontId="6" fillId="0" borderId="0" xfId="1" applyNumberFormat="1" applyFont="1" applyFill="1" applyAlignment="1">
      <alignment vertical="center"/>
    </xf>
    <xf numFmtId="0" fontId="9" fillId="0" borderId="0" xfId="1" applyNumberFormat="1" applyFont="1" applyFill="1" applyAlignment="1">
      <alignment vertical="center"/>
    </xf>
    <xf numFmtId="0" fontId="6" fillId="0" borderId="0" xfId="1" applyNumberFormat="1" applyFont="1" applyFill="1" applyAlignment="1">
      <alignment horizontal="left" vertical="center"/>
    </xf>
    <xf numFmtId="164" fontId="6" fillId="0" borderId="0" xfId="1" applyFont="1" applyFill="1" applyAlignment="1">
      <alignment horizontal="center" vertical="center" wrapText="1"/>
    </xf>
    <xf numFmtId="164" fontId="6" fillId="0" borderId="0" xfId="1" applyFont="1" applyFill="1" applyAlignment="1">
      <alignment horizontal="center" vertical="center"/>
    </xf>
    <xf numFmtId="0" fontId="10" fillId="0" borderId="0" xfId="12" applyFont="1" applyFill="1" applyAlignment="1">
      <alignment horizontal="left" wrapText="1"/>
    </xf>
    <xf numFmtId="0" fontId="1" fillId="0" borderId="0" xfId="1" applyNumberFormat="1" applyFont="1" applyFill="1" applyAlignment="1">
      <alignment horizontal="center"/>
    </xf>
    <xf numFmtId="0" fontId="1" fillId="0" borderId="0" xfId="1" applyNumberFormat="1" applyFont="1" applyFill="1"/>
    <xf numFmtId="0" fontId="1" fillId="0" borderId="0" xfId="1" applyNumberFormat="1" applyFont="1" applyFill="1" applyAlignment="1">
      <alignment horizontal="left" wrapText="1"/>
    </xf>
    <xf numFmtId="0" fontId="5" fillId="0" borderId="0" xfId="1" applyNumberFormat="1" applyFont="1" applyFill="1" applyAlignment="1">
      <alignment horizontal="left" wrapText="1"/>
    </xf>
    <xf numFmtId="0" fontId="44" fillId="0" borderId="0" xfId="1" applyNumberFormat="1" applyFont="1" applyFill="1" applyAlignment="1">
      <alignment vertical="center" wrapText="1"/>
    </xf>
    <xf numFmtId="0" fontId="44" fillId="0" borderId="0" xfId="1" applyNumberFormat="1" applyFont="1" applyFill="1" applyBorder="1" applyAlignment="1">
      <alignment vertical="center" wrapText="1"/>
    </xf>
    <xf numFmtId="0" fontId="45" fillId="0" borderId="0" xfId="1" applyNumberFormat="1" applyFont="1" applyFill="1" applyAlignment="1">
      <alignment horizontal="center" vertical="center" wrapText="1"/>
    </xf>
    <xf numFmtId="0" fontId="45" fillId="0" borderId="0" xfId="1" applyNumberFormat="1" applyFont="1" applyFill="1" applyAlignment="1">
      <alignment vertical="center" wrapText="1"/>
    </xf>
    <xf numFmtId="0" fontId="45" fillId="0" borderId="0" xfId="1" applyNumberFormat="1" applyFont="1" applyFill="1" applyAlignment="1">
      <alignment horizontal="left" vertical="center" wrapText="1"/>
    </xf>
    <xf numFmtId="1" fontId="35" fillId="0" borderId="0" xfId="1" applyNumberFormat="1" applyFont="1" applyAlignment="1">
      <alignment horizontal="center" vertical="center"/>
    </xf>
    <xf numFmtId="0" fontId="0" fillId="0" borderId="0" xfId="0" pivotButton="1"/>
    <xf numFmtId="0" fontId="45" fillId="0" borderId="0" xfId="1" applyNumberFormat="1" applyFont="1" applyFill="1" applyAlignment="1">
      <alignment vertical="center"/>
    </xf>
    <xf numFmtId="164" fontId="47" fillId="0" borderId="0" xfId="14" applyNumberFormat="1" applyFill="1" applyAlignment="1">
      <alignment horizontal="left" vertical="center"/>
    </xf>
    <xf numFmtId="0" fontId="18" fillId="0" borderId="0" xfId="13" applyFont="1" applyFill="1" applyAlignment="1">
      <alignment horizontal="center" vertical="center" wrapText="1"/>
    </xf>
    <xf numFmtId="0" fontId="18" fillId="0" borderId="0" xfId="13" applyFont="1" applyFill="1" applyAlignment="1">
      <alignment horizontal="left" vertical="center" wrapText="1"/>
    </xf>
    <xf numFmtId="0" fontId="21" fillId="0" borderId="42" xfId="13" applyFont="1" applyFill="1" applyBorder="1" applyAlignment="1">
      <alignment horizontal="center" vertical="center"/>
    </xf>
    <xf numFmtId="0" fontId="21" fillId="0" borderId="43" xfId="13" applyFont="1" applyFill="1" applyBorder="1" applyAlignment="1">
      <alignment horizontal="center" vertical="center"/>
    </xf>
    <xf numFmtId="0" fontId="21" fillId="0" borderId="44" xfId="13" applyFont="1" applyFill="1" applyBorder="1" applyAlignment="1">
      <alignment horizontal="center" vertical="center"/>
    </xf>
    <xf numFmtId="0" fontId="10" fillId="0" borderId="0" xfId="0" applyFont="1" applyFill="1" applyAlignment="1">
      <alignment horizontal="center"/>
    </xf>
    <xf numFmtId="165" fontId="46" fillId="0" borderId="0" xfId="0" applyNumberFormat="1" applyFont="1" applyFill="1" applyAlignment="1">
      <alignment horizontal="center" vertical="top"/>
    </xf>
    <xf numFmtId="0" fontId="10" fillId="0" borderId="0" xfId="0" applyFont="1" applyAlignment="1">
      <alignment horizontal="center"/>
    </xf>
    <xf numFmtId="165" fontId="37" fillId="0" borderId="0" xfId="0" applyNumberFormat="1" applyFont="1" applyAlignment="1">
      <alignment horizontal="center" vertical="center"/>
    </xf>
    <xf numFmtId="0" fontId="34" fillId="0" borderId="56" xfId="12" applyFont="1" applyBorder="1" applyAlignment="1">
      <alignment horizontal="left" wrapText="1" indent="1"/>
    </xf>
    <xf numFmtId="0" fontId="34" fillId="0" borderId="23" xfId="12" applyFont="1" applyBorder="1" applyAlignment="1">
      <alignment horizontal="left" wrapText="1" indent="1"/>
    </xf>
    <xf numFmtId="0" fontId="34" fillId="0" borderId="10" xfId="12" applyFont="1" applyBorder="1" applyAlignment="1">
      <alignment horizontal="center" vertical="center" wrapText="1"/>
    </xf>
    <xf numFmtId="1" fontId="35" fillId="0" borderId="25" xfId="1" applyNumberFormat="1" applyFont="1" applyBorder="1" applyAlignment="1">
      <alignment horizontal="center" vertical="center"/>
    </xf>
    <xf numFmtId="164" fontId="10" fillId="0" borderId="57" xfId="1" applyFont="1" applyBorder="1" applyAlignment="1">
      <alignment horizontal="center" wrapText="1"/>
    </xf>
    <xf numFmtId="164" fontId="10" fillId="0" borderId="57" xfId="1" applyFont="1" applyBorder="1" applyAlignment="1">
      <alignment horizontal="center"/>
    </xf>
    <xf numFmtId="0" fontId="34" fillId="0" borderId="0" xfId="12" applyFont="1" applyAlignment="1">
      <alignment horizontal="left" vertical="center" wrapText="1"/>
    </xf>
    <xf numFmtId="0" fontId="34" fillId="0" borderId="10" xfId="12" applyFont="1" applyBorder="1" applyAlignment="1">
      <alignment horizontal="left" vertical="center" wrapText="1"/>
    </xf>
    <xf numFmtId="1" fontId="35" fillId="0" borderId="0" xfId="1" applyNumberFormat="1" applyFont="1" applyAlignment="1">
      <alignment horizontal="center" vertical="center"/>
    </xf>
    <xf numFmtId="1" fontId="22" fillId="0" borderId="0" xfId="1" applyNumberFormat="1" applyFont="1" applyAlignment="1">
      <alignment horizontal="center" vertical="center" wrapText="1"/>
    </xf>
    <xf numFmtId="0" fontId="22" fillId="0" borderId="48" xfId="1" applyNumberFormat="1" applyFont="1" applyBorder="1" applyAlignment="1">
      <alignment horizontal="center" vertical="center" wrapText="1"/>
    </xf>
    <xf numFmtId="0" fontId="22" fillId="0" borderId="49" xfId="1" applyNumberFormat="1" applyFont="1" applyBorder="1" applyAlignment="1">
      <alignment horizontal="center" vertical="center" wrapText="1"/>
    </xf>
    <xf numFmtId="0" fontId="22" fillId="0" borderId="53" xfId="1" applyNumberFormat="1" applyFont="1" applyBorder="1" applyAlignment="1">
      <alignment horizontal="center" vertical="center" wrapText="1"/>
    </xf>
    <xf numFmtId="0" fontId="22" fillId="0" borderId="54" xfId="1" applyNumberFormat="1" applyFont="1" applyBorder="1" applyAlignment="1">
      <alignment horizontal="center" vertical="center" wrapText="1"/>
    </xf>
    <xf numFmtId="0" fontId="22" fillId="0" borderId="55" xfId="1" applyNumberFormat="1" applyFont="1" applyBorder="1" applyAlignment="1">
      <alignment horizontal="center" vertical="center" wrapText="1"/>
    </xf>
    <xf numFmtId="0" fontId="22" fillId="0" borderId="51" xfId="1" applyNumberFormat="1" applyFont="1" applyBorder="1" applyAlignment="1">
      <alignment horizontal="center" vertical="center" wrapText="1"/>
    </xf>
    <xf numFmtId="165" fontId="21" fillId="0" borderId="0" xfId="0" applyNumberFormat="1" applyFont="1" applyAlignment="1">
      <alignment horizontal="center" vertical="center"/>
    </xf>
    <xf numFmtId="164" fontId="22" fillId="0" borderId="36" xfId="1" applyFont="1" applyBorder="1" applyAlignment="1">
      <alignment horizontal="center" vertical="center"/>
    </xf>
    <xf numFmtId="164" fontId="22" fillId="0" borderId="45" xfId="1" applyFont="1" applyBorder="1" applyAlignment="1">
      <alignment horizontal="center" vertical="center"/>
    </xf>
    <xf numFmtId="164" fontId="22" fillId="0" borderId="34" xfId="1" applyFont="1" applyBorder="1" applyAlignment="1">
      <alignment horizontal="center" vertical="center"/>
    </xf>
    <xf numFmtId="0" fontId="21" fillId="0" borderId="46" xfId="1" applyNumberFormat="1" applyFont="1" applyBorder="1" applyAlignment="1">
      <alignment horizontal="center" vertical="center" wrapText="1"/>
    </xf>
    <xf numFmtId="0" fontId="21" fillId="0" borderId="47" xfId="1" applyNumberFormat="1" applyFont="1" applyBorder="1" applyAlignment="1">
      <alignment horizontal="center" vertical="center" wrapText="1"/>
    </xf>
    <xf numFmtId="164" fontId="22" fillId="0" borderId="36" xfId="1" applyFont="1" applyBorder="1" applyAlignment="1">
      <alignment horizontal="center" vertical="center" wrapText="1"/>
    </xf>
    <xf numFmtId="164" fontId="22" fillId="0" borderId="45" xfId="1" applyFont="1" applyBorder="1" applyAlignment="1">
      <alignment horizontal="center" vertical="center" wrapText="1"/>
    </xf>
    <xf numFmtId="164" fontId="22" fillId="0" borderId="34" xfId="1" applyFont="1" applyBorder="1" applyAlignment="1">
      <alignment horizontal="center" vertical="center" wrapText="1"/>
    </xf>
    <xf numFmtId="164" fontId="22" fillId="0" borderId="48" xfId="1" applyFont="1" applyBorder="1" applyAlignment="1">
      <alignment horizontal="center" vertical="center" wrapText="1"/>
    </xf>
    <xf numFmtId="164" fontId="22" fillId="0" borderId="49" xfId="1" applyFont="1" applyBorder="1" applyAlignment="1">
      <alignment horizontal="center" vertical="center" wrapText="1"/>
    </xf>
    <xf numFmtId="0" fontId="22" fillId="0" borderId="50" xfId="12" applyFont="1" applyBorder="1" applyAlignment="1">
      <alignment horizontal="center" vertical="center" wrapText="1"/>
    </xf>
    <xf numFmtId="0" fontId="22" fillId="0" borderId="51" xfId="12" applyFont="1" applyBorder="1" applyAlignment="1">
      <alignment horizontal="center" vertical="center" wrapText="1"/>
    </xf>
    <xf numFmtId="164" fontId="21" fillId="0" borderId="36" xfId="1" applyFont="1" applyBorder="1" applyAlignment="1">
      <alignment horizontal="center" vertical="center" wrapText="1"/>
    </xf>
    <xf numFmtId="164" fontId="21" fillId="0" borderId="45" xfId="1" applyFont="1" applyBorder="1" applyAlignment="1">
      <alignment horizontal="center" vertical="center" wrapText="1"/>
    </xf>
    <xf numFmtId="164" fontId="21" fillId="0" borderId="52" xfId="1" applyFont="1" applyBorder="1" applyAlignment="1">
      <alignment horizontal="center" vertical="center" wrapText="1"/>
    </xf>
    <xf numFmtId="0" fontId="44" fillId="0" borderId="0" xfId="1" applyNumberFormat="1" applyFont="1" applyFill="1" applyAlignment="1">
      <alignment horizontal="center" vertical="center" wrapText="1"/>
    </xf>
    <xf numFmtId="0" fontId="44" fillId="0" borderId="0" xfId="1" applyNumberFormat="1" applyFont="1" applyFill="1" applyAlignment="1">
      <alignment horizontal="left" vertical="center" wrapText="1"/>
    </xf>
    <xf numFmtId="0" fontId="44" fillId="0" borderId="0" xfId="1" applyNumberFormat="1" applyFont="1" applyFill="1" applyBorder="1" applyAlignment="1">
      <alignment horizontal="center" vertical="center" wrapText="1"/>
    </xf>
    <xf numFmtId="0" fontId="44" fillId="0" borderId="0" xfId="1" applyNumberFormat="1" applyFont="1" applyFill="1" applyBorder="1" applyAlignment="1">
      <alignment horizontal="left" vertical="center" wrapText="1"/>
    </xf>
    <xf numFmtId="0" fontId="22" fillId="0" borderId="50" xfId="12" applyFont="1" applyFill="1" applyBorder="1" applyAlignment="1">
      <alignment horizontal="center" vertical="center" wrapText="1"/>
    </xf>
    <xf numFmtId="0" fontId="22" fillId="0" borderId="51" xfId="12" applyFont="1" applyFill="1" applyBorder="1" applyAlignment="1">
      <alignment horizontal="center" vertical="center" wrapText="1"/>
    </xf>
    <xf numFmtId="0" fontId="22" fillId="0" borderId="48" xfId="1" applyNumberFormat="1" applyFont="1" applyFill="1" applyBorder="1" applyAlignment="1">
      <alignment horizontal="center" vertical="center" wrapText="1"/>
    </xf>
    <xf numFmtId="0" fontId="22" fillId="0" borderId="49" xfId="1" applyNumberFormat="1" applyFont="1" applyFill="1" applyBorder="1" applyAlignment="1">
      <alignment horizontal="center" vertical="center" wrapText="1"/>
    </xf>
    <xf numFmtId="164" fontId="22" fillId="0" borderId="36" xfId="1" applyFont="1" applyFill="1" applyBorder="1" applyAlignment="1">
      <alignment horizontal="center" vertical="center"/>
    </xf>
    <xf numFmtId="164" fontId="22" fillId="0" borderId="45" xfId="1" applyFont="1" applyFill="1" applyBorder="1" applyAlignment="1">
      <alignment horizontal="center" vertical="center"/>
    </xf>
    <xf numFmtId="164" fontId="22" fillId="0" borderId="34" xfId="1" applyFont="1" applyFill="1" applyBorder="1" applyAlignment="1">
      <alignment horizontal="center" vertical="center"/>
    </xf>
    <xf numFmtId="164" fontId="22" fillId="0" borderId="36" xfId="1" applyFont="1" applyFill="1" applyBorder="1" applyAlignment="1">
      <alignment horizontal="center" vertical="center" wrapText="1"/>
    </xf>
    <xf numFmtId="164" fontId="22" fillId="0" borderId="45" xfId="1" applyFont="1" applyFill="1" applyBorder="1" applyAlignment="1">
      <alignment horizontal="center" vertical="center" wrapText="1"/>
    </xf>
    <xf numFmtId="164" fontId="22" fillId="0" borderId="34" xfId="1" applyFont="1" applyFill="1" applyBorder="1" applyAlignment="1">
      <alignment horizontal="center" vertical="center" wrapText="1"/>
    </xf>
    <xf numFmtId="0" fontId="22" fillId="0" borderId="53" xfId="1" applyNumberFormat="1" applyFont="1" applyFill="1" applyBorder="1" applyAlignment="1">
      <alignment horizontal="center" vertical="center" wrapText="1"/>
    </xf>
    <xf numFmtId="0" fontId="22" fillId="0" borderId="54" xfId="1" applyNumberFormat="1" applyFont="1" applyFill="1" applyBorder="1" applyAlignment="1">
      <alignment horizontal="center" vertical="center" wrapText="1"/>
    </xf>
    <xf numFmtId="1" fontId="35" fillId="0" borderId="0" xfId="1" applyNumberFormat="1" applyFont="1" applyFill="1" applyAlignment="1">
      <alignment horizontal="center" vertical="center"/>
    </xf>
    <xf numFmtId="1" fontId="22" fillId="0" borderId="0" xfId="1" applyNumberFormat="1" applyFont="1" applyFill="1" applyAlignment="1">
      <alignment horizontal="center" vertical="center" wrapText="1"/>
    </xf>
    <xf numFmtId="0" fontId="22" fillId="0" borderId="55" xfId="1" applyNumberFormat="1" applyFont="1" applyFill="1" applyBorder="1" applyAlignment="1">
      <alignment horizontal="center" vertical="center" wrapText="1"/>
    </xf>
    <xf numFmtId="0" fontId="22" fillId="0" borderId="51" xfId="1" applyNumberFormat="1" applyFont="1" applyFill="1" applyBorder="1" applyAlignment="1">
      <alignment horizontal="center" vertical="center" wrapText="1"/>
    </xf>
    <xf numFmtId="164" fontId="22" fillId="0" borderId="48" xfId="1" applyFont="1" applyFill="1" applyBorder="1" applyAlignment="1">
      <alignment horizontal="center" vertical="center" wrapText="1"/>
    </xf>
    <xf numFmtId="164" fontId="22" fillId="0" borderId="49" xfId="1" applyFont="1" applyFill="1" applyBorder="1" applyAlignment="1">
      <alignment horizontal="center" vertical="center" wrapText="1"/>
    </xf>
  </cellXfs>
  <cellStyles count="15">
    <cellStyle name="Hyperlink" xfId="14" builtinId="8"/>
    <cellStyle name="Normal" xfId="0" builtinId="0"/>
    <cellStyle name="Normal 2" xfId="1" xr:uid="{B42AEAC6-61DF-40EE-B15D-83C6082334DB}"/>
    <cellStyle name="Normal 2 12" xfId="2" xr:uid="{7C42838F-650D-4E31-B00A-0185B679F8FB}"/>
    <cellStyle name="Normal 2 2" xfId="3" xr:uid="{65292050-D4F7-4AEF-9595-330E2B88DAE6}"/>
    <cellStyle name="Normal 2 2 2" xfId="4" xr:uid="{1066BFC5-F87D-4CF4-A75A-BA5B21A40B0E}"/>
    <cellStyle name="Normal 2 2 2 2" xfId="5" xr:uid="{3C72A80E-FE2B-4CEF-9B10-8C55EC496BFC}"/>
    <cellStyle name="Normal 2 3" xfId="6" xr:uid="{0B5BBF0E-5836-445C-9983-9855CBF4C862}"/>
    <cellStyle name="Normal 2 4" xfId="7" xr:uid="{191EEED4-A866-4F8B-B5C3-312984A490B2}"/>
    <cellStyle name="Normal 3" xfId="8" xr:uid="{5E95653F-7236-4401-B7E6-71E0ACAAF910}"/>
    <cellStyle name="Normal 4" xfId="9" xr:uid="{968421E6-805D-46C5-BAF9-E9AFFB49493E}"/>
    <cellStyle name="Normal 4 2" xfId="10" xr:uid="{D7DEA466-4BD7-46A9-A69F-0AF19554CDA3}"/>
    <cellStyle name="Normal 4 3" xfId="11" xr:uid="{13881CC0-20BF-474F-AAEE-F6D573CDB50B}"/>
    <cellStyle name="Normal 5" xfId="12" xr:uid="{5EB5D3BF-CFE6-407F-93EC-1C670F52CF5A}"/>
    <cellStyle name="Normal 6" xfId="13" xr:uid="{3DE6673C-14F9-4539-ADC8-C4E566955313}"/>
  </cellStyles>
  <dxfs count="23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indexed="20"/>
      </font>
      <fill>
        <patternFill>
          <bgColor indexed="45"/>
        </patternFill>
      </fill>
    </dxf>
    <dxf>
      <font>
        <color indexed="20"/>
      </font>
      <fill>
        <patternFill>
          <bgColor indexed="4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indexed="20"/>
      </font>
      <fill>
        <patternFill>
          <bgColor indexed="4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indexed="20"/>
      </font>
      <fill>
        <patternFill>
          <bgColor indexed="4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indexed="20"/>
      </font>
      <fill>
        <patternFill>
          <bgColor indexed="4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indexed="20"/>
      </font>
      <fill>
        <patternFill>
          <bgColor indexed="45"/>
        </patternFill>
      </fill>
    </dxf>
    <dxf>
      <font>
        <color indexed="20"/>
      </font>
      <fill>
        <patternFill>
          <bgColor indexed="4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indexed="20"/>
      </font>
      <fill>
        <patternFill>
          <bgColor indexed="4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indexed="20"/>
      </font>
      <fill>
        <patternFill>
          <bgColor indexed="4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indexed="20"/>
      </font>
      <fill>
        <patternFill>
          <bgColor indexed="45"/>
        </patternFill>
      </fill>
    </dxf>
    <dxf>
      <fill>
        <patternFill>
          <bgColor theme="8" tint="0.59996337778862885"/>
        </patternFill>
      </fill>
    </dxf>
    <dxf>
      <fill>
        <patternFill>
          <bgColor theme="6"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8.xml"/><Relationship Id="rId18" Type="http://schemas.openxmlformats.org/officeDocument/2006/relationships/externalLink" Target="externalLinks/externalLink13.xml"/><Relationship Id="rId26" Type="http://schemas.openxmlformats.org/officeDocument/2006/relationships/externalLink" Target="externalLinks/externalLink21.xml"/><Relationship Id="rId39" Type="http://schemas.openxmlformats.org/officeDocument/2006/relationships/externalLink" Target="externalLinks/externalLink34.xml"/><Relationship Id="rId21" Type="http://schemas.openxmlformats.org/officeDocument/2006/relationships/externalLink" Target="externalLinks/externalLink16.xml"/><Relationship Id="rId34" Type="http://schemas.openxmlformats.org/officeDocument/2006/relationships/externalLink" Target="externalLinks/externalLink29.xml"/><Relationship Id="rId42" Type="http://schemas.openxmlformats.org/officeDocument/2006/relationships/styles" Target="styles.xml"/><Relationship Id="rId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1.xml"/><Relationship Id="rId29" Type="http://schemas.openxmlformats.org/officeDocument/2006/relationships/externalLink" Target="externalLinks/externalLink24.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externalLink" Target="externalLinks/externalLink6.xml"/><Relationship Id="rId24" Type="http://schemas.openxmlformats.org/officeDocument/2006/relationships/externalLink" Target="externalLinks/externalLink19.xml"/><Relationship Id="rId32" Type="http://schemas.openxmlformats.org/officeDocument/2006/relationships/externalLink" Target="externalLinks/externalLink27.xml"/><Relationship Id="rId37" Type="http://schemas.openxmlformats.org/officeDocument/2006/relationships/externalLink" Target="externalLinks/externalLink32.xml"/><Relationship Id="rId40" Type="http://schemas.openxmlformats.org/officeDocument/2006/relationships/pivotCacheDefinition" Target="pivotCache/pivotCacheDefinition1.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10.xml"/><Relationship Id="rId23" Type="http://schemas.openxmlformats.org/officeDocument/2006/relationships/externalLink" Target="externalLinks/externalLink18.xml"/><Relationship Id="rId28" Type="http://schemas.openxmlformats.org/officeDocument/2006/relationships/externalLink" Target="externalLinks/externalLink23.xml"/><Relationship Id="rId36" Type="http://schemas.openxmlformats.org/officeDocument/2006/relationships/externalLink" Target="externalLinks/externalLink31.xml"/><Relationship Id="rId10" Type="http://schemas.openxmlformats.org/officeDocument/2006/relationships/externalLink" Target="externalLinks/externalLink5.xml"/><Relationship Id="rId19" Type="http://schemas.openxmlformats.org/officeDocument/2006/relationships/externalLink" Target="externalLinks/externalLink14.xml"/><Relationship Id="rId31" Type="http://schemas.openxmlformats.org/officeDocument/2006/relationships/externalLink" Target="externalLinks/externalLink26.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4.xml"/><Relationship Id="rId14" Type="http://schemas.openxmlformats.org/officeDocument/2006/relationships/externalLink" Target="externalLinks/externalLink9.xml"/><Relationship Id="rId22" Type="http://schemas.openxmlformats.org/officeDocument/2006/relationships/externalLink" Target="externalLinks/externalLink17.xml"/><Relationship Id="rId27" Type="http://schemas.openxmlformats.org/officeDocument/2006/relationships/externalLink" Target="externalLinks/externalLink22.xml"/><Relationship Id="rId30" Type="http://schemas.openxmlformats.org/officeDocument/2006/relationships/externalLink" Target="externalLinks/externalLink25.xml"/><Relationship Id="rId35" Type="http://schemas.openxmlformats.org/officeDocument/2006/relationships/externalLink" Target="externalLinks/externalLink30.xml"/><Relationship Id="rId43" Type="http://schemas.openxmlformats.org/officeDocument/2006/relationships/sharedStrings" Target="sharedStrings.xml"/><Relationship Id="rId8" Type="http://schemas.openxmlformats.org/officeDocument/2006/relationships/externalLink" Target="externalLinks/externalLink3.xml"/><Relationship Id="rId3" Type="http://schemas.openxmlformats.org/officeDocument/2006/relationships/worksheet" Target="worksheets/sheet3.xml"/><Relationship Id="rId12" Type="http://schemas.openxmlformats.org/officeDocument/2006/relationships/externalLink" Target="externalLinks/externalLink7.xml"/><Relationship Id="rId17" Type="http://schemas.openxmlformats.org/officeDocument/2006/relationships/externalLink" Target="externalLinks/externalLink12.xml"/><Relationship Id="rId25" Type="http://schemas.openxmlformats.org/officeDocument/2006/relationships/externalLink" Target="externalLinks/externalLink20.xml"/><Relationship Id="rId33" Type="http://schemas.openxmlformats.org/officeDocument/2006/relationships/externalLink" Target="externalLinks/externalLink28.xml"/><Relationship Id="rId38" Type="http://schemas.openxmlformats.org/officeDocument/2006/relationships/externalLink" Target="externalLinks/externalLink33.xml"/><Relationship Id="rId20" Type="http://schemas.openxmlformats.org/officeDocument/2006/relationships/externalLink" Target="externalLinks/externalLink15.xml"/><Relationship Id="rId41"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2</xdr:col>
      <xdr:colOff>752475</xdr:colOff>
      <xdr:row>1</xdr:row>
      <xdr:rowOff>28575</xdr:rowOff>
    </xdr:from>
    <xdr:to>
      <xdr:col>3</xdr:col>
      <xdr:colOff>914400</xdr:colOff>
      <xdr:row>1</xdr:row>
      <xdr:rowOff>523875</xdr:rowOff>
    </xdr:to>
    <xdr:pic>
      <xdr:nvPicPr>
        <xdr:cNvPr id="1340" name="Picture 889">
          <a:extLst>
            <a:ext uri="{FF2B5EF4-FFF2-40B4-BE49-F238E27FC236}">
              <a16:creationId xmlns:a16="http://schemas.microsoft.com/office/drawing/2014/main" id="{1FB6C2DE-6F9A-85E5-88D0-72B1D997E9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47775" y="219075"/>
          <a:ext cx="914400"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0</xdr:colOff>
      <xdr:row>1</xdr:row>
      <xdr:rowOff>342900</xdr:rowOff>
    </xdr:from>
    <xdr:to>
      <xdr:col>19</xdr:col>
      <xdr:colOff>19050</xdr:colOff>
      <xdr:row>1</xdr:row>
      <xdr:rowOff>533400</xdr:rowOff>
    </xdr:to>
    <xdr:sp macro="" textlink="">
      <xdr:nvSpPr>
        <xdr:cNvPr id="1341" name="Text Box 3">
          <a:extLst>
            <a:ext uri="{FF2B5EF4-FFF2-40B4-BE49-F238E27FC236}">
              <a16:creationId xmlns:a16="http://schemas.microsoft.com/office/drawing/2014/main" id="{B87A9FF6-5437-9DAB-2995-0322A7E11333}"/>
            </a:ext>
          </a:extLst>
        </xdr:cNvPr>
        <xdr:cNvSpPr txBox="1">
          <a:spLocks noChangeArrowheads="1"/>
        </xdr:cNvSpPr>
      </xdr:nvSpPr>
      <xdr:spPr bwMode="auto">
        <a:xfrm>
          <a:off x="16116300" y="533400"/>
          <a:ext cx="1905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24</xdr:col>
      <xdr:colOff>0</xdr:colOff>
      <xdr:row>1</xdr:row>
      <xdr:rowOff>342900</xdr:rowOff>
    </xdr:from>
    <xdr:to>
      <xdr:col>24</xdr:col>
      <xdr:colOff>19050</xdr:colOff>
      <xdr:row>1</xdr:row>
      <xdr:rowOff>533400</xdr:rowOff>
    </xdr:to>
    <xdr:sp macro="" textlink="">
      <xdr:nvSpPr>
        <xdr:cNvPr id="1342" name="Text Box 3">
          <a:extLst>
            <a:ext uri="{FF2B5EF4-FFF2-40B4-BE49-F238E27FC236}">
              <a16:creationId xmlns:a16="http://schemas.microsoft.com/office/drawing/2014/main" id="{B6335BA8-8545-A10A-3F36-97FE9A68A944}"/>
            </a:ext>
          </a:extLst>
        </xdr:cNvPr>
        <xdr:cNvSpPr txBox="1">
          <a:spLocks noChangeArrowheads="1"/>
        </xdr:cNvSpPr>
      </xdr:nvSpPr>
      <xdr:spPr bwMode="auto">
        <a:xfrm>
          <a:off x="17783175" y="533400"/>
          <a:ext cx="1905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22</xdr:col>
      <xdr:colOff>0</xdr:colOff>
      <xdr:row>1</xdr:row>
      <xdr:rowOff>342900</xdr:rowOff>
    </xdr:from>
    <xdr:to>
      <xdr:col>22</xdr:col>
      <xdr:colOff>19050</xdr:colOff>
      <xdr:row>1</xdr:row>
      <xdr:rowOff>533400</xdr:rowOff>
    </xdr:to>
    <xdr:sp macro="" textlink="">
      <xdr:nvSpPr>
        <xdr:cNvPr id="1343" name="Text Box 3">
          <a:extLst>
            <a:ext uri="{FF2B5EF4-FFF2-40B4-BE49-F238E27FC236}">
              <a16:creationId xmlns:a16="http://schemas.microsoft.com/office/drawing/2014/main" id="{461D06F1-EE25-8124-FFB6-E48D6AE80CED}"/>
            </a:ext>
          </a:extLst>
        </xdr:cNvPr>
        <xdr:cNvSpPr txBox="1">
          <a:spLocks noChangeArrowheads="1"/>
        </xdr:cNvSpPr>
      </xdr:nvSpPr>
      <xdr:spPr bwMode="auto">
        <a:xfrm>
          <a:off x="17116425" y="533400"/>
          <a:ext cx="1905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23</xdr:col>
      <xdr:colOff>0</xdr:colOff>
      <xdr:row>1</xdr:row>
      <xdr:rowOff>342900</xdr:rowOff>
    </xdr:from>
    <xdr:to>
      <xdr:col>23</xdr:col>
      <xdr:colOff>19050</xdr:colOff>
      <xdr:row>1</xdr:row>
      <xdr:rowOff>533400</xdr:rowOff>
    </xdr:to>
    <xdr:sp macro="" textlink="">
      <xdr:nvSpPr>
        <xdr:cNvPr id="1344" name="Text Box 3">
          <a:extLst>
            <a:ext uri="{FF2B5EF4-FFF2-40B4-BE49-F238E27FC236}">
              <a16:creationId xmlns:a16="http://schemas.microsoft.com/office/drawing/2014/main" id="{4E7863E9-9FE1-07F3-2241-63008CD09194}"/>
            </a:ext>
          </a:extLst>
        </xdr:cNvPr>
        <xdr:cNvSpPr txBox="1">
          <a:spLocks noChangeArrowheads="1"/>
        </xdr:cNvSpPr>
      </xdr:nvSpPr>
      <xdr:spPr bwMode="auto">
        <a:xfrm>
          <a:off x="17449800" y="533400"/>
          <a:ext cx="1905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22</xdr:col>
      <xdr:colOff>0</xdr:colOff>
      <xdr:row>1</xdr:row>
      <xdr:rowOff>342900</xdr:rowOff>
    </xdr:from>
    <xdr:to>
      <xdr:col>22</xdr:col>
      <xdr:colOff>19050</xdr:colOff>
      <xdr:row>1</xdr:row>
      <xdr:rowOff>533400</xdr:rowOff>
    </xdr:to>
    <xdr:sp macro="" textlink="">
      <xdr:nvSpPr>
        <xdr:cNvPr id="1345" name="Text Box 3">
          <a:extLst>
            <a:ext uri="{FF2B5EF4-FFF2-40B4-BE49-F238E27FC236}">
              <a16:creationId xmlns:a16="http://schemas.microsoft.com/office/drawing/2014/main" id="{2E2E426D-11BD-3421-C482-702F4AD7A382}"/>
            </a:ext>
          </a:extLst>
        </xdr:cNvPr>
        <xdr:cNvSpPr txBox="1">
          <a:spLocks noChangeArrowheads="1"/>
        </xdr:cNvSpPr>
      </xdr:nvSpPr>
      <xdr:spPr bwMode="auto">
        <a:xfrm>
          <a:off x="17116425" y="533400"/>
          <a:ext cx="1905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20</xdr:col>
      <xdr:colOff>0</xdr:colOff>
      <xdr:row>1</xdr:row>
      <xdr:rowOff>342900</xdr:rowOff>
    </xdr:from>
    <xdr:to>
      <xdr:col>20</xdr:col>
      <xdr:colOff>19050</xdr:colOff>
      <xdr:row>1</xdr:row>
      <xdr:rowOff>533400</xdr:rowOff>
    </xdr:to>
    <xdr:sp macro="" textlink="">
      <xdr:nvSpPr>
        <xdr:cNvPr id="1346" name="Text Box 3">
          <a:extLst>
            <a:ext uri="{FF2B5EF4-FFF2-40B4-BE49-F238E27FC236}">
              <a16:creationId xmlns:a16="http://schemas.microsoft.com/office/drawing/2014/main" id="{24EDDCD5-E498-916E-755D-3C503988D18A}"/>
            </a:ext>
          </a:extLst>
        </xdr:cNvPr>
        <xdr:cNvSpPr txBox="1">
          <a:spLocks noChangeArrowheads="1"/>
        </xdr:cNvSpPr>
      </xdr:nvSpPr>
      <xdr:spPr bwMode="auto">
        <a:xfrm>
          <a:off x="16449675" y="533400"/>
          <a:ext cx="1905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xdr:col>
      <xdr:colOff>0</xdr:colOff>
      <xdr:row>1</xdr:row>
      <xdr:rowOff>342900</xdr:rowOff>
    </xdr:from>
    <xdr:to>
      <xdr:col>13</xdr:col>
      <xdr:colOff>19050</xdr:colOff>
      <xdr:row>1</xdr:row>
      <xdr:rowOff>533400</xdr:rowOff>
    </xdr:to>
    <xdr:sp macro="" textlink="">
      <xdr:nvSpPr>
        <xdr:cNvPr id="1347" name="Text Box 3">
          <a:extLst>
            <a:ext uri="{FF2B5EF4-FFF2-40B4-BE49-F238E27FC236}">
              <a16:creationId xmlns:a16="http://schemas.microsoft.com/office/drawing/2014/main" id="{BED40613-7BEE-F0D2-C76C-25AB87717167}"/>
            </a:ext>
          </a:extLst>
        </xdr:cNvPr>
        <xdr:cNvSpPr txBox="1">
          <a:spLocks noChangeArrowheads="1"/>
        </xdr:cNvSpPr>
      </xdr:nvSpPr>
      <xdr:spPr bwMode="auto">
        <a:xfrm>
          <a:off x="14116050" y="533400"/>
          <a:ext cx="1905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18</xdr:col>
      <xdr:colOff>0</xdr:colOff>
      <xdr:row>1</xdr:row>
      <xdr:rowOff>342900</xdr:rowOff>
    </xdr:from>
    <xdr:to>
      <xdr:col>18</xdr:col>
      <xdr:colOff>19050</xdr:colOff>
      <xdr:row>1</xdr:row>
      <xdr:rowOff>533400</xdr:rowOff>
    </xdr:to>
    <xdr:sp macro="" textlink="">
      <xdr:nvSpPr>
        <xdr:cNvPr id="1348" name="Text Box 3">
          <a:extLst>
            <a:ext uri="{FF2B5EF4-FFF2-40B4-BE49-F238E27FC236}">
              <a16:creationId xmlns:a16="http://schemas.microsoft.com/office/drawing/2014/main" id="{1BDFCFFA-0C03-710F-E8B6-C09944B08323}"/>
            </a:ext>
          </a:extLst>
        </xdr:cNvPr>
        <xdr:cNvSpPr txBox="1">
          <a:spLocks noChangeArrowheads="1"/>
        </xdr:cNvSpPr>
      </xdr:nvSpPr>
      <xdr:spPr bwMode="auto">
        <a:xfrm>
          <a:off x="15782925" y="533400"/>
          <a:ext cx="1905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17</xdr:col>
      <xdr:colOff>0</xdr:colOff>
      <xdr:row>1</xdr:row>
      <xdr:rowOff>342900</xdr:rowOff>
    </xdr:from>
    <xdr:to>
      <xdr:col>17</xdr:col>
      <xdr:colOff>19050</xdr:colOff>
      <xdr:row>1</xdr:row>
      <xdr:rowOff>533400</xdr:rowOff>
    </xdr:to>
    <xdr:sp macro="" textlink="">
      <xdr:nvSpPr>
        <xdr:cNvPr id="1349" name="Text Box 3">
          <a:extLst>
            <a:ext uri="{FF2B5EF4-FFF2-40B4-BE49-F238E27FC236}">
              <a16:creationId xmlns:a16="http://schemas.microsoft.com/office/drawing/2014/main" id="{79628B08-6F86-9F4A-91A2-0D9A6221FD36}"/>
            </a:ext>
          </a:extLst>
        </xdr:cNvPr>
        <xdr:cNvSpPr txBox="1">
          <a:spLocks noChangeArrowheads="1"/>
        </xdr:cNvSpPr>
      </xdr:nvSpPr>
      <xdr:spPr bwMode="auto">
        <a:xfrm>
          <a:off x="15449550" y="533400"/>
          <a:ext cx="1905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13</xdr:col>
      <xdr:colOff>0</xdr:colOff>
      <xdr:row>1</xdr:row>
      <xdr:rowOff>342900</xdr:rowOff>
    </xdr:from>
    <xdr:to>
      <xdr:col>13</xdr:col>
      <xdr:colOff>19050</xdr:colOff>
      <xdr:row>1</xdr:row>
      <xdr:rowOff>533400</xdr:rowOff>
    </xdr:to>
    <xdr:sp macro="" textlink="">
      <xdr:nvSpPr>
        <xdr:cNvPr id="1350" name="Text Box 3">
          <a:extLst>
            <a:ext uri="{FF2B5EF4-FFF2-40B4-BE49-F238E27FC236}">
              <a16:creationId xmlns:a16="http://schemas.microsoft.com/office/drawing/2014/main" id="{38C9014C-F62B-777D-F423-01C09AEA4937}"/>
            </a:ext>
          </a:extLst>
        </xdr:cNvPr>
        <xdr:cNvSpPr txBox="1">
          <a:spLocks noChangeArrowheads="1"/>
        </xdr:cNvSpPr>
      </xdr:nvSpPr>
      <xdr:spPr bwMode="auto">
        <a:xfrm>
          <a:off x="14116050" y="533400"/>
          <a:ext cx="1905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16</xdr:col>
      <xdr:colOff>0</xdr:colOff>
      <xdr:row>1</xdr:row>
      <xdr:rowOff>342900</xdr:rowOff>
    </xdr:from>
    <xdr:to>
      <xdr:col>16</xdr:col>
      <xdr:colOff>19050</xdr:colOff>
      <xdr:row>1</xdr:row>
      <xdr:rowOff>533400</xdr:rowOff>
    </xdr:to>
    <xdr:sp macro="" textlink="">
      <xdr:nvSpPr>
        <xdr:cNvPr id="1351" name="Text Box 3">
          <a:extLst>
            <a:ext uri="{FF2B5EF4-FFF2-40B4-BE49-F238E27FC236}">
              <a16:creationId xmlns:a16="http://schemas.microsoft.com/office/drawing/2014/main" id="{E65EC44F-A64B-F380-147C-AF9D0B9F581B}"/>
            </a:ext>
          </a:extLst>
        </xdr:cNvPr>
        <xdr:cNvSpPr txBox="1">
          <a:spLocks noChangeArrowheads="1"/>
        </xdr:cNvSpPr>
      </xdr:nvSpPr>
      <xdr:spPr bwMode="auto">
        <a:xfrm>
          <a:off x="15116175" y="533400"/>
          <a:ext cx="1905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15</xdr:col>
      <xdr:colOff>0</xdr:colOff>
      <xdr:row>1</xdr:row>
      <xdr:rowOff>342900</xdr:rowOff>
    </xdr:from>
    <xdr:to>
      <xdr:col>15</xdr:col>
      <xdr:colOff>19050</xdr:colOff>
      <xdr:row>1</xdr:row>
      <xdr:rowOff>533400</xdr:rowOff>
    </xdr:to>
    <xdr:sp macro="" textlink="">
      <xdr:nvSpPr>
        <xdr:cNvPr id="1352" name="Text Box 3">
          <a:extLst>
            <a:ext uri="{FF2B5EF4-FFF2-40B4-BE49-F238E27FC236}">
              <a16:creationId xmlns:a16="http://schemas.microsoft.com/office/drawing/2014/main" id="{33A0B9A2-3C92-854F-4B8E-2BEA19189F86}"/>
            </a:ext>
          </a:extLst>
        </xdr:cNvPr>
        <xdr:cNvSpPr txBox="1">
          <a:spLocks noChangeArrowheads="1"/>
        </xdr:cNvSpPr>
      </xdr:nvSpPr>
      <xdr:spPr bwMode="auto">
        <a:xfrm>
          <a:off x="14782800" y="533400"/>
          <a:ext cx="1905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14</xdr:col>
      <xdr:colOff>0</xdr:colOff>
      <xdr:row>1</xdr:row>
      <xdr:rowOff>342900</xdr:rowOff>
    </xdr:from>
    <xdr:to>
      <xdr:col>14</xdr:col>
      <xdr:colOff>19050</xdr:colOff>
      <xdr:row>1</xdr:row>
      <xdr:rowOff>533400</xdr:rowOff>
    </xdr:to>
    <xdr:sp macro="" textlink="">
      <xdr:nvSpPr>
        <xdr:cNvPr id="1353" name="Text Box 3">
          <a:extLst>
            <a:ext uri="{FF2B5EF4-FFF2-40B4-BE49-F238E27FC236}">
              <a16:creationId xmlns:a16="http://schemas.microsoft.com/office/drawing/2014/main" id="{0D0B8890-C38E-0104-7489-08AE62D6605D}"/>
            </a:ext>
          </a:extLst>
        </xdr:cNvPr>
        <xdr:cNvSpPr txBox="1">
          <a:spLocks noChangeArrowheads="1"/>
        </xdr:cNvSpPr>
      </xdr:nvSpPr>
      <xdr:spPr bwMode="auto">
        <a:xfrm>
          <a:off x="14449425" y="533400"/>
          <a:ext cx="1905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28</xdr:col>
      <xdr:colOff>0</xdr:colOff>
      <xdr:row>1</xdr:row>
      <xdr:rowOff>342900</xdr:rowOff>
    </xdr:from>
    <xdr:to>
      <xdr:col>28</xdr:col>
      <xdr:colOff>19050</xdr:colOff>
      <xdr:row>1</xdr:row>
      <xdr:rowOff>533400</xdr:rowOff>
    </xdr:to>
    <xdr:sp macro="" textlink="">
      <xdr:nvSpPr>
        <xdr:cNvPr id="1354" name="Text Box 3">
          <a:extLst>
            <a:ext uri="{FF2B5EF4-FFF2-40B4-BE49-F238E27FC236}">
              <a16:creationId xmlns:a16="http://schemas.microsoft.com/office/drawing/2014/main" id="{9FBAE7D3-2FBD-3B44-BA0C-684EE95CE0E5}"/>
            </a:ext>
          </a:extLst>
        </xdr:cNvPr>
        <xdr:cNvSpPr txBox="1">
          <a:spLocks noChangeArrowheads="1"/>
        </xdr:cNvSpPr>
      </xdr:nvSpPr>
      <xdr:spPr bwMode="auto">
        <a:xfrm>
          <a:off x="19116675" y="533400"/>
          <a:ext cx="1905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21</xdr:col>
      <xdr:colOff>0</xdr:colOff>
      <xdr:row>1</xdr:row>
      <xdr:rowOff>342900</xdr:rowOff>
    </xdr:from>
    <xdr:to>
      <xdr:col>21</xdr:col>
      <xdr:colOff>19050</xdr:colOff>
      <xdr:row>1</xdr:row>
      <xdr:rowOff>533400</xdr:rowOff>
    </xdr:to>
    <xdr:sp macro="" textlink="">
      <xdr:nvSpPr>
        <xdr:cNvPr id="1355" name="Text Box 3">
          <a:extLst>
            <a:ext uri="{FF2B5EF4-FFF2-40B4-BE49-F238E27FC236}">
              <a16:creationId xmlns:a16="http://schemas.microsoft.com/office/drawing/2014/main" id="{AF627A20-6C8C-02D0-34E9-9268215EE317}"/>
            </a:ext>
          </a:extLst>
        </xdr:cNvPr>
        <xdr:cNvSpPr txBox="1">
          <a:spLocks noChangeArrowheads="1"/>
        </xdr:cNvSpPr>
      </xdr:nvSpPr>
      <xdr:spPr bwMode="auto">
        <a:xfrm>
          <a:off x="16783050" y="533400"/>
          <a:ext cx="1905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21</xdr:col>
      <xdr:colOff>0</xdr:colOff>
      <xdr:row>1</xdr:row>
      <xdr:rowOff>342900</xdr:rowOff>
    </xdr:from>
    <xdr:to>
      <xdr:col>21</xdr:col>
      <xdr:colOff>19050</xdr:colOff>
      <xdr:row>1</xdr:row>
      <xdr:rowOff>533400</xdr:rowOff>
    </xdr:to>
    <xdr:sp macro="" textlink="">
      <xdr:nvSpPr>
        <xdr:cNvPr id="1356" name="Text Box 3">
          <a:extLst>
            <a:ext uri="{FF2B5EF4-FFF2-40B4-BE49-F238E27FC236}">
              <a16:creationId xmlns:a16="http://schemas.microsoft.com/office/drawing/2014/main" id="{B710A365-1217-8CD3-B39E-83EECD1E21FF}"/>
            </a:ext>
          </a:extLst>
        </xdr:cNvPr>
        <xdr:cNvSpPr txBox="1">
          <a:spLocks noChangeArrowheads="1"/>
        </xdr:cNvSpPr>
      </xdr:nvSpPr>
      <xdr:spPr bwMode="auto">
        <a:xfrm>
          <a:off x="16783050" y="533400"/>
          <a:ext cx="1905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26</xdr:col>
      <xdr:colOff>0</xdr:colOff>
      <xdr:row>1</xdr:row>
      <xdr:rowOff>342900</xdr:rowOff>
    </xdr:from>
    <xdr:to>
      <xdr:col>26</xdr:col>
      <xdr:colOff>19050</xdr:colOff>
      <xdr:row>1</xdr:row>
      <xdr:rowOff>533400</xdr:rowOff>
    </xdr:to>
    <xdr:sp macro="" textlink="">
      <xdr:nvSpPr>
        <xdr:cNvPr id="1357" name="Text Box 3">
          <a:extLst>
            <a:ext uri="{FF2B5EF4-FFF2-40B4-BE49-F238E27FC236}">
              <a16:creationId xmlns:a16="http://schemas.microsoft.com/office/drawing/2014/main" id="{42A1DD08-70FE-5DAE-0A07-F32009C632D7}"/>
            </a:ext>
          </a:extLst>
        </xdr:cNvPr>
        <xdr:cNvSpPr txBox="1">
          <a:spLocks noChangeArrowheads="1"/>
        </xdr:cNvSpPr>
      </xdr:nvSpPr>
      <xdr:spPr bwMode="auto">
        <a:xfrm>
          <a:off x="18449925" y="533400"/>
          <a:ext cx="1905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25</xdr:col>
      <xdr:colOff>0</xdr:colOff>
      <xdr:row>1</xdr:row>
      <xdr:rowOff>342900</xdr:rowOff>
    </xdr:from>
    <xdr:to>
      <xdr:col>25</xdr:col>
      <xdr:colOff>19050</xdr:colOff>
      <xdr:row>1</xdr:row>
      <xdr:rowOff>533400</xdr:rowOff>
    </xdr:to>
    <xdr:sp macro="" textlink="">
      <xdr:nvSpPr>
        <xdr:cNvPr id="1358" name="Text Box 3">
          <a:extLst>
            <a:ext uri="{FF2B5EF4-FFF2-40B4-BE49-F238E27FC236}">
              <a16:creationId xmlns:a16="http://schemas.microsoft.com/office/drawing/2014/main" id="{B1E1AE0F-A7E5-0C7A-73F0-208F4D775879}"/>
            </a:ext>
          </a:extLst>
        </xdr:cNvPr>
        <xdr:cNvSpPr txBox="1">
          <a:spLocks noChangeArrowheads="1"/>
        </xdr:cNvSpPr>
      </xdr:nvSpPr>
      <xdr:spPr bwMode="auto">
        <a:xfrm>
          <a:off x="18116550" y="533400"/>
          <a:ext cx="1905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27</xdr:col>
      <xdr:colOff>0</xdr:colOff>
      <xdr:row>1</xdr:row>
      <xdr:rowOff>342900</xdr:rowOff>
    </xdr:from>
    <xdr:to>
      <xdr:col>27</xdr:col>
      <xdr:colOff>19050</xdr:colOff>
      <xdr:row>1</xdr:row>
      <xdr:rowOff>533400</xdr:rowOff>
    </xdr:to>
    <xdr:sp macro="" textlink="">
      <xdr:nvSpPr>
        <xdr:cNvPr id="1359" name="Text Box 3">
          <a:extLst>
            <a:ext uri="{FF2B5EF4-FFF2-40B4-BE49-F238E27FC236}">
              <a16:creationId xmlns:a16="http://schemas.microsoft.com/office/drawing/2014/main" id="{E6A88C94-1A73-53CC-C06A-CEA5DFB86660}"/>
            </a:ext>
          </a:extLst>
        </xdr:cNvPr>
        <xdr:cNvSpPr txBox="1">
          <a:spLocks noChangeArrowheads="1"/>
        </xdr:cNvSpPr>
      </xdr:nvSpPr>
      <xdr:spPr bwMode="auto">
        <a:xfrm>
          <a:off x="18783300" y="533400"/>
          <a:ext cx="1905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209550</xdr:colOff>
      <xdr:row>0</xdr:row>
      <xdr:rowOff>161925</xdr:rowOff>
    </xdr:from>
    <xdr:to>
      <xdr:col>5</xdr:col>
      <xdr:colOff>495300</xdr:colOff>
      <xdr:row>2</xdr:row>
      <xdr:rowOff>66675</xdr:rowOff>
    </xdr:to>
    <xdr:pic>
      <xdr:nvPicPr>
        <xdr:cNvPr id="2097" name="Picture 1">
          <a:extLst>
            <a:ext uri="{FF2B5EF4-FFF2-40B4-BE49-F238E27FC236}">
              <a16:creationId xmlns:a16="http://schemas.microsoft.com/office/drawing/2014/main" id="{ADCFFEAB-6980-2DE9-0A02-58C77946961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95525" y="161925"/>
          <a:ext cx="8477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190500</xdr:colOff>
      <xdr:row>0</xdr:row>
      <xdr:rowOff>133350</xdr:rowOff>
    </xdr:from>
    <xdr:to>
      <xdr:col>4</xdr:col>
      <xdr:colOff>352425</xdr:colOff>
      <xdr:row>2</xdr:row>
      <xdr:rowOff>38100</xdr:rowOff>
    </xdr:to>
    <xdr:pic>
      <xdr:nvPicPr>
        <xdr:cNvPr id="4122" name="Picture 1">
          <a:extLst>
            <a:ext uri="{FF2B5EF4-FFF2-40B4-BE49-F238E27FC236}">
              <a16:creationId xmlns:a16="http://schemas.microsoft.com/office/drawing/2014/main" id="{60143C0B-DCC8-AF38-530B-870A2613CCE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0" y="133350"/>
          <a:ext cx="8477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18</xdr:col>
      <xdr:colOff>504824</xdr:colOff>
      <xdr:row>3</xdr:row>
      <xdr:rowOff>47625</xdr:rowOff>
    </xdr:from>
    <xdr:to>
      <xdr:col>18</xdr:col>
      <xdr:colOff>1352549</xdr:colOff>
      <xdr:row>5</xdr:row>
      <xdr:rowOff>16383</xdr:rowOff>
    </xdr:to>
    <xdr:sp macro="[0]!Tao_PDF_ChungChi_HangLoat" textlink="">
      <xdr:nvSpPr>
        <xdr:cNvPr id="2" name="Arrow: Down 1">
          <a:extLst>
            <a:ext uri="{FF2B5EF4-FFF2-40B4-BE49-F238E27FC236}">
              <a16:creationId xmlns:a16="http://schemas.microsoft.com/office/drawing/2014/main" id="{3054CDFB-946F-FA73-27E8-393EA0ADB226}"/>
            </a:ext>
          </a:extLst>
        </xdr:cNvPr>
        <xdr:cNvSpPr/>
      </xdr:nvSpPr>
      <xdr:spPr>
        <a:xfrm>
          <a:off x="13935074" y="790575"/>
          <a:ext cx="847725" cy="978408"/>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thinh\WINDOWS\Desktop\NLNT\Lo%2060\HIEN\TANHUNG\HTTANHU.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My%20Documents\USERS\LOAN\Dau%20thau\DongXuan-%20Phu%20tho\Tram%20DX%20gia%20HD.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Kh_01\c\My%20Documents\hung\NLNT2\Dot3\Dien-%20Nthon.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N:\MGT-DRT\MGT-IMPR\MGT-SC@\BA0397\INSULT'N\INS\ASK\PIPE-03E.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A:\Dung%20Quat\Nhom%20GC\New%20Folder\My%20Documents\3533\99Q\99Q3657\99Q3299(REV.0).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B:\XLS\DT-MAU1.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A:\thinh\DATA\MYDOCU~1\M.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Dt-dt4\thunhi\THUNHI\KIENGIAN\HIEN\TUYHA\MYXUAN.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Lu_thanh_binh\d\Luu_Tru\Ltb_ktkh\DZ220KV_Dau_Noi_sau_tram_500kV_Ha_Tinh\Gia_thau.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A:\thinh\Hao\TToanGDII-WB\Lo60\WINDOWS\Desktop\My%20Documents\My%20Documents\My%20Documents\Hiep\ChongQuaTai\Km4\Km4_TQ_HN%20(new).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Dt-dt4\thunhi\THUNHI\KIENGIAN\KIENGIAN\BACHUC\HTBACHUC.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A:\thinh\DO-HUONG\GT-BO\TKTC10-8\phong%20nen\DT-THL7.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Ms.yen\c\H-YEN\LUU%20XA\DUYET\DZ110K~1.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A:\thinh\Setup\Gia257\GiaOK\95.2ThanhLam_NgheAn.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Kehoach2\c\thao\Thanhhoa\lc.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A:\thinh\WINDOWS\TEMP\M.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A:\thinh\DATA\MYDOCU~1\DGIA.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A:\thinh\Hao\TToanGDII-WB\Lo60\My%20Documents\Km4_TQ_HN%20(moi).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A:\thinh\Hao\TToanGDII-WB\Lo60\GocSau(moi).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Kehoach2\c\thao\Namdinh\Yen%20Dinh%201.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Ban%20ve%20Inhosue/N.Hoang/b2ks11/TTTN-MAY-2/WINDOWS/Desktop/My%20Documents/CV%20thue%20nhap%20khau/My%20Documents/810/810-Lilama5%20sua.zip/My%20Documents/Giang/guicaccongty.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A:\thinh\NEW\DT-MOI\NGHEAN\CUALO\ptkt110cualo.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Dt-dt4\thunhi\THUNHI\KIENGIAN\MSOFFICE\YNHI\TNOC-110.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G:\DATA\COLGATE\BAO%20CAO%20KA\Documents%20and%20Settings\Colgate%20Pamolive\Local%20Settings\Temp\TEMP\COSTBUD.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A:\thinh\WINDOWS\Desktop\NLNT\Lo%2060\XLS\DT-MAU1.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J:\WINDOWS\TEMP\IBASE2.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A:\CS3408\Standard\RPT.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G:\DATA\COLGATE\BAO%20CAO%20KA\TREASURY\COMMON\XLDATA\FX\FX%20HEDGES.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A:\thinh\Hao\TToanGDII-WB\Lo60\My%20Documents\DToan35KV\TramCatT.Yen-B.Xa.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X:\DZ500kV\Tong_ke_DD-G36.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A:\thinh\Hao\TToanGDII-WB\Lo60\WINDOWS\Desktop\My%20Documents\My%20Documents\BKe%20ThToan%20GD1.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A:\thinh\WINDOWS\Desktop\NLNT\Lo%2060\DKHTTTH.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A:\thinh\NEW\DT-MOI\NGHEAN\CUALO\TBA110cu.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May16\c\Pthang\DUTOAN\phong%20nen\DT-THL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NGKE-HT"/>
      <sheetName val="LKVL-CK-HT-GD1"/>
      <sheetName val="giathanh1"/>
    </sheetNames>
    <sheetDataSet>
      <sheetData sheetId="0" refreshError="1"/>
      <sheetData sheetId="1" refreshError="1"/>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xaydung"/>
      <sheetName val="tonghop"/>
      <sheetName val="Tram"/>
      <sheetName val="tn dien"/>
      <sheetName val="Dz35"/>
      <sheetName val="c.phoi BT"/>
      <sheetName val="gia chung"/>
      <sheetName val="VC vtB cap"/>
      <sheetName val="Sheet3"/>
      <sheetName val="VC v.tu A cap"/>
      <sheetName val="XL4Poppy"/>
      <sheetName val="XL4Poppy (2)"/>
      <sheetName val="XL4Poppy (3)"/>
      <sheetName val="Tiepdia"/>
      <sheetName val="LKVL-CK-HT-GD1"/>
    </sheetNames>
    <sheetDataSet>
      <sheetData sheetId="0"/>
      <sheetData sheetId="1">
        <row r="19">
          <cell r="I19">
            <v>0.8653189</v>
          </cell>
          <cell r="J19">
            <v>1</v>
          </cell>
        </row>
        <row r="34">
          <cell r="G34">
            <v>0.96105465000000001</v>
          </cell>
        </row>
        <row r="104">
          <cell r="F104">
            <v>2</v>
          </cell>
          <cell r="G104">
            <v>1.18</v>
          </cell>
          <cell r="H104">
            <v>1.587567</v>
          </cell>
        </row>
      </sheetData>
      <sheetData sheetId="2">
        <row r="3">
          <cell r="I3">
            <v>0.86696210000000007</v>
          </cell>
        </row>
      </sheetData>
      <sheetData sheetId="3"/>
      <sheetData sheetId="4"/>
      <sheetData sheetId="5"/>
      <sheetData sheetId="6"/>
      <sheetData sheetId="7"/>
      <sheetData sheetId="8"/>
      <sheetData sheetId="9"/>
      <sheetData sheetId="10"/>
      <sheetData sheetId="11"/>
      <sheetData sheetId="12"/>
      <sheetData sheetId="13"/>
      <sheetData sheetId="14" refreshError="1"/>
      <sheetData sheetId="1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H"/>
      <sheetName val="59-1"/>
      <sheetName val="59-2"/>
      <sheetName val="124"/>
      <sheetName val="58"/>
      <sheetName val="132-1"/>
      <sheetName val="132-2"/>
      <sheetName val="TH (2)"/>
      <sheetName val="132-1 (2)"/>
      <sheetName val="132-2 (2)"/>
      <sheetName val="149-1"/>
      <sheetName val="149-2"/>
      <sheetName val="28-1"/>
      <sheetName val="28-2"/>
      <sheetName val="40-1"/>
      <sheetName val="40-2"/>
      <sheetName val="TH GD2"/>
      <sheetName val="57"/>
      <sheetName val="36-1"/>
      <sheetName val="36-2"/>
      <sheetName val="36-3"/>
      <sheetName val="Sheet10"/>
      <sheetName val="Sheet11"/>
      <sheetName val="Sheet12"/>
      <sheetName val="Sheet13"/>
      <sheetName val="Sheet14"/>
      <sheetName val="Sheet15"/>
      <sheetName val="Sheet16"/>
      <sheetName val="Sheet17"/>
      <sheetName val="Sheet18"/>
      <sheetName val="Du Toan"/>
      <sheetName val="XL4Popp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133">
          <cell r="C133">
            <v>1.4</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XL4Poppy"/>
      <sheetName val="KLHT"/>
      <sheetName val="THKP"/>
      <sheetName val="KL XL2000"/>
      <sheetName val="KLXL2001"/>
      <sheetName val="THKP2001"/>
      <sheetName val="KLphanbo"/>
      <sheetName val="Chiet tinh"/>
      <sheetName val="Van chuyen"/>
      <sheetName val="THKP (2)"/>
      <sheetName val="T.Bi"/>
      <sheetName val="Thiet ke"/>
      <sheetName val="CT"/>
      <sheetName val="K.luong"/>
      <sheetName val="Sheet4"/>
      <sheetName val="TT L2"/>
      <sheetName val="TT L1"/>
      <sheetName val="Thue Ngoai"/>
      <sheetName val="KH"/>
      <sheetName val="DM"/>
      <sheetName val="DD&amp;TV"/>
      <sheetName val="CDSL"/>
      <sheetName val="PTSL"/>
      <sheetName val="THCP"/>
      <sheetName val="VT"/>
      <sheetName val="NL"/>
      <sheetName val="SoSanh"/>
      <sheetName val="QTVT"/>
      <sheetName val="QTNC"/>
      <sheetName val="Dong Dau"/>
      <sheetName val="Dong Dau (2)"/>
      <sheetName val="Sau dong"/>
      <sheetName val="Ma xa"/>
      <sheetName val="My dinh"/>
      <sheetName val="Tong cong"/>
      <sheetName val="Sheet5"/>
      <sheetName val="Chi tiet - Dv lap"/>
      <sheetName val="TH KHTC"/>
      <sheetName val="000"/>
      <sheetName val="00000000"/>
      <sheetName val="MD"/>
      <sheetName val="ND"/>
      <sheetName val="CONG"/>
      <sheetName val="DGCT"/>
      <sheetName val="PIPE-03E"/>
      <sheetName val="BC_KKTSCD"/>
      <sheetName val="Chitiet"/>
      <sheetName val="Sheet2 (2)"/>
      <sheetName val="Mau_BC_KKTSCD"/>
      <sheetName val="Sheet6"/>
      <sheetName val="Sheet7"/>
      <sheetName val="Sheet8"/>
      <sheetName val="Sheet9"/>
      <sheetName val="Sheet10"/>
      <sheetName val="Sheet11"/>
      <sheetName val="Sheet12"/>
      <sheetName val="LUAN CHUYEN"/>
      <sheetName val="KE QUY"/>
      <sheetName val="CPC"/>
      <sheetName val="LUONGGIAN TIEP"/>
      <sheetName val="CLUONG"/>
      <sheetName val="VAY VON"/>
      <sheetName val="O.THAO"/>
      <sheetName val="Q.TRUNG"/>
      <sheetName val="THUY"/>
      <sheetName val="Y.THANH"/>
      <sheetName val="621"/>
      <sheetName val="333"/>
      <sheetName val="627"/>
      <sheetName val="TTLUONG"/>
      <sheetName val="BCC (2)"/>
      <sheetName val="Bao cao"/>
      <sheetName val="Bao cao 2"/>
      <sheetName val="BC3"/>
      <sheetName val="THKL"/>
      <sheetName val="Khoi luong"/>
      <sheetName val="Khoi luong mat"/>
      <sheetName val="Bang ke"/>
      <sheetName val="KLCL"/>
      <sheetName val="T.HopKL"/>
      <sheetName val="S.Luong"/>
      <sheetName val="PTCP2"/>
      <sheetName val="CPBVTC2"/>
      <sheetName val="D.Dap"/>
      <sheetName val="Q.Toan"/>
      <sheetName val="NCong"/>
      <sheetName val="Phan tich chi phi"/>
      <sheetName val="Chi phi nen theo BVTC"/>
      <sheetName val="CPTBVTC3"/>
      <sheetName val="nhan cong phu"/>
      <sheetName val="nhan cong Hung"/>
      <sheetName val="Nhan cong"/>
      <sheetName val="CCD2"/>
      <sheetName val="BCC"/>
      <sheetName val="Doi2"/>
      <sheetName val="Khoi luong nen theo BVTC"/>
      <sheetName val="Gia VL"/>
      <sheetName val="Bang gia ca may"/>
      <sheetName val="Bang luong CB"/>
      <sheetName val="Bang P.tich CT"/>
      <sheetName val="D.toan chi tiet"/>
      <sheetName val="Bang TH Dtoan"/>
      <sheetName val="XXXXXXXX"/>
      <sheetName val="26+180-400.2"/>
      <sheetName val="26+180.Sub1"/>
      <sheetName val="26+180.Sub4"/>
      <sheetName val="26+180-400.5(k95)"/>
      <sheetName val="26+400-620.3(k95)"/>
      <sheetName val="26+400-640.1(k95)"/>
      <sheetName val="26+960-27+150.9"/>
      <sheetName val="26+960-27+150.10"/>
      <sheetName val="26+960-27+150.11"/>
      <sheetName val="26+960-27+150.12"/>
      <sheetName val="26+960-27+150.5(k95)"/>
      <sheetName val="26+960-27+150.4(k95)"/>
      <sheetName val="26+960-27+150.1(k95)"/>
      <sheetName val="27+500-700.5(k95)"/>
      <sheetName val="27+500-700.4(k95)"/>
      <sheetName val="27+500-700.3(k95)"/>
      <sheetName val="27+500-700.1(k95)"/>
      <sheetName val="27+740-920.3(k95)"/>
      <sheetName val="27+740-920.21"/>
      <sheetName val="27+920-28+040.6,7"/>
      <sheetName val="27+920-28+040,8,9"/>
      <sheetName val="27+920-28+040.10"/>
      <sheetName val="27+920-28+040,11"/>
      <sheetName val="27+920-28+160.Su3"/>
      <sheetName val="28+160-28+420,17Top"/>
      <sheetName val="28+160-28+420.5K95"/>
      <sheetName val="28+430-657.7"/>
      <sheetName val="Km28+430-657.8"/>
      <sheetName val="28+430-657.9"/>
      <sheetName val="28+430-667.10"/>
      <sheetName val="28+430-657.11"/>
      <sheetName val="28+430-657.4k95"/>
      <sheetName val="28+500-657.18"/>
      <sheetName val="28+520-657.19"/>
      <sheetName val="Chart2"/>
      <sheetName val="Chart1"/>
      <sheetName val="1"/>
      <sheetName val="Interim payment"/>
      <sheetName val="Letter"/>
      <sheetName val="Bid Sum"/>
      <sheetName val="Item B"/>
      <sheetName val="Dg A"/>
      <sheetName val="Dg B&amp;C"/>
      <sheetName val="Rates&amp;Prices"/>
      <sheetName val="Material at site"/>
      <sheetName val="be tong"/>
      <sheetName val="Thep"/>
      <sheetName val="Tong hop thep"/>
      <sheetName val="KH 2003 (moi max)"/>
      <sheetName val="PTCT"/>
      <sheetName val="CDghino"/>
      <sheetName val="Tonghop"/>
      <sheetName val="TH (T1-6)"/>
      <sheetName val="ThueTB"/>
      <sheetName val="SCD5"/>
      <sheetName val=" NL"/>
      <sheetName val="CPVL-CPM"/>
      <sheetName val="PTVL"/>
      <sheetName val="TH"/>
      <sheetName val="CD1"/>
      <sheetName val=" NL (2)"/>
      <sheetName val="CDTHCT"/>
      <sheetName val="CDTHCT (3)"/>
      <sheetName val="CHIT"/>
      <sheetName val="THXH"/>
      <sheetName val="BHXH"/>
      <sheetName val="VL"/>
      <sheetName val="CTXD"/>
      <sheetName val=".."/>
      <sheetName val="CTDN"/>
      <sheetName val="san vuon"/>
      <sheetName val="khu phu tro"/>
      <sheetName val="tscd"/>
      <sheetName val="KM"/>
      <sheetName val="KHOANMUC"/>
      <sheetName val="CPQL"/>
      <sheetName val="SANLUONG"/>
      <sheetName val="SSCP-SL"/>
      <sheetName val="CPSX"/>
      <sheetName val="KQKD"/>
      <sheetName val="CDSL (2)"/>
      <sheetName val="Bang VL"/>
      <sheetName val="VL(No V-c)"/>
      <sheetName val="He so"/>
      <sheetName val="PL Vua"/>
      <sheetName val="Chitieu-dam cac loai"/>
      <sheetName val="DG Dam"/>
      <sheetName val="DG chung"/>
      <sheetName val="DGdg"/>
      <sheetName val="VL-dac chung"/>
      <sheetName val="CocKN1m"/>
      <sheetName val="Coc40x40cm"/>
      <sheetName val="CT 1md &amp; dau cong"/>
      <sheetName val="Tong hop"/>
      <sheetName val="CT cong"/>
      <sheetName val="dg cong"/>
      <sheetName val="KH12"/>
      <sheetName val="CN12"/>
      <sheetName val="HD12"/>
      <sheetName val="KH1"/>
      <sheetName val="116(300)"/>
      <sheetName val="116(200)"/>
      <sheetName val="116(150)"/>
      <sheetName val="372+132-181"/>
      <sheetName val="372+00-025-T"/>
      <sheetName val="371+920-1000-T"/>
      <sheetName val="371-340-386"/>
      <sheetName val="371+036-175"/>
      <sheetName val="371+920-1000-P"/>
      <sheetName val="371+650-800"/>
      <sheetName val="371+340-386"/>
      <sheetName val="371+00-150"/>
      <sheetName val="370+625-720"/>
      <sheetName val="370+402-550"/>
      <sheetName val="370+227-300"/>
      <sheetName val="370+00-10"/>
      <sheetName val="370+933-1000"/>
      <sheetName val="370+421-550"/>
      <sheetName val="370+246-280"/>
      <sheetName val="370+135-160"/>
      <sheetName val="369+700-730"/>
      <sheetName val="369+592-700"/>
      <sheetName val="369+400-542"/>
      <sheetName val="369+940-008"/>
      <sheetName val="369+800-908"/>
      <sheetName val="369+606-722"/>
      <sheetName val="369+411-526"/>
      <sheetName val="368+517-580"/>
      <sheetName val="368+822-900"/>
      <sheetName val="368+530-687"/>
      <sheetName val="368+00-25"/>
      <sheetName val="369+"/>
      <sheetName val="AC PC"/>
      <sheetName val="LT"/>
      <sheetName val="LP"/>
      <sheetName val="Dao-P"/>
      <sheetName val="AC66-436"/>
      <sheetName val="Dao-T"/>
      <sheetName val="tong hop thanh toan thue"/>
      <sheetName val="bang ke nop thue"/>
      <sheetName val="Tonh hop chi phi"/>
      <sheetName val="BK chi phi"/>
      <sheetName val="KTra DS va thue GTGT"/>
      <sheetName val="Kiãøm tra DS thue GTGT"/>
      <sheetName val="XUAT(gia von)"/>
      <sheetName val="nhap"/>
      <sheetName val="Xuat (gia ban)"/>
      <sheetName val="Dchinh TH N-X-T"/>
      <sheetName val="Tong hop N-X-T"/>
      <sheetName val="thue TH"/>
      <sheetName val="tong hop 2001"/>
      <sheetName val="qUYET TOAN THUE"/>
      <sheetName val="N-X-T=L"/>
      <sheetName val="Thep "/>
      <sheetName val="Chi tiet Khoi luong"/>
      <sheetName val="TH khoi luong"/>
      <sheetName val="Chiet tinh vat lieu "/>
      <sheetName val="TH KL VL"/>
      <sheetName val="Thuyet minh"/>
      <sheetName val="CQ-HQ"/>
      <sheetName val="Km0-Km1"/>
      <sheetName val="Km1-Km2"/>
      <sheetName val="BU CTPH"/>
      <sheetName val="CTPH"/>
      <sheetName val="BU tran3+360.22"/>
      <sheetName val="Tran3+360.22"/>
      <sheetName val="BU tran2+386.4"/>
      <sheetName val="Tran2+386.4"/>
      <sheetName val="Bu4-5"/>
      <sheetName val="DTcong 4-5"/>
      <sheetName val="BU3-4"/>
      <sheetName val="dtcong3-4"/>
      <sheetName val="bu2-3"/>
      <sheetName val="dtcong2-3"/>
      <sheetName val="Bu 1-2"/>
      <sheetName val="dtcong1-2"/>
      <sheetName val="bu0-1"/>
      <sheetName val="dtcong0-1"/>
      <sheetName val="KLc1"/>
      <sheetName val="klcong"/>
      <sheetName val="Bu 12-13"/>
      <sheetName val="DTcong 12-13"/>
      <sheetName val="BU13-13+"/>
      <sheetName val="DT cong13-13+"/>
      <sheetName val="BU- nhanh"/>
      <sheetName val="Bunh1-2"/>
      <sheetName val="dtcong nh1-2"/>
      <sheetName val="BUnh0-1"/>
      <sheetName val="dtcong nh0-1"/>
      <sheetName val="BU5-6"/>
      <sheetName val="DTcong5-6"/>
      <sheetName val="BU6-7"/>
      <sheetName val="DTcong6-7"/>
      <sheetName val="BU7-8"/>
      <sheetName val="DTcong7-8"/>
      <sheetName val="BU8-9"/>
      <sheetName val="DTcong8-9"/>
      <sheetName val="BU9-10"/>
      <sheetName val="DTcong9-10"/>
      <sheetName val="BU10-11"/>
      <sheetName val="DTcong10-11"/>
      <sheetName val="BU 11-12"/>
      <sheetName val="DTcong 11-12"/>
      <sheetName val="Mnh1-2+80"/>
      <sheetName val="Pr- CC"/>
      <sheetName val="Nnh1-2+80"/>
      <sheetName val="Mnh0-1"/>
      <sheetName val="Nnh0-1"/>
      <sheetName val="MD13-13+334"/>
      <sheetName val="ND13-13+334"/>
      <sheetName val="BU-TK"/>
      <sheetName val="MD12-13"/>
      <sheetName val="ND12-13"/>
      <sheetName val="MD11-12"/>
      <sheetName val="ND11-12"/>
      <sheetName val="MD10-11"/>
      <sheetName val="ND10-11"/>
      <sheetName val="MD9-10"/>
      <sheetName val="ND9-10"/>
      <sheetName val="MD8-9"/>
      <sheetName val="ND8-9"/>
      <sheetName val="MD7-8"/>
      <sheetName val="ND7-8"/>
      <sheetName val="MD6-7"/>
      <sheetName val="ND6-7"/>
      <sheetName val="MD5-6"/>
      <sheetName val="ND5-6"/>
      <sheetName val="MD4-5"/>
      <sheetName val="ND4-5"/>
      <sheetName val="MD 3-4"/>
      <sheetName val="ND 3-4"/>
      <sheetName val="MD2-3"/>
      <sheetName val="ND2-3"/>
      <sheetName val="MD 1-2"/>
      <sheetName val="ND 1-2"/>
      <sheetName val="MD 0-1"/>
      <sheetName val="ND 0-1"/>
      <sheetName val="km11-12"/>
      <sheetName val="km10-11"/>
      <sheetName val="KLN"/>
      <sheetName val="KL tong"/>
      <sheetName val="CT Duong"/>
      <sheetName val="Bia"/>
      <sheetName val="D.gia"/>
      <sheetName val="T.hop"/>
      <sheetName val="Khoan"/>
      <sheetName val="CtP.tro"/>
      <sheetName val="Nha moi"/>
      <sheetName val="NamBanThach"/>
      <sheetName val="KhoanDuong"/>
      <sheetName val="DeNghiDuong"/>
      <sheetName val="TT-BDH-B1"/>
      <sheetName val="TT-T.Tron So 2"/>
      <sheetName val="TT-Doi6-Dot-1"/>
      <sheetName val="ChietTinh"/>
      <sheetName val="Ct.Dam "/>
      <sheetName val="Ct.Duoi"/>
      <sheetName val="Ct.Tren"/>
      <sheetName val="CtVKdam"/>
      <sheetName val="asphal"/>
      <sheetName val="Gvua"/>
      <sheetName val="D.giaMay"/>
      <sheetName val="10000000"/>
      <sheetName val="DTHH"/>
      <sheetName val="Bang1"/>
      <sheetName val="TAI TRONG"/>
      <sheetName val="NOI LUC"/>
      <sheetName val="TINH DUYET THTT CHINH"/>
      <sheetName val="TDUYET THTT PHU"/>
      <sheetName val="TINH DAO DONG VA DO VONG"/>
      <sheetName val="TINH NEO"/>
      <sheetName val="thkl (2)"/>
      <sheetName val="kht8"/>
      <sheetName val="long tec"/>
      <sheetName val="nlongt"/>
      <sheetName val="tuanb"/>
      <sheetName val="ntuanb"/>
      <sheetName val="nbinh"/>
      <sheetName val="nque"/>
      <sheetName val="ntien"/>
      <sheetName val="ntuanH"/>
      <sheetName val="nmuoi"/>
      <sheetName val="nnghia"/>
      <sheetName val="ntuanM"/>
      <sheetName val="nthi"/>
      <sheetName val="nchung"/>
      <sheetName val="nanh"/>
      <sheetName val="nthang"/>
      <sheetName val="nnguyen"/>
      <sheetName val="ntuc"/>
      <sheetName val="nngan"/>
      <sheetName val="nloi"/>
      <sheetName val="nphuock"/>
      <sheetName val="nphuoch"/>
      <sheetName val="nsonpd"/>
      <sheetName val="nphuock04"/>
      <sheetName val="nphuoch04"/>
      <sheetName val="nphuocpd04"/>
      <sheetName val="nphuocd04"/>
      <sheetName val="nphuoctr04"/>
      <sheetName val="nphuocb04"/>
      <sheetName val="phong"/>
      <sheetName val="Phu luc"/>
      <sheetName val="Gia trÞ"/>
      <sheetName val="Quang Tri"/>
      <sheetName val="TTHue"/>
      <sheetName val="Da Nang"/>
      <sheetName val="Quang Nam"/>
      <sheetName val="Quang Ngai"/>
      <sheetName val="TH DH-QN"/>
      <sheetName val="KP HD"/>
      <sheetName val="DB HD"/>
      <sheetName val="K249 K98"/>
      <sheetName val="K249 K98 (2)"/>
      <sheetName val="K251 K98"/>
      <sheetName val="K251 SBase"/>
      <sheetName val="K251 AC"/>
      <sheetName val="K252 K98"/>
      <sheetName val="K252 SBase"/>
      <sheetName val="K252 AC"/>
      <sheetName val="K253"/>
      <sheetName val="K253 K98"/>
      <sheetName val="K253 Subbase"/>
      <sheetName val="K253 Base "/>
      <sheetName val="K253 SBase"/>
      <sheetName val="K253 AC"/>
      <sheetName val="K255"/>
      <sheetName val="K255 SBase"/>
      <sheetName val="K259"/>
      <sheetName val="K259 K98"/>
      <sheetName val="K259 Subbase"/>
      <sheetName val="K259 Base "/>
      <sheetName val="K259 AC"/>
      <sheetName val="K260"/>
      <sheetName val="K260 K98"/>
      <sheetName val="K260 Subbase"/>
      <sheetName val="K260 Base"/>
      <sheetName val="K260 AC"/>
      <sheetName val="K261"/>
      <sheetName val="K261 K98"/>
      <sheetName val="K261 Base"/>
      <sheetName val="K261 AC"/>
      <sheetName val="Congty"/>
      <sheetName val="VPPN"/>
      <sheetName val="XN74"/>
      <sheetName val="XN54"/>
      <sheetName val="XN33"/>
      <sheetName val="NK96"/>
      <sheetName val="XL4Test5"/>
      <sheetName val="THCT"/>
      <sheetName val="cap cho cac DT"/>
      <sheetName val="Ung - hoan"/>
      <sheetName val="CP may"/>
      <sheetName val="SS"/>
      <sheetName val="NVL"/>
      <sheetName val="dutoan1"/>
      <sheetName val="Anhtoan"/>
      <sheetName val="dutoan2"/>
      <sheetName val="vat tu"/>
      <sheetName val="Sheet17"/>
      <sheetName val="DS them luong qui 4-2002"/>
      <sheetName val="Phuc loi 2-9-02"/>
      <sheetName val="PCLB-2002"/>
      <sheetName val="Thuong nhan dip 21-12-02"/>
      <sheetName val="Thuong dip nhan danh hieu AHL§"/>
      <sheetName val="Thang luong thu 13 nam 2002"/>
      <sheetName val="Luong SX# dip Tet Qui Mui(dong)"/>
      <sheetName val="Sheet13"/>
      <sheetName val="Sheet14"/>
      <sheetName val="Sheet15"/>
      <sheetName val="Sheet16"/>
      <sheetName val="cd viaK0-T6"/>
      <sheetName val="cdvia T6-Tc24"/>
      <sheetName val="cdvia Tc24-T46"/>
      <sheetName val="cdbtnL2ko-k0+361"/>
      <sheetName val="cd btnL2k0+361-T19"/>
      <sheetName val="01"/>
      <sheetName val="02"/>
      <sheetName val="03"/>
      <sheetName val="04"/>
      <sheetName val="05"/>
      <sheetName val="Sheet18"/>
      <sheetName val="Sheet19"/>
      <sheetName val="Sheet20"/>
      <sheetName val="00000001"/>
      <sheetName val="00000002"/>
      <sheetName val="00000003"/>
      <sheetName val="00000004"/>
      <sheetName val="phan tich DG"/>
      <sheetName val="gia vat lieu"/>
      <sheetName val="gia xe may"/>
      <sheetName val="gia nhan cong"/>
      <sheetName val="cong bien t10"/>
      <sheetName val="luong t9 "/>
      <sheetName val="bb t9"/>
      <sheetName val="XETT10-03"/>
      <sheetName val="bxet"/>
      <sheetName val="C.TIEU"/>
      <sheetName val="CPNLTT"/>
      <sheetName val="T.Luong"/>
      <sheetName val="NCTT"/>
      <sheetName val="QLDN"/>
      <sheetName val="641"/>
      <sheetName val="642"/>
      <sheetName val="T.HAO"/>
      <sheetName val="DT TUYEN"/>
      <sheetName val="DT GIA"/>
      <sheetName val="KHDT"/>
      <sheetName val="KHDT (2)"/>
      <sheetName val="SX-TT"/>
      <sheetName val="CL "/>
      <sheetName val="VTu"/>
      <sheetName val="LDTL"/>
      <sheetName val="KHao"/>
      <sheetName val="LNKD"/>
      <sheetName val="SK"/>
      <sheetName val="TNo"/>
      <sheetName val="CTTH"/>
      <sheetName val="VON"/>
      <sheetName val="VLD"/>
      <sheetName val="KQ (2)"/>
      <sheetName val=""/>
      <sheetName val="Xep hang 201"/>
      <sheetName val="toan Cty"/>
      <sheetName val="Cong ty"/>
      <sheetName val="XN 2"/>
      <sheetName val="XN ong CHi"/>
      <sheetName val="N XDCT&amp; XKLD"/>
      <sheetName val="CN HCM"/>
      <sheetName val="HITECO"/>
      <sheetName val="TT XKLD(Nhan)"/>
      <sheetName val="Ong Hong"/>
      <sheetName val="CN hung yen"/>
      <sheetName val="Dong nai"/>
      <sheetName val="LUU1704"/>
      <sheetName val="tc"/>
      <sheetName val="TDT"/>
      <sheetName val="xl"/>
      <sheetName val="NN"/>
      <sheetName val="Tralaivay"/>
      <sheetName val="TBTN"/>
      <sheetName val="CPTV"/>
      <sheetName val="PCCHAY"/>
      <sheetName val="dtks"/>
      <sheetName val="DT"/>
      <sheetName val="THND"/>
      <sheetName val="THMD"/>
      <sheetName val="Phtro1"/>
      <sheetName val="DTKS1"/>
      <sheetName val="CT1m"/>
      <sheetName val="KL Tram Cty"/>
      <sheetName val="Gam may Cty"/>
      <sheetName val="KL tram KH"/>
      <sheetName val="Gam may KH"/>
      <sheetName val="Cach dien"/>
      <sheetName val="Mang tai"/>
      <sheetName val="KL DDK"/>
      <sheetName val="Mang tai DDK"/>
      <sheetName val="KL DDK0,4"/>
      <sheetName val="TT Ky thuat"/>
      <sheetName val="CT moi"/>
      <sheetName val="Tu dien"/>
      <sheetName val="May cat"/>
      <sheetName val="Dao Cly"/>
      <sheetName val="Dao Ptai"/>
      <sheetName val="Tu RMU"/>
      <sheetName val="C.set"/>
      <sheetName val="SI"/>
      <sheetName val="Sco Cap"/>
      <sheetName val="Sco TB"/>
      <sheetName val="TN tram"/>
      <sheetName val="TN C.set"/>
      <sheetName val="TN TD DDay"/>
      <sheetName val="Phan chung"/>
      <sheetName val="cong Q2"/>
      <sheetName val="T.U luong Q1"/>
      <sheetName val="T.U luong Q2"/>
      <sheetName val="T.U luong Q3"/>
      <sheetName val="CDTHU CHI T1"/>
      <sheetName val="THUCHI 2"/>
      <sheetName val="THU CHI3"/>
      <sheetName val="THU CHI 4"/>
      <sheetName val="THU CHI5"/>
      <sheetName val="THU CHI 6"/>
      <sheetName val="TU CHI 7"/>
      <sheetName val="THU CHI9"/>
      <sheetName val="THU CHI 8"/>
      <sheetName val="THU CHI 10"/>
      <sheetName val="THU CHI 11"/>
      <sheetName val="THU CHI 12"/>
      <sheetName val="Quyet toan"/>
      <sheetName val="Thu hoi"/>
      <sheetName val="Lai vay"/>
      <sheetName val="Tien vay"/>
      <sheetName val="Cong no"/>
      <sheetName val="Cop pha"/>
      <sheetName val="20000000"/>
      <sheetName val="TM"/>
      <sheetName val="BU-gian"/>
      <sheetName val="Bu-Ha"/>
      <sheetName val="PTVT"/>
      <sheetName val="Gia DAN"/>
      <sheetName val="Dan"/>
      <sheetName val="Cuoc"/>
      <sheetName val="Bugia"/>
      <sheetName val="KL57"/>
      <sheetName val="Phu luc HD"/>
      <sheetName val="Gia du thau"/>
      <sheetName val="PTDG"/>
      <sheetName val="Ca xe"/>
      <sheetName val="CT xa"/>
      <sheetName val="TLGC"/>
      <sheetName val="BL"/>
      <sheetName val="Dc Dau"/>
      <sheetName val=" o to Hien 8"/>
      <sheetName val=" o to Hien9"/>
      <sheetName val=" o to Hien10"/>
      <sheetName val=" o to Hien11"/>
      <sheetName val=" o to Hien12)"/>
      <sheetName val=" o to Hien1"/>
      <sheetName val=" o to Hien2"/>
      <sheetName val=" o to Hien3"/>
      <sheetName val=" o to Hien4"/>
      <sheetName val=" o to Hien5"/>
      <sheetName val=" o to Phong 8"/>
      <sheetName val=" o to Phong9"/>
      <sheetName val=" o to Phong10"/>
      <sheetName val=" o to Phong11"/>
      <sheetName val=" o to Phong12)"/>
      <sheetName val=" o to Phong1"/>
      <sheetName val=" o to Phong2"/>
      <sheetName val=" o to Phong3"/>
      <sheetName val=" o to Phong4"/>
      <sheetName val=" o to Phong5"/>
      <sheetName val=" o to Dung 8 "/>
      <sheetName val=" D tt dau8"/>
      <sheetName val=" o to Dung 9"/>
      <sheetName val=" D9 tt dau"/>
      <sheetName val=" D10 tt dau"/>
      <sheetName val=" o to Dung 10"/>
      <sheetName val=" o to Dung 11"/>
      <sheetName val=" o to Dung 12)"/>
      <sheetName val=" o to Dung 1"/>
      <sheetName val=" o to Dung2"/>
      <sheetName val=" o to Dung3"/>
      <sheetName val=" o to Dung4"/>
      <sheetName val=" o totrongT10-12"/>
      <sheetName val=" o totrongT2"/>
      <sheetName val=" o totrungT10-12"/>
      <sheetName val=" o toMinhT10-12 "/>
      <sheetName val=" o toMinhT2"/>
      <sheetName val=" o toTrieuT10-12  "/>
      <sheetName val="Luong 8 SP"/>
      <sheetName val="Luong 9 SP "/>
      <sheetName val="Luong 10 SP "/>
      <sheetName val="Luong 11 SP "/>
      <sheetName val="Luong 12 SP"/>
      <sheetName val="Luong 1 SP1"/>
      <sheetName val="Luong 2 SP2"/>
      <sheetName val="Luong 3 SP3"/>
      <sheetName val="Luong 4 SP4"/>
      <sheetName val="Luong 4 SP5"/>
      <sheetName val="BTTTLT8"/>
      <sheetName val="BTTTLT9"/>
      <sheetName val="BTTTLT10"/>
      <sheetName val="BTTTLT11"/>
      <sheetName val="BTTTLT12"/>
      <sheetName val="BTTTLT1"/>
      <sheetName val="BTTTLT2"/>
      <sheetName val="BTTTLT3"/>
      <sheetName val="BTTTLT4"/>
      <sheetName val="BTTTLT5"/>
      <sheetName val="KL VL"/>
      <sheetName val="KHCTiet"/>
      <sheetName val="QT 9-6"/>
      <sheetName val="Thuong luu HB"/>
      <sheetName val="QT03"/>
      <sheetName val="QT"/>
      <sheetName val="PTmay"/>
      <sheetName val="KK"/>
      <sheetName val="QT Ky T"/>
      <sheetName val="BCKT"/>
      <sheetName val="bc vt TON BAI"/>
      <sheetName val="XXXXXXX0"/>
      <sheetName val="Q1-02"/>
      <sheetName val="Q2-02"/>
      <sheetName val="Q3-02"/>
      <sheetName val="9"/>
      <sheetName val="10"/>
      <sheetName val="THDGK"/>
      <sheetName val="THDGTT"/>
      <sheetName val="Cong hop"/>
      <sheetName val="nt+dd+cl"/>
      <sheetName val="kc+conlaiql"/>
      <sheetName val="kc+clai(107)"/>
      <sheetName val="duong(107)"/>
      <sheetName val="qui1"/>
      <sheetName val="1,3-30,4"/>
      <sheetName val="kldukien"/>
      <sheetName val="kldukien (107)"/>
      <sheetName val="thang4"/>
      <sheetName val="qui1 (2)"/>
      <sheetName val="Ke"/>
      <sheetName val="KLTong hop"/>
      <sheetName val="Lan can"/>
      <sheetName val="Ranh doc (2)"/>
      <sheetName val="Ranh doc"/>
      <sheetName val="Coc tieu"/>
      <sheetName val="Bien bao"/>
      <sheetName val="Nan tuyen"/>
      <sheetName val="Lan 1"/>
      <sheetName val="Lan  2"/>
    </sheetNames>
    <definedNames>
      <definedName name="DataFilter"/>
      <definedName name="DataSort"/>
      <definedName name="GoBack" sheetId="4"/>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refreshError="1"/>
      <sheetData sheetId="141" refreshError="1"/>
      <sheetData sheetId="142" refreshError="1"/>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refreshError="1"/>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refreshError="1"/>
      <sheetData sheetId="613" refreshError="1"/>
      <sheetData sheetId="614" refreshError="1"/>
      <sheetData sheetId="615" refreshError="1"/>
      <sheetData sheetId="616" refreshError="1"/>
      <sheetData sheetId="617" refreshError="1"/>
      <sheetData sheetId="618" refreshError="1"/>
      <sheetData sheetId="619" refreshError="1"/>
      <sheetData sheetId="620" refreshError="1"/>
      <sheetData sheetId="621" refreshError="1"/>
      <sheetData sheetId="622" refreshError="1"/>
      <sheetData sheetId="623" refreshError="1"/>
      <sheetData sheetId="624" refreshError="1"/>
      <sheetData sheetId="625" refreshError="1"/>
      <sheetData sheetId="626" refreshError="1"/>
      <sheetData sheetId="627" refreshError="1"/>
      <sheetData sheetId="628" refreshError="1"/>
      <sheetData sheetId="629" refreshError="1"/>
      <sheetData sheetId="630" refreshError="1"/>
      <sheetData sheetId="631" refreshError="1"/>
      <sheetData sheetId="632" refreshError="1"/>
      <sheetData sheetId="633" refreshError="1"/>
      <sheetData sheetId="634" refreshError="1"/>
      <sheetData sheetId="635" refreshError="1"/>
      <sheetData sheetId="636" refreshError="1"/>
      <sheetData sheetId="637" refreshError="1"/>
      <sheetData sheetId="638" refreshError="1"/>
      <sheetData sheetId="639" refreshError="1"/>
      <sheetData sheetId="640" refreshError="1"/>
      <sheetData sheetId="641" refreshError="1"/>
      <sheetData sheetId="642" refreshError="1"/>
      <sheetData sheetId="643" refreshError="1"/>
      <sheetData sheetId="644" refreshError="1"/>
      <sheetData sheetId="645" refreshError="1"/>
      <sheetData sheetId="646" refreshError="1"/>
      <sheetData sheetId="647" refreshError="1"/>
      <sheetData sheetId="648" refreshError="1"/>
      <sheetData sheetId="649" refreshError="1"/>
      <sheetData sheetId="650" refreshError="1"/>
      <sheetData sheetId="651" refreshError="1"/>
      <sheetData sheetId="652" refreshError="1"/>
      <sheetData sheetId="653" refreshError="1"/>
      <sheetData sheetId="654" refreshError="1"/>
      <sheetData sheetId="655" refreshError="1"/>
      <sheetData sheetId="656" refreshError="1"/>
      <sheetData sheetId="657" refreshError="1"/>
      <sheetData sheetId="658" refreshError="1"/>
      <sheetData sheetId="659" refreshError="1"/>
      <sheetData sheetId="660" refreshError="1"/>
      <sheetData sheetId="661" refreshError="1"/>
      <sheetData sheetId="662" refreshError="1"/>
      <sheetData sheetId="663" refreshError="1"/>
      <sheetData sheetId="664" refreshError="1"/>
      <sheetData sheetId="665" refreshError="1"/>
      <sheetData sheetId="666" refreshError="1"/>
      <sheetData sheetId="667" refreshError="1"/>
      <sheetData sheetId="668" refreshError="1"/>
      <sheetData sheetId="669" refreshError="1"/>
      <sheetData sheetId="670" refreshError="1"/>
      <sheetData sheetId="671" refreshError="1"/>
      <sheetData sheetId="672" refreshError="1"/>
      <sheetData sheetId="673" refreshError="1"/>
      <sheetData sheetId="674" refreshError="1"/>
      <sheetData sheetId="675" refreshError="1"/>
      <sheetData sheetId="676" refreshError="1"/>
      <sheetData sheetId="677" refreshError="1"/>
      <sheetData sheetId="678" refreshError="1"/>
      <sheetData sheetId="679" refreshError="1"/>
      <sheetData sheetId="680" refreshError="1"/>
      <sheetData sheetId="681" refreshError="1"/>
      <sheetData sheetId="682" refreshError="1"/>
      <sheetData sheetId="683" refreshError="1"/>
      <sheetData sheetId="684" refreshError="1"/>
      <sheetData sheetId="685" refreshError="1"/>
      <sheetData sheetId="686" refreshError="1"/>
      <sheetData sheetId="687" refreshError="1"/>
      <sheetData sheetId="688" refreshError="1"/>
      <sheetData sheetId="689" refreshError="1"/>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BLE"/>
      <sheetName val="MTO REV.0"/>
      <sheetName val="VENDOR-QUOTES"/>
      <sheetName val="SUM REV.0"/>
      <sheetName val="SUM-BQ"/>
      <sheetName val="BUILDING ELE."/>
      <sheetName val="PAINTING"/>
      <sheetName val="CATHODIC PROTECTION"/>
      <sheetName val="PAGE-PARTY"/>
      <sheetName val="CCTV"/>
      <sheetName val="WEATHER PROOF LTG. &amp; ROD LTG."/>
      <sheetName val="PVC CONDUIT"/>
      <sheetName val="BOX"/>
      <sheetName val="CABLE TRAY"/>
      <sheetName val="TERMINAL KIT"/>
      <sheetName val="EXP-PROOF EQUIPMENT"/>
      <sheetName val="COVE-PAGE"/>
      <sheetName val="NEW-PANEL"/>
      <sheetName val="TT-35KV+TBA"/>
    </sheetNames>
    <sheetDataSet>
      <sheetData sheetId="0" refreshError="1"/>
      <sheetData sheetId="1" refreshError="1">
        <row r="1">
          <cell r="A1" t="str">
            <v>PRICE BREAKDOWN FOR ELECTRICAL INSTALLATION WORK</v>
          </cell>
          <cell r="G1">
            <v>0</v>
          </cell>
          <cell r="K1">
            <v>0</v>
          </cell>
        </row>
        <row r="2">
          <cell r="B2" t="str">
            <v>東鼎  LNG TERMINAL</v>
          </cell>
          <cell r="G2">
            <v>0</v>
          </cell>
          <cell r="I2" t="str">
            <v>CTCI Q. NO. : 99Q3299</v>
          </cell>
          <cell r="P2" t="str">
            <v>CTCI Q. NO. : 99Q3299</v>
          </cell>
        </row>
        <row r="3">
          <cell r="B3" t="str">
            <v>LOCATION: 桃園 觀塘工業區</v>
          </cell>
        </row>
        <row r="5">
          <cell r="E5" t="str">
            <v xml:space="preserve">                  TO SITE</v>
          </cell>
          <cell r="G5" t="str">
            <v xml:space="preserve">                  TO SITE</v>
          </cell>
          <cell r="K5" t="str">
            <v xml:space="preserve">                  TO SITE</v>
          </cell>
          <cell r="M5" t="str">
            <v xml:space="preserve">                  TO SITE</v>
          </cell>
        </row>
        <row r="6">
          <cell r="E6" t="str">
            <v xml:space="preserve"> ON SHORE MAT'L (NET) NT$</v>
          </cell>
          <cell r="G6" t="str">
            <v xml:space="preserve"> OFF SHORE MAT'L (NET) US$</v>
          </cell>
          <cell r="I6" t="str">
            <v xml:space="preserve">          LABOR MH (NET) </v>
          </cell>
          <cell r="K6" t="str">
            <v xml:space="preserve">     ON SHORE MAT'L NT$</v>
          </cell>
          <cell r="M6" t="str">
            <v xml:space="preserve">   OFF SHORE MAT'L US$</v>
          </cell>
          <cell r="O6" t="str">
            <v xml:space="preserve">        LABOR PRICE NT$</v>
          </cell>
          <cell r="Q6" t="str">
            <v>REMARK</v>
          </cell>
        </row>
        <row r="7">
          <cell r="A7" t="str">
            <v>NO.</v>
          </cell>
          <cell r="B7" t="str">
            <v>DESCRIPTION</v>
          </cell>
          <cell r="C7" t="str">
            <v>Q'TY</v>
          </cell>
          <cell r="D7" t="str">
            <v>UNIT</v>
          </cell>
          <cell r="E7" t="str">
            <v>U/P</v>
          </cell>
          <cell r="F7" t="str">
            <v>TOTAL</v>
          </cell>
          <cell r="G7" t="str">
            <v>U/P</v>
          </cell>
          <cell r="H7" t="str">
            <v>TOTAL</v>
          </cell>
          <cell r="I7" t="str">
            <v>U/P</v>
          </cell>
          <cell r="J7" t="str">
            <v>TOTAL</v>
          </cell>
          <cell r="K7" t="str">
            <v>U/P</v>
          </cell>
          <cell r="L7" t="str">
            <v>TOTAL</v>
          </cell>
          <cell r="M7" t="str">
            <v>U/P</v>
          </cell>
          <cell r="N7" t="str">
            <v>TOTAL</v>
          </cell>
          <cell r="O7" t="str">
            <v>U/P</v>
          </cell>
          <cell r="P7" t="str">
            <v>TOTAL</v>
          </cell>
        </row>
        <row r="9">
          <cell r="A9" t="str">
            <v>ALT-1</v>
          </cell>
          <cell r="B9" t="str">
            <v xml:space="preserve">         PRICE SUMMARY</v>
          </cell>
        </row>
        <row r="11">
          <cell r="A11" t="str">
            <v xml:space="preserve">  A.</v>
          </cell>
          <cell r="B11" t="str">
            <v xml:space="preserve"> POWER EQUIPMENT </v>
          </cell>
          <cell r="C11">
            <v>1</v>
          </cell>
          <cell r="D11" t="str">
            <v>LOT</v>
          </cell>
          <cell r="E11">
            <v>138612100</v>
          </cell>
          <cell r="F11">
            <v>138612100</v>
          </cell>
          <cell r="H11">
            <v>0</v>
          </cell>
          <cell r="I11">
            <v>13764</v>
          </cell>
          <cell r="J11">
            <v>13764</v>
          </cell>
          <cell r="K11">
            <v>138612100</v>
          </cell>
          <cell r="L11">
            <v>138612100</v>
          </cell>
          <cell r="M11">
            <v>0</v>
          </cell>
          <cell r="N11">
            <v>0</v>
          </cell>
          <cell r="O11">
            <v>6155030</v>
          </cell>
          <cell r="P11">
            <v>6155030</v>
          </cell>
        </row>
        <row r="12">
          <cell r="F12">
            <v>0</v>
          </cell>
          <cell r="J12">
            <v>0</v>
          </cell>
          <cell r="L12">
            <v>0</v>
          </cell>
          <cell r="P12">
            <v>0</v>
          </cell>
        </row>
        <row r="13">
          <cell r="A13" t="str">
            <v xml:space="preserve">  B.</v>
          </cell>
          <cell r="B13" t="str">
            <v xml:space="preserve"> POWER DISTRIBUTION SYSTEM</v>
          </cell>
          <cell r="C13">
            <v>130730</v>
          </cell>
          <cell r="D13" t="str">
            <v>M</v>
          </cell>
          <cell r="E13">
            <v>178.00177465004208</v>
          </cell>
          <cell r="F13">
            <v>23270172</v>
          </cell>
          <cell r="H13">
            <v>0</v>
          </cell>
          <cell r="I13">
            <v>0.25310181289681022</v>
          </cell>
          <cell r="J13">
            <v>33088</v>
          </cell>
          <cell r="K13">
            <v>178.00177465004208</v>
          </cell>
          <cell r="L13">
            <v>23270172</v>
          </cell>
          <cell r="M13">
            <v>0</v>
          </cell>
          <cell r="N13">
            <v>0</v>
          </cell>
          <cell r="O13">
            <v>70.851243019964812</v>
          </cell>
          <cell r="P13">
            <v>9262383</v>
          </cell>
        </row>
        <row r="14">
          <cell r="F14">
            <v>0</v>
          </cell>
          <cell r="H14">
            <v>0</v>
          </cell>
          <cell r="J14">
            <v>0</v>
          </cell>
          <cell r="K14">
            <v>0</v>
          </cell>
          <cell r="L14">
            <v>0</v>
          </cell>
          <cell r="M14">
            <v>0</v>
          </cell>
          <cell r="N14">
            <v>0</v>
          </cell>
          <cell r="O14">
            <v>0</v>
          </cell>
          <cell r="P14">
            <v>0</v>
          </cell>
        </row>
        <row r="15">
          <cell r="A15" t="str">
            <v xml:space="preserve">  C.</v>
          </cell>
          <cell r="B15" t="str">
            <v xml:space="preserve"> LIGHTING SYSTEM</v>
          </cell>
          <cell r="C15">
            <v>508</v>
          </cell>
          <cell r="D15" t="str">
            <v>SET</v>
          </cell>
          <cell r="E15">
            <v>18871.641732283464</v>
          </cell>
          <cell r="F15">
            <v>9586794</v>
          </cell>
          <cell r="H15">
            <v>0</v>
          </cell>
          <cell r="I15">
            <v>28.084645669291337</v>
          </cell>
          <cell r="J15">
            <v>14267</v>
          </cell>
          <cell r="K15">
            <v>18871.641732283464</v>
          </cell>
          <cell r="L15">
            <v>9586794</v>
          </cell>
          <cell r="M15">
            <v>0</v>
          </cell>
          <cell r="N15">
            <v>0</v>
          </cell>
          <cell r="O15">
            <v>8470.6830708661419</v>
          </cell>
          <cell r="P15">
            <v>4303107</v>
          </cell>
        </row>
        <row r="16">
          <cell r="F16">
            <v>0</v>
          </cell>
          <cell r="H16">
            <v>0</v>
          </cell>
          <cell r="J16">
            <v>0</v>
          </cell>
          <cell r="K16">
            <v>0</v>
          </cell>
          <cell r="L16">
            <v>0</v>
          </cell>
          <cell r="M16">
            <v>0</v>
          </cell>
          <cell r="N16">
            <v>0</v>
          </cell>
          <cell r="O16">
            <v>0</v>
          </cell>
          <cell r="P16">
            <v>0</v>
          </cell>
        </row>
        <row r="17">
          <cell r="A17" t="str">
            <v xml:space="preserve">  D.</v>
          </cell>
          <cell r="B17" t="str">
            <v xml:space="preserve"> GROUNDING &amp; LIGHTNING PROTECTION SYSTEM</v>
          </cell>
          <cell r="C17">
            <v>8620</v>
          </cell>
          <cell r="D17" t="str">
            <v>M</v>
          </cell>
          <cell r="E17">
            <v>104.6885150812065</v>
          </cell>
          <cell r="F17">
            <v>902415</v>
          </cell>
          <cell r="H17">
            <v>0</v>
          </cell>
          <cell r="I17">
            <v>0.40336426914153134</v>
          </cell>
          <cell r="J17">
            <v>3477</v>
          </cell>
          <cell r="K17">
            <v>104.6885150812065</v>
          </cell>
          <cell r="L17">
            <v>902415</v>
          </cell>
          <cell r="M17">
            <v>0</v>
          </cell>
          <cell r="N17">
            <v>0</v>
          </cell>
          <cell r="O17">
            <v>146.95568445475638</v>
          </cell>
          <cell r="P17">
            <v>1266758</v>
          </cell>
        </row>
        <row r="18">
          <cell r="F18">
            <v>0</v>
          </cell>
          <cell r="H18">
            <v>0</v>
          </cell>
          <cell r="J18">
            <v>0</v>
          </cell>
          <cell r="K18">
            <v>0</v>
          </cell>
          <cell r="L18">
            <v>0</v>
          </cell>
          <cell r="M18">
            <v>0</v>
          </cell>
          <cell r="N18">
            <v>0</v>
          </cell>
          <cell r="O18">
            <v>0</v>
          </cell>
          <cell r="P18">
            <v>0</v>
          </cell>
        </row>
        <row r="19">
          <cell r="A19" t="str">
            <v xml:space="preserve">  E.</v>
          </cell>
          <cell r="B19" t="str">
            <v xml:space="preserve"> TELEPHONE SYSTEM</v>
          </cell>
          <cell r="C19">
            <v>2250</v>
          </cell>
          <cell r="D19" t="str">
            <v>M</v>
          </cell>
          <cell r="E19">
            <v>219.19555555555556</v>
          </cell>
          <cell r="F19">
            <v>493190</v>
          </cell>
          <cell r="H19">
            <v>0</v>
          </cell>
          <cell r="I19">
            <v>0.20088888888888889</v>
          </cell>
          <cell r="J19">
            <v>452</v>
          </cell>
          <cell r="K19">
            <v>219.19555555555556</v>
          </cell>
          <cell r="L19">
            <v>493190</v>
          </cell>
          <cell r="M19">
            <v>0</v>
          </cell>
          <cell r="N19">
            <v>0</v>
          </cell>
          <cell r="O19">
            <v>56.222222222222221</v>
          </cell>
          <cell r="P19">
            <v>126500</v>
          </cell>
        </row>
        <row r="20">
          <cell r="F20">
            <v>0</v>
          </cell>
          <cell r="H20">
            <v>0</v>
          </cell>
          <cell r="J20">
            <v>0</v>
          </cell>
          <cell r="K20">
            <v>0</v>
          </cell>
          <cell r="L20">
            <v>0</v>
          </cell>
          <cell r="M20">
            <v>0</v>
          </cell>
          <cell r="N20">
            <v>0</v>
          </cell>
          <cell r="O20">
            <v>0</v>
          </cell>
          <cell r="P20">
            <v>0</v>
          </cell>
        </row>
        <row r="21">
          <cell r="A21" t="str">
            <v xml:space="preserve">  F.</v>
          </cell>
          <cell r="B21" t="str">
            <v xml:space="preserve"> PAGE/INTERCOMMUNICATION SYSTEM</v>
          </cell>
          <cell r="C21">
            <v>15</v>
          </cell>
          <cell r="D21" t="str">
            <v>SET</v>
          </cell>
          <cell r="E21">
            <v>67271.8</v>
          </cell>
          <cell r="F21">
            <v>1009077</v>
          </cell>
          <cell r="H21">
            <v>0</v>
          </cell>
          <cell r="I21">
            <v>87.266666666666666</v>
          </cell>
          <cell r="J21">
            <v>1309</v>
          </cell>
          <cell r="K21">
            <v>67271.8</v>
          </cell>
          <cell r="L21">
            <v>1009077</v>
          </cell>
          <cell r="M21">
            <v>0</v>
          </cell>
          <cell r="N21">
            <v>0</v>
          </cell>
          <cell r="O21">
            <v>24435.333333333332</v>
          </cell>
          <cell r="P21">
            <v>366530</v>
          </cell>
        </row>
        <row r="22">
          <cell r="F22">
            <v>0</v>
          </cell>
          <cell r="H22">
            <v>0</v>
          </cell>
          <cell r="J22">
            <v>0</v>
          </cell>
          <cell r="K22">
            <v>0</v>
          </cell>
          <cell r="L22">
            <v>0</v>
          </cell>
          <cell r="M22">
            <v>0</v>
          </cell>
          <cell r="N22">
            <v>0</v>
          </cell>
          <cell r="O22">
            <v>0</v>
          </cell>
          <cell r="P22">
            <v>0</v>
          </cell>
        </row>
        <row r="23">
          <cell r="A23" t="str">
            <v xml:space="preserve">  G.</v>
          </cell>
          <cell r="B23" t="str">
            <v xml:space="preserve"> CCTV SYSTEM</v>
          </cell>
          <cell r="C23">
            <v>6</v>
          </cell>
          <cell r="D23" t="str">
            <v>SET</v>
          </cell>
          <cell r="E23">
            <v>291143.16666666669</v>
          </cell>
          <cell r="F23">
            <v>1746859</v>
          </cell>
          <cell r="H23">
            <v>0</v>
          </cell>
          <cell r="I23">
            <v>221</v>
          </cell>
          <cell r="J23">
            <v>1326</v>
          </cell>
          <cell r="K23">
            <v>291143.16666666669</v>
          </cell>
          <cell r="L23">
            <v>1746859</v>
          </cell>
          <cell r="M23">
            <v>0</v>
          </cell>
          <cell r="N23">
            <v>0</v>
          </cell>
          <cell r="O23">
            <v>61933.5</v>
          </cell>
          <cell r="P23">
            <v>371601</v>
          </cell>
        </row>
        <row r="24">
          <cell r="F24">
            <v>0</v>
          </cell>
          <cell r="H24">
            <v>0</v>
          </cell>
          <cell r="J24">
            <v>0</v>
          </cell>
          <cell r="K24">
            <v>0</v>
          </cell>
          <cell r="L24">
            <v>0</v>
          </cell>
          <cell r="M24">
            <v>0</v>
          </cell>
          <cell r="N24">
            <v>0</v>
          </cell>
          <cell r="O24">
            <v>0</v>
          </cell>
          <cell r="P24">
            <v>0</v>
          </cell>
        </row>
        <row r="25">
          <cell r="A25" t="str">
            <v xml:space="preserve">  H.</v>
          </cell>
          <cell r="B25" t="str">
            <v xml:space="preserve"> CATHODIC PROTECTION SYSTEM</v>
          </cell>
          <cell r="C25">
            <v>60</v>
          </cell>
          <cell r="D25" t="str">
            <v>PC</v>
          </cell>
          <cell r="E25">
            <v>12445.316666666668</v>
          </cell>
          <cell r="F25">
            <v>746719</v>
          </cell>
          <cell r="H25">
            <v>0</v>
          </cell>
          <cell r="I25">
            <v>17.083333333333332</v>
          </cell>
          <cell r="J25">
            <v>1025</v>
          </cell>
          <cell r="K25">
            <v>12445.316666666668</v>
          </cell>
          <cell r="L25">
            <v>746719</v>
          </cell>
          <cell r="M25">
            <v>0</v>
          </cell>
          <cell r="N25">
            <v>0</v>
          </cell>
          <cell r="O25">
            <v>6387.1</v>
          </cell>
          <cell r="P25">
            <v>383226</v>
          </cell>
        </row>
        <row r="27">
          <cell r="A27" t="str">
            <v xml:space="preserve">  I.</v>
          </cell>
          <cell r="B27" t="str">
            <v>APS SYSTEM</v>
          </cell>
          <cell r="C27">
            <v>60</v>
          </cell>
          <cell r="D27" t="str">
            <v>SET</v>
          </cell>
          <cell r="E27">
            <v>260365.88333333333</v>
          </cell>
          <cell r="F27">
            <v>15621953</v>
          </cell>
          <cell r="H27">
            <v>0</v>
          </cell>
          <cell r="I27">
            <v>227.13333333333333</v>
          </cell>
          <cell r="J27">
            <v>13628</v>
          </cell>
          <cell r="K27">
            <v>260365.88333333333</v>
          </cell>
          <cell r="L27">
            <v>15621953</v>
          </cell>
          <cell r="M27">
            <v>0</v>
          </cell>
          <cell r="N27">
            <v>0</v>
          </cell>
          <cell r="O27">
            <v>63605.433333333334</v>
          </cell>
          <cell r="P27">
            <v>3816326</v>
          </cell>
        </row>
        <row r="29">
          <cell r="A29" t="str">
            <v xml:space="preserve">  J.</v>
          </cell>
          <cell r="B29" t="str">
            <v>U/G CONDUIT BANK</v>
          </cell>
          <cell r="C29">
            <v>2850</v>
          </cell>
          <cell r="D29" t="str">
            <v>M3</v>
          </cell>
          <cell r="E29">
            <v>2070.4561403508774</v>
          </cell>
          <cell r="F29">
            <v>5900800</v>
          </cell>
          <cell r="H29">
            <v>0</v>
          </cell>
          <cell r="I29">
            <v>9.5898245614035087</v>
          </cell>
          <cell r="J29">
            <v>27331</v>
          </cell>
          <cell r="K29">
            <v>2070.4561403508774</v>
          </cell>
          <cell r="L29">
            <v>5900800</v>
          </cell>
          <cell r="M29">
            <v>0</v>
          </cell>
          <cell r="N29">
            <v>0</v>
          </cell>
          <cell r="O29">
            <v>7703.0175438596489</v>
          </cell>
          <cell r="P29">
            <v>21953600</v>
          </cell>
        </row>
        <row r="32">
          <cell r="B32" t="str">
            <v>TOTAL (ALT-1)</v>
          </cell>
          <cell r="F32">
            <v>197890079</v>
          </cell>
          <cell r="H32">
            <v>0</v>
          </cell>
          <cell r="J32">
            <v>109667</v>
          </cell>
          <cell r="L32">
            <v>197890079</v>
          </cell>
          <cell r="N32">
            <v>0</v>
          </cell>
          <cell r="P32">
            <v>48005061</v>
          </cell>
          <cell r="Q32">
            <v>109667</v>
          </cell>
        </row>
        <row r="33">
          <cell r="Q33">
            <v>0</v>
          </cell>
        </row>
        <row r="34">
          <cell r="A34" t="str">
            <v>OTHER</v>
          </cell>
          <cell r="B34" t="str">
            <v xml:space="preserve"> CATHODIC PROTECTION SYSTEM  FOR TRUNK LINE</v>
          </cell>
          <cell r="C34">
            <v>1</v>
          </cell>
          <cell r="D34" t="str">
            <v>LOT</v>
          </cell>
          <cell r="F34">
            <v>4357694</v>
          </cell>
          <cell r="J34">
            <v>6089</v>
          </cell>
          <cell r="L34">
            <v>4357694</v>
          </cell>
          <cell r="P34">
            <v>2372268</v>
          </cell>
          <cell r="Q34">
            <v>6089</v>
          </cell>
        </row>
        <row r="36">
          <cell r="B36" t="str">
            <v xml:space="preserve">MATERIAL PRICE 造價分析 </v>
          </cell>
        </row>
        <row r="37">
          <cell r="B37" t="str">
            <v xml:space="preserve">CAPACITOR </v>
          </cell>
          <cell r="D37" t="str">
            <v>KVA</v>
          </cell>
        </row>
        <row r="38">
          <cell r="B38" t="str">
            <v>CABLE &amp; WIRE FOR POWER SYSTEM</v>
          </cell>
          <cell r="C38">
            <v>130730</v>
          </cell>
          <cell r="D38" t="str">
            <v>M</v>
          </cell>
        </row>
        <row r="39">
          <cell r="B39" t="str">
            <v>LIGHTING FIXTURE</v>
          </cell>
          <cell r="C39">
            <v>508</v>
          </cell>
          <cell r="D39" t="str">
            <v>SET</v>
          </cell>
        </row>
        <row r="41">
          <cell r="B41" t="str">
            <v>LABOR PRICE 造價分析</v>
          </cell>
        </row>
        <row r="42">
          <cell r="B42" t="str">
            <v xml:space="preserve">CAPACITOR </v>
          </cell>
          <cell r="C42">
            <v>0</v>
          </cell>
          <cell r="D42" t="str">
            <v>KVA</v>
          </cell>
        </row>
        <row r="43">
          <cell r="B43" t="str">
            <v>CABLE &amp; WIRE FOR POWER SYSTEM</v>
          </cell>
          <cell r="C43">
            <v>130730</v>
          </cell>
          <cell r="D43" t="str">
            <v>M</v>
          </cell>
          <cell r="I43">
            <v>0.73359596114128356</v>
          </cell>
          <cell r="J43">
            <v>95903</v>
          </cell>
        </row>
        <row r="44">
          <cell r="B44" t="str">
            <v>LIGHTING FIXTURE</v>
          </cell>
          <cell r="C44">
            <v>508</v>
          </cell>
          <cell r="D44" t="str">
            <v>SET</v>
          </cell>
        </row>
        <row r="46">
          <cell r="A46" t="str">
            <v>ALT-2</v>
          </cell>
          <cell r="C46">
            <v>0</v>
          </cell>
          <cell r="D46">
            <v>0</v>
          </cell>
          <cell r="F46">
            <v>0</v>
          </cell>
          <cell r="H46">
            <v>0</v>
          </cell>
          <cell r="J46">
            <v>0</v>
          </cell>
          <cell r="K46">
            <v>0</v>
          </cell>
          <cell r="L46">
            <v>0</v>
          </cell>
          <cell r="M46">
            <v>0</v>
          </cell>
          <cell r="N46">
            <v>0</v>
          </cell>
          <cell r="O46">
            <v>0</v>
          </cell>
          <cell r="P46">
            <v>0</v>
          </cell>
        </row>
        <row r="47">
          <cell r="A47">
            <v>1</v>
          </cell>
          <cell r="B47" t="str">
            <v xml:space="preserve">  6.9KV GCS ,  NEMA CLASS E2 , MCC PANEL</v>
          </cell>
          <cell r="C47">
            <v>-1</v>
          </cell>
          <cell r="D47" t="str">
            <v>PNL</v>
          </cell>
          <cell r="E47">
            <v>500000</v>
          </cell>
          <cell r="F47">
            <v>-500000</v>
          </cell>
          <cell r="H47">
            <v>0</v>
          </cell>
          <cell r="I47">
            <v>20</v>
          </cell>
          <cell r="J47">
            <v>-20</v>
          </cell>
          <cell r="K47">
            <v>500000</v>
          </cell>
          <cell r="L47">
            <v>-500000</v>
          </cell>
          <cell r="M47">
            <v>0</v>
          </cell>
          <cell r="N47">
            <v>0</v>
          </cell>
          <cell r="O47">
            <v>5600</v>
          </cell>
          <cell r="P47">
            <v>-5600</v>
          </cell>
          <cell r="Q47">
            <v>0</v>
          </cell>
        </row>
        <row r="48">
          <cell r="A48">
            <v>2</v>
          </cell>
          <cell r="B48" t="str">
            <v xml:space="preserve">  600V POWER CABLE 3/C 5.5 sq.mm  XLPE/PVC</v>
          </cell>
          <cell r="C48">
            <v>-195</v>
          </cell>
          <cell r="D48" t="str">
            <v>M</v>
          </cell>
          <cell r="E48">
            <v>20</v>
          </cell>
          <cell r="F48">
            <v>-3900</v>
          </cell>
          <cell r="H48">
            <v>0</v>
          </cell>
          <cell r="I48">
            <v>0.1</v>
          </cell>
          <cell r="J48">
            <v>-20</v>
          </cell>
          <cell r="K48">
            <v>20</v>
          </cell>
          <cell r="L48">
            <v>-3900</v>
          </cell>
          <cell r="M48">
            <v>0</v>
          </cell>
          <cell r="N48">
            <v>0</v>
          </cell>
          <cell r="O48">
            <v>28</v>
          </cell>
          <cell r="P48">
            <v>-5460</v>
          </cell>
          <cell r="Q48">
            <v>0</v>
          </cell>
        </row>
        <row r="49">
          <cell r="A49">
            <v>3</v>
          </cell>
          <cell r="B49" t="str">
            <v xml:space="preserve">  600V CONTROL CABLE 12/C 2.0 sq.mm  PVC/PVC</v>
          </cell>
          <cell r="C49">
            <v>-195</v>
          </cell>
          <cell r="D49" t="str">
            <v>M</v>
          </cell>
          <cell r="E49">
            <v>38</v>
          </cell>
          <cell r="F49">
            <v>-7410</v>
          </cell>
          <cell r="H49">
            <v>0</v>
          </cell>
          <cell r="I49">
            <v>0.13800000000000001</v>
          </cell>
          <cell r="J49">
            <v>-27</v>
          </cell>
          <cell r="K49">
            <v>38</v>
          </cell>
          <cell r="L49">
            <v>-7410</v>
          </cell>
          <cell r="M49">
            <v>0</v>
          </cell>
          <cell r="N49">
            <v>0</v>
          </cell>
          <cell r="O49">
            <v>39</v>
          </cell>
          <cell r="P49">
            <v>-7605</v>
          </cell>
          <cell r="Q49">
            <v>0</v>
          </cell>
        </row>
        <row r="50">
          <cell r="A50">
            <v>4</v>
          </cell>
          <cell r="B50" t="str">
            <v xml:space="preserve">  8KV POWER CABLE 3/C  38 sq.mm  XLPE/PVC</v>
          </cell>
          <cell r="C50">
            <v>-580</v>
          </cell>
          <cell r="D50" t="str">
            <v>M</v>
          </cell>
          <cell r="E50">
            <v>268</v>
          </cell>
          <cell r="F50">
            <v>-155440</v>
          </cell>
          <cell r="H50">
            <v>0</v>
          </cell>
          <cell r="I50">
            <v>0.32100000000000001</v>
          </cell>
          <cell r="J50">
            <v>-186</v>
          </cell>
          <cell r="K50">
            <v>268</v>
          </cell>
          <cell r="L50">
            <v>-155440</v>
          </cell>
          <cell r="M50">
            <v>0</v>
          </cell>
          <cell r="N50">
            <v>0</v>
          </cell>
          <cell r="O50">
            <v>90</v>
          </cell>
          <cell r="P50">
            <v>-52200</v>
          </cell>
          <cell r="Q50">
            <v>0</v>
          </cell>
        </row>
        <row r="51">
          <cell r="A51">
            <v>5</v>
          </cell>
          <cell r="B51" t="str">
            <v xml:space="preserve">  8KV POWER CABLE 3/C  60 sq.mm  XLPE/PVC</v>
          </cell>
          <cell r="C51">
            <v>390</v>
          </cell>
          <cell r="D51" t="str">
            <v>M</v>
          </cell>
          <cell r="E51">
            <v>367</v>
          </cell>
          <cell r="F51">
            <v>143130</v>
          </cell>
          <cell r="H51">
            <v>0</v>
          </cell>
          <cell r="I51">
            <v>0.38800000000000001</v>
          </cell>
          <cell r="J51">
            <v>151</v>
          </cell>
          <cell r="K51">
            <v>367</v>
          </cell>
          <cell r="L51">
            <v>143130</v>
          </cell>
          <cell r="M51">
            <v>0</v>
          </cell>
          <cell r="N51">
            <v>0</v>
          </cell>
          <cell r="O51">
            <v>109</v>
          </cell>
          <cell r="P51">
            <v>42510</v>
          </cell>
          <cell r="Q51">
            <v>0</v>
          </cell>
        </row>
        <row r="52">
          <cell r="A52">
            <v>6</v>
          </cell>
          <cell r="B52" t="str">
            <v xml:space="preserve"> PVC CONDUIT, THICK WALL, CNS1302 SCH. B , 2"</v>
          </cell>
          <cell r="C52">
            <v>-390</v>
          </cell>
          <cell r="D52" t="str">
            <v>M</v>
          </cell>
          <cell r="E52">
            <v>38</v>
          </cell>
          <cell r="F52">
            <v>-14820</v>
          </cell>
          <cell r="H52">
            <v>0</v>
          </cell>
          <cell r="I52">
            <v>0.3</v>
          </cell>
          <cell r="J52">
            <v>-117</v>
          </cell>
          <cell r="K52">
            <v>38</v>
          </cell>
          <cell r="L52">
            <v>-14820</v>
          </cell>
          <cell r="M52">
            <v>0</v>
          </cell>
          <cell r="N52">
            <v>0</v>
          </cell>
          <cell r="O52">
            <v>84</v>
          </cell>
          <cell r="P52">
            <v>-32760</v>
          </cell>
          <cell r="Q52">
            <v>0</v>
          </cell>
        </row>
        <row r="53">
          <cell r="A53">
            <v>7</v>
          </cell>
          <cell r="B53" t="str">
            <v xml:space="preserve"> MISCELLANEOUS </v>
          </cell>
          <cell r="C53">
            <v>1</v>
          </cell>
          <cell r="D53" t="str">
            <v>LOT</v>
          </cell>
          <cell r="E53">
            <v>-708.6</v>
          </cell>
          <cell r="F53">
            <v>-709</v>
          </cell>
          <cell r="I53">
            <v>-2.46</v>
          </cell>
          <cell r="J53">
            <v>-2</v>
          </cell>
          <cell r="K53">
            <v>-709</v>
          </cell>
          <cell r="L53">
            <v>-709</v>
          </cell>
          <cell r="M53">
            <v>0</v>
          </cell>
          <cell r="N53">
            <v>0</v>
          </cell>
          <cell r="O53">
            <v>-689</v>
          </cell>
          <cell r="P53">
            <v>-689</v>
          </cell>
        </row>
        <row r="54">
          <cell r="B54" t="str">
            <v>SUB-TOTAL : (ALT-1)</v>
          </cell>
          <cell r="F54">
            <v>-539149</v>
          </cell>
          <cell r="H54">
            <v>0</v>
          </cell>
          <cell r="J54">
            <v>-221</v>
          </cell>
          <cell r="K54">
            <v>0</v>
          </cell>
          <cell r="L54">
            <v>-539149</v>
          </cell>
          <cell r="M54">
            <v>0</v>
          </cell>
          <cell r="N54">
            <v>0</v>
          </cell>
          <cell r="O54">
            <v>0</v>
          </cell>
          <cell r="P54">
            <v>-61804</v>
          </cell>
          <cell r="Q54">
            <v>-221</v>
          </cell>
        </row>
        <row r="56">
          <cell r="A56" t="str">
            <v>ALT-3</v>
          </cell>
        </row>
        <row r="57">
          <cell r="A57">
            <v>1</v>
          </cell>
          <cell r="B57" t="str">
            <v xml:space="preserve"> AUTO-TRANSFORMER FOR 6.9KV 8500KW MOTOR STARTER , </v>
          </cell>
          <cell r="C57">
            <v>1</v>
          </cell>
          <cell r="D57" t="str">
            <v>SET</v>
          </cell>
          <cell r="E57">
            <v>484000</v>
          </cell>
          <cell r="F57">
            <v>484000</v>
          </cell>
          <cell r="H57">
            <v>0</v>
          </cell>
          <cell r="I57">
            <v>20</v>
          </cell>
          <cell r="J57">
            <v>20</v>
          </cell>
          <cell r="K57">
            <v>484000</v>
          </cell>
          <cell r="L57">
            <v>484000</v>
          </cell>
          <cell r="M57">
            <v>0</v>
          </cell>
          <cell r="N57">
            <v>0</v>
          </cell>
          <cell r="O57">
            <v>5600</v>
          </cell>
          <cell r="P57">
            <v>5600</v>
          </cell>
        </row>
        <row r="58">
          <cell r="B58" t="str">
            <v xml:space="preserve"> TAP 80% , STARTING TIME 60 Sec. (MOTOR PF=0.7 , EFF=0.9)</v>
          </cell>
          <cell r="F58">
            <v>0</v>
          </cell>
          <cell r="H58">
            <v>0</v>
          </cell>
          <cell r="J58">
            <v>0</v>
          </cell>
          <cell r="K58">
            <v>0</v>
          </cell>
          <cell r="L58">
            <v>0</v>
          </cell>
          <cell r="M58">
            <v>0</v>
          </cell>
          <cell r="N58">
            <v>0</v>
          </cell>
          <cell r="O58">
            <v>0</v>
          </cell>
          <cell r="P58">
            <v>0</v>
          </cell>
        </row>
        <row r="59">
          <cell r="A59">
            <v>2</v>
          </cell>
          <cell r="B59" t="str">
            <v xml:space="preserve">  6.9KV VCB 1250A 40KA</v>
          </cell>
          <cell r="C59">
            <v>3</v>
          </cell>
          <cell r="D59" t="str">
            <v>PNL</v>
          </cell>
          <cell r="E59">
            <v>800000</v>
          </cell>
          <cell r="F59">
            <v>2400000</v>
          </cell>
          <cell r="H59">
            <v>0</v>
          </cell>
          <cell r="I59">
            <v>20</v>
          </cell>
          <cell r="J59">
            <v>60</v>
          </cell>
          <cell r="K59">
            <v>800000</v>
          </cell>
          <cell r="L59">
            <v>2400000</v>
          </cell>
          <cell r="M59">
            <v>0</v>
          </cell>
          <cell r="N59">
            <v>0</v>
          </cell>
          <cell r="O59">
            <v>5600</v>
          </cell>
          <cell r="P59">
            <v>16800</v>
          </cell>
          <cell r="Q59">
            <v>0</v>
          </cell>
        </row>
        <row r="60">
          <cell r="A60">
            <v>3</v>
          </cell>
          <cell r="B60" t="str">
            <v xml:space="preserve">  6.9KV 2000KVA , W/GCS , CAPACIATOR PANEL</v>
          </cell>
          <cell r="C60">
            <v>2</v>
          </cell>
          <cell r="D60" t="str">
            <v>PNL</v>
          </cell>
          <cell r="E60">
            <v>1500000</v>
          </cell>
          <cell r="F60">
            <v>3000000</v>
          </cell>
          <cell r="H60">
            <v>0</v>
          </cell>
          <cell r="I60">
            <v>30</v>
          </cell>
          <cell r="J60">
            <v>60</v>
          </cell>
          <cell r="K60">
            <v>1500000</v>
          </cell>
          <cell r="L60">
            <v>3000000</v>
          </cell>
          <cell r="M60">
            <v>0</v>
          </cell>
          <cell r="N60">
            <v>0</v>
          </cell>
          <cell r="O60">
            <v>8400</v>
          </cell>
          <cell r="P60">
            <v>16800</v>
          </cell>
        </row>
        <row r="61">
          <cell r="A61">
            <v>4</v>
          </cell>
          <cell r="B61" t="str">
            <v xml:space="preserve">  600V POWER CABLE 3/C 5.5 sq.mm  XLPE/PVC</v>
          </cell>
          <cell r="C61">
            <v>200</v>
          </cell>
          <cell r="D61" t="str">
            <v>M</v>
          </cell>
          <cell r="E61">
            <v>20</v>
          </cell>
          <cell r="F61">
            <v>4000</v>
          </cell>
          <cell r="H61">
            <v>0</v>
          </cell>
          <cell r="I61">
            <v>0.1</v>
          </cell>
          <cell r="J61">
            <v>20</v>
          </cell>
          <cell r="K61">
            <v>20</v>
          </cell>
          <cell r="L61">
            <v>4000</v>
          </cell>
          <cell r="M61">
            <v>0</v>
          </cell>
          <cell r="N61">
            <v>0</v>
          </cell>
          <cell r="O61">
            <v>28</v>
          </cell>
          <cell r="P61">
            <v>5600</v>
          </cell>
          <cell r="Q61">
            <v>0</v>
          </cell>
        </row>
        <row r="62">
          <cell r="A62">
            <v>5</v>
          </cell>
          <cell r="B62" t="str">
            <v xml:space="preserve">  600V POWER CABLE 3/C 22sq.mm  XLPE/PVC</v>
          </cell>
          <cell r="C62">
            <v>600</v>
          </cell>
          <cell r="D62" t="str">
            <v>M</v>
          </cell>
          <cell r="E62">
            <v>70</v>
          </cell>
          <cell r="F62">
            <v>42000</v>
          </cell>
          <cell r="H62">
            <v>0</v>
          </cell>
          <cell r="I62">
            <v>0.18099999999999999</v>
          </cell>
          <cell r="J62">
            <v>109</v>
          </cell>
          <cell r="K62">
            <v>70</v>
          </cell>
          <cell r="L62">
            <v>42000</v>
          </cell>
          <cell r="M62">
            <v>0</v>
          </cell>
          <cell r="N62">
            <v>0</v>
          </cell>
          <cell r="O62">
            <v>51</v>
          </cell>
          <cell r="P62">
            <v>30600</v>
          </cell>
          <cell r="Q62">
            <v>0</v>
          </cell>
        </row>
        <row r="63">
          <cell r="A63">
            <v>6</v>
          </cell>
          <cell r="B63" t="str">
            <v xml:space="preserve">  600V CONTROL CABLE 7/C 2.1 sq.mm  PVC/PVC</v>
          </cell>
          <cell r="C63">
            <v>600</v>
          </cell>
          <cell r="D63" t="str">
            <v>M</v>
          </cell>
          <cell r="E63">
            <v>24</v>
          </cell>
          <cell r="F63">
            <v>14400</v>
          </cell>
          <cell r="H63">
            <v>0</v>
          </cell>
          <cell r="I63">
            <v>0.105</v>
          </cell>
          <cell r="J63">
            <v>63</v>
          </cell>
          <cell r="K63">
            <v>24</v>
          </cell>
          <cell r="L63">
            <v>14400</v>
          </cell>
          <cell r="M63">
            <v>0</v>
          </cell>
          <cell r="N63">
            <v>0</v>
          </cell>
          <cell r="O63">
            <v>29</v>
          </cell>
          <cell r="P63">
            <v>17400</v>
          </cell>
          <cell r="Q63">
            <v>0</v>
          </cell>
        </row>
        <row r="64">
          <cell r="A64">
            <v>7</v>
          </cell>
          <cell r="B64" t="str">
            <v xml:space="preserve">  600V CONTROL CABLE 12/C 2.0 sq.mm  PVC/PVC</v>
          </cell>
          <cell r="C64">
            <v>200</v>
          </cell>
          <cell r="D64" t="str">
            <v>M</v>
          </cell>
          <cell r="E64">
            <v>38</v>
          </cell>
          <cell r="F64">
            <v>7600</v>
          </cell>
          <cell r="H64">
            <v>0</v>
          </cell>
          <cell r="I64">
            <v>0.13800000000000001</v>
          </cell>
          <cell r="J64">
            <v>28</v>
          </cell>
          <cell r="K64">
            <v>38</v>
          </cell>
          <cell r="L64">
            <v>7600</v>
          </cell>
          <cell r="M64">
            <v>0</v>
          </cell>
          <cell r="N64">
            <v>0</v>
          </cell>
          <cell r="O64">
            <v>39</v>
          </cell>
          <cell r="P64">
            <v>7800</v>
          </cell>
          <cell r="Q64">
            <v>0</v>
          </cell>
        </row>
        <row r="65">
          <cell r="A65">
            <v>8</v>
          </cell>
          <cell r="B65" t="str">
            <v xml:space="preserve">  8KV POWER CABLE 1/C 325 sq.mm XLPE/PVC</v>
          </cell>
          <cell r="C65">
            <v>2500</v>
          </cell>
          <cell r="D65" t="str">
            <v>M</v>
          </cell>
          <cell r="E65">
            <v>375</v>
          </cell>
          <cell r="F65">
            <v>937500</v>
          </cell>
          <cell r="H65">
            <v>0</v>
          </cell>
          <cell r="I65">
            <v>0.30199999999999999</v>
          </cell>
          <cell r="J65">
            <v>755</v>
          </cell>
          <cell r="K65">
            <v>375</v>
          </cell>
          <cell r="L65">
            <v>937500</v>
          </cell>
          <cell r="M65">
            <v>0</v>
          </cell>
          <cell r="N65">
            <v>0</v>
          </cell>
          <cell r="O65">
            <v>85</v>
          </cell>
          <cell r="P65">
            <v>212500</v>
          </cell>
        </row>
        <row r="66">
          <cell r="A66">
            <v>9</v>
          </cell>
          <cell r="B66" t="str">
            <v xml:space="preserve">  8KV TERMINATION KIT , 1/C 325 sq.mm </v>
          </cell>
          <cell r="C66">
            <v>24</v>
          </cell>
          <cell r="D66" t="str">
            <v>SET</v>
          </cell>
          <cell r="E66">
            <v>2542</v>
          </cell>
          <cell r="F66">
            <v>61008</v>
          </cell>
          <cell r="H66">
            <v>0</v>
          </cell>
          <cell r="I66">
            <v>5</v>
          </cell>
          <cell r="J66">
            <v>120</v>
          </cell>
          <cell r="K66">
            <v>2542</v>
          </cell>
          <cell r="L66">
            <v>61008</v>
          </cell>
          <cell r="M66">
            <v>0</v>
          </cell>
          <cell r="N66">
            <v>0</v>
          </cell>
          <cell r="O66">
            <v>1400</v>
          </cell>
          <cell r="P66">
            <v>33600</v>
          </cell>
        </row>
        <row r="67">
          <cell r="A67">
            <v>10</v>
          </cell>
          <cell r="B67" t="str">
            <v xml:space="preserve"> PVC CONDUIT, THICK WALL, CNS1302 SCH. B , 2"</v>
          </cell>
          <cell r="C67">
            <v>800</v>
          </cell>
          <cell r="D67" t="str">
            <v>M</v>
          </cell>
          <cell r="E67">
            <v>38</v>
          </cell>
          <cell r="F67">
            <v>30400</v>
          </cell>
          <cell r="H67">
            <v>0</v>
          </cell>
          <cell r="I67">
            <v>0.3</v>
          </cell>
          <cell r="J67">
            <v>240</v>
          </cell>
          <cell r="K67">
            <v>38</v>
          </cell>
          <cell r="L67">
            <v>30400</v>
          </cell>
          <cell r="M67">
            <v>0</v>
          </cell>
          <cell r="N67">
            <v>0</v>
          </cell>
          <cell r="O67">
            <v>84</v>
          </cell>
          <cell r="P67">
            <v>67200</v>
          </cell>
          <cell r="Q67">
            <v>0</v>
          </cell>
        </row>
        <row r="68">
          <cell r="A68">
            <v>11</v>
          </cell>
          <cell r="B68" t="str">
            <v xml:space="preserve"> PVC CONDUIT, THICK WALL, CNS1302 SCH. B , 6"</v>
          </cell>
          <cell r="C68">
            <v>800</v>
          </cell>
          <cell r="D68" t="str">
            <v>M</v>
          </cell>
          <cell r="E68">
            <v>242</v>
          </cell>
          <cell r="F68">
            <v>193600</v>
          </cell>
          <cell r="H68">
            <v>0</v>
          </cell>
          <cell r="I68">
            <v>0.68</v>
          </cell>
          <cell r="J68">
            <v>544</v>
          </cell>
          <cell r="K68">
            <v>242</v>
          </cell>
          <cell r="L68">
            <v>193600</v>
          </cell>
          <cell r="M68">
            <v>0</v>
          </cell>
          <cell r="N68">
            <v>0</v>
          </cell>
          <cell r="O68">
            <v>190</v>
          </cell>
          <cell r="P68">
            <v>152000</v>
          </cell>
          <cell r="Q68">
            <v>0</v>
          </cell>
        </row>
        <row r="69">
          <cell r="A69">
            <v>12</v>
          </cell>
          <cell r="B69" t="str">
            <v xml:space="preserve"> EXCAVATION</v>
          </cell>
          <cell r="C69">
            <v>350</v>
          </cell>
          <cell r="D69" t="str">
            <v>M3</v>
          </cell>
          <cell r="E69" t="str">
            <v>M+L</v>
          </cell>
          <cell r="F69" t="str">
            <v>M+L</v>
          </cell>
          <cell r="G69">
            <v>0</v>
          </cell>
          <cell r="H69">
            <v>0</v>
          </cell>
          <cell r="I69">
            <v>0</v>
          </cell>
          <cell r="J69">
            <v>0</v>
          </cell>
          <cell r="K69" t="str">
            <v>M+L</v>
          </cell>
          <cell r="L69" t="str">
            <v>M+L</v>
          </cell>
          <cell r="M69">
            <v>0</v>
          </cell>
          <cell r="N69">
            <v>0</v>
          </cell>
          <cell r="O69">
            <v>60</v>
          </cell>
          <cell r="P69">
            <v>21000</v>
          </cell>
          <cell r="Q69">
            <v>0</v>
          </cell>
        </row>
        <row r="70">
          <cell r="A70">
            <v>13</v>
          </cell>
          <cell r="B70" t="str">
            <v xml:space="preserve"> BACKFILL</v>
          </cell>
          <cell r="C70">
            <v>250</v>
          </cell>
          <cell r="D70" t="str">
            <v>M3</v>
          </cell>
          <cell r="E70" t="str">
            <v>M+L</v>
          </cell>
          <cell r="F70" t="str">
            <v>M+L</v>
          </cell>
          <cell r="G70">
            <v>0</v>
          </cell>
          <cell r="H70">
            <v>0</v>
          </cell>
          <cell r="I70">
            <v>0</v>
          </cell>
          <cell r="J70">
            <v>0</v>
          </cell>
          <cell r="K70" t="str">
            <v>M+L</v>
          </cell>
          <cell r="L70" t="str">
            <v>M+L</v>
          </cell>
          <cell r="M70">
            <v>0</v>
          </cell>
          <cell r="N70">
            <v>0</v>
          </cell>
          <cell r="O70">
            <v>100</v>
          </cell>
          <cell r="P70">
            <v>25000</v>
          </cell>
          <cell r="Q70">
            <v>0</v>
          </cell>
        </row>
        <row r="71">
          <cell r="A71">
            <v>14</v>
          </cell>
          <cell r="B71" t="str">
            <v xml:space="preserve"> CONCRETE FOR DUCT BANK 2000 PSI</v>
          </cell>
          <cell r="C71">
            <v>100</v>
          </cell>
          <cell r="D71" t="str">
            <v>M3</v>
          </cell>
          <cell r="E71" t="str">
            <v>M+L</v>
          </cell>
          <cell r="F71" t="str">
            <v>M+L</v>
          </cell>
          <cell r="G71">
            <v>0</v>
          </cell>
          <cell r="H71">
            <v>0</v>
          </cell>
          <cell r="I71">
            <v>0</v>
          </cell>
          <cell r="J71">
            <v>0</v>
          </cell>
          <cell r="K71" t="str">
            <v>M+L</v>
          </cell>
          <cell r="L71" t="str">
            <v>M+L</v>
          </cell>
          <cell r="M71">
            <v>0</v>
          </cell>
          <cell r="N71">
            <v>0</v>
          </cell>
          <cell r="O71">
            <v>1700</v>
          </cell>
          <cell r="P71">
            <v>170000</v>
          </cell>
          <cell r="Q71">
            <v>0</v>
          </cell>
        </row>
        <row r="72">
          <cell r="A72">
            <v>15</v>
          </cell>
          <cell r="B72" t="str">
            <v xml:space="preserve"> RED COLORED OXIDE</v>
          </cell>
          <cell r="C72">
            <v>900</v>
          </cell>
          <cell r="D72" t="str">
            <v>KG</v>
          </cell>
          <cell r="E72" t="str">
            <v>M+L</v>
          </cell>
          <cell r="F72" t="str">
            <v>M+L</v>
          </cell>
          <cell r="G72">
            <v>0</v>
          </cell>
          <cell r="H72">
            <v>0</v>
          </cell>
          <cell r="I72">
            <v>0</v>
          </cell>
          <cell r="J72">
            <v>0</v>
          </cell>
          <cell r="K72" t="str">
            <v>M+L</v>
          </cell>
          <cell r="L72" t="str">
            <v>M+L</v>
          </cell>
          <cell r="M72">
            <v>0</v>
          </cell>
          <cell r="N72">
            <v>0</v>
          </cell>
          <cell r="O72">
            <v>60</v>
          </cell>
          <cell r="P72">
            <v>54000</v>
          </cell>
          <cell r="Q72">
            <v>0</v>
          </cell>
        </row>
        <row r="73">
          <cell r="A73">
            <v>16</v>
          </cell>
          <cell r="B73" t="str">
            <v xml:space="preserve"> DISPOSAL</v>
          </cell>
          <cell r="C73">
            <v>100</v>
          </cell>
          <cell r="D73" t="str">
            <v>M3</v>
          </cell>
          <cell r="E73" t="str">
            <v>M+L</v>
          </cell>
          <cell r="F73" t="str">
            <v>M+L</v>
          </cell>
          <cell r="G73">
            <v>0</v>
          </cell>
          <cell r="H73">
            <v>0</v>
          </cell>
          <cell r="I73">
            <v>0</v>
          </cell>
          <cell r="J73">
            <v>0</v>
          </cell>
          <cell r="K73" t="str">
            <v>M+L</v>
          </cell>
          <cell r="L73" t="str">
            <v>M+L</v>
          </cell>
          <cell r="M73">
            <v>0</v>
          </cell>
          <cell r="N73">
            <v>0</v>
          </cell>
          <cell r="O73">
            <v>220</v>
          </cell>
          <cell r="P73">
            <v>22000</v>
          </cell>
          <cell r="Q73">
            <v>0</v>
          </cell>
        </row>
        <row r="74">
          <cell r="A74">
            <v>17</v>
          </cell>
          <cell r="B74" t="str">
            <v xml:space="preserve"> FORMWORK</v>
          </cell>
          <cell r="C74">
            <v>300</v>
          </cell>
          <cell r="D74" t="str">
            <v>M2</v>
          </cell>
          <cell r="E74" t="str">
            <v>M+L</v>
          </cell>
          <cell r="F74" t="str">
            <v>M+L</v>
          </cell>
          <cell r="G74">
            <v>0</v>
          </cell>
          <cell r="H74">
            <v>0</v>
          </cell>
          <cell r="I74">
            <v>0</v>
          </cell>
          <cell r="J74">
            <v>0</v>
          </cell>
          <cell r="K74" t="str">
            <v>M+L</v>
          </cell>
          <cell r="L74" t="str">
            <v>M+L</v>
          </cell>
          <cell r="M74">
            <v>0</v>
          </cell>
          <cell r="N74">
            <v>0</v>
          </cell>
          <cell r="O74">
            <v>360</v>
          </cell>
          <cell r="P74">
            <v>108000</v>
          </cell>
          <cell r="Q74">
            <v>0</v>
          </cell>
        </row>
        <row r="75">
          <cell r="A75">
            <v>18</v>
          </cell>
          <cell r="B75" t="str">
            <v xml:space="preserve"> RE-BAR</v>
          </cell>
          <cell r="C75">
            <v>1900</v>
          </cell>
          <cell r="D75" t="str">
            <v>KG</v>
          </cell>
          <cell r="E75" t="str">
            <v>M+L</v>
          </cell>
          <cell r="F75" t="str">
            <v>M+L</v>
          </cell>
          <cell r="G75">
            <v>0</v>
          </cell>
          <cell r="H75">
            <v>0</v>
          </cell>
          <cell r="I75">
            <v>0</v>
          </cell>
          <cell r="J75">
            <v>0</v>
          </cell>
          <cell r="K75" t="str">
            <v>M+L</v>
          </cell>
          <cell r="L75" t="str">
            <v>M+L</v>
          </cell>
          <cell r="M75">
            <v>0</v>
          </cell>
          <cell r="N75">
            <v>0</v>
          </cell>
          <cell r="O75">
            <v>16</v>
          </cell>
          <cell r="P75">
            <v>30400</v>
          </cell>
          <cell r="Q75">
            <v>0</v>
          </cell>
        </row>
        <row r="76">
          <cell r="A76">
            <v>19</v>
          </cell>
          <cell r="B76" t="str">
            <v xml:space="preserve"> COMPOND FOR WATER SEALING(IN MH.)</v>
          </cell>
          <cell r="C76">
            <v>125</v>
          </cell>
          <cell r="D76" t="str">
            <v>KG</v>
          </cell>
          <cell r="E76" t="str">
            <v>M+L</v>
          </cell>
          <cell r="F76" t="str">
            <v>M+L</v>
          </cell>
          <cell r="G76">
            <v>0</v>
          </cell>
          <cell r="H76">
            <v>0</v>
          </cell>
          <cell r="I76">
            <v>0</v>
          </cell>
          <cell r="J76">
            <v>0</v>
          </cell>
          <cell r="K76" t="str">
            <v>M+L</v>
          </cell>
          <cell r="L76" t="str">
            <v>M+L</v>
          </cell>
          <cell r="M76">
            <v>0</v>
          </cell>
          <cell r="N76">
            <v>0</v>
          </cell>
          <cell r="O76">
            <v>200</v>
          </cell>
          <cell r="P76">
            <v>25000</v>
          </cell>
          <cell r="Q76">
            <v>0</v>
          </cell>
        </row>
        <row r="77">
          <cell r="A77">
            <v>20</v>
          </cell>
          <cell r="B77" t="str">
            <v xml:space="preserve"> MISCELLANEOUS </v>
          </cell>
          <cell r="C77">
            <v>1</v>
          </cell>
          <cell r="D77" t="str">
            <v>LOT</v>
          </cell>
          <cell r="E77">
            <v>31995.239999999998</v>
          </cell>
          <cell r="F77">
            <v>31995</v>
          </cell>
          <cell r="I77">
            <v>32.85</v>
          </cell>
          <cell r="J77">
            <v>33</v>
          </cell>
          <cell r="K77">
            <v>31995</v>
          </cell>
          <cell r="L77">
            <v>31995</v>
          </cell>
          <cell r="M77">
            <v>0</v>
          </cell>
          <cell r="N77">
            <v>0</v>
          </cell>
          <cell r="O77">
            <v>9198</v>
          </cell>
          <cell r="P77">
            <v>9198</v>
          </cell>
        </row>
        <row r="78">
          <cell r="B78" t="str">
            <v>SUB-TOTAL : (ALT-2)</v>
          </cell>
          <cell r="F78">
            <v>7206503</v>
          </cell>
          <cell r="H78">
            <v>0</v>
          </cell>
          <cell r="J78">
            <v>2052</v>
          </cell>
          <cell r="K78">
            <v>0</v>
          </cell>
          <cell r="L78">
            <v>7206503</v>
          </cell>
          <cell r="M78">
            <v>0</v>
          </cell>
          <cell r="N78">
            <v>0</v>
          </cell>
          <cell r="O78">
            <v>0</v>
          </cell>
          <cell r="P78">
            <v>1030498</v>
          </cell>
          <cell r="Q78">
            <v>2052</v>
          </cell>
        </row>
        <row r="82">
          <cell r="A82" t="str">
            <v xml:space="preserve">  A.</v>
          </cell>
          <cell r="B82" t="str">
            <v xml:space="preserve"> POWER EQUIPMENT </v>
          </cell>
          <cell r="C82">
            <v>0</v>
          </cell>
          <cell r="D82">
            <v>0</v>
          </cell>
          <cell r="F82">
            <v>0</v>
          </cell>
          <cell r="H82">
            <v>0</v>
          </cell>
          <cell r="J82">
            <v>0</v>
          </cell>
          <cell r="K82">
            <v>0</v>
          </cell>
          <cell r="L82">
            <v>0</v>
          </cell>
          <cell r="M82">
            <v>0</v>
          </cell>
          <cell r="N82">
            <v>0</v>
          </cell>
          <cell r="O82">
            <v>0</v>
          </cell>
          <cell r="P82">
            <v>0</v>
          </cell>
        </row>
        <row r="83">
          <cell r="F83">
            <v>0</v>
          </cell>
          <cell r="H83">
            <v>0</v>
          </cell>
          <cell r="J83">
            <v>0</v>
          </cell>
          <cell r="K83">
            <v>0</v>
          </cell>
          <cell r="L83">
            <v>0</v>
          </cell>
          <cell r="M83">
            <v>0</v>
          </cell>
          <cell r="N83">
            <v>0</v>
          </cell>
          <cell r="O83">
            <v>0</v>
          </cell>
          <cell r="P83">
            <v>0</v>
          </cell>
        </row>
        <row r="84">
          <cell r="A84" t="str">
            <v>*</v>
          </cell>
          <cell r="B84" t="str">
            <v>DWG. NO. XK11A-0000-01</v>
          </cell>
          <cell r="F84">
            <v>0</v>
          </cell>
          <cell r="H84">
            <v>0</v>
          </cell>
          <cell r="J84">
            <v>0</v>
          </cell>
          <cell r="K84">
            <v>0</v>
          </cell>
          <cell r="L84">
            <v>0</v>
          </cell>
          <cell r="M84">
            <v>0</v>
          </cell>
          <cell r="N84">
            <v>0</v>
          </cell>
          <cell r="O84">
            <v>0</v>
          </cell>
          <cell r="P84">
            <v>0</v>
          </cell>
        </row>
        <row r="85">
          <cell r="A85" t="str">
            <v>A.1</v>
          </cell>
          <cell r="B85" t="str">
            <v>161KV SWITCHGEAR AREA</v>
          </cell>
          <cell r="F85">
            <v>0</v>
          </cell>
          <cell r="H85">
            <v>0</v>
          </cell>
          <cell r="J85">
            <v>0</v>
          </cell>
          <cell r="K85">
            <v>0</v>
          </cell>
          <cell r="L85">
            <v>0</v>
          </cell>
          <cell r="M85">
            <v>0</v>
          </cell>
          <cell r="N85">
            <v>0</v>
          </cell>
          <cell r="O85">
            <v>0</v>
          </cell>
          <cell r="P85">
            <v>0</v>
          </cell>
        </row>
        <row r="86">
          <cell r="A86" t="str">
            <v>A.1.1</v>
          </cell>
          <cell r="B86" t="str">
            <v xml:space="preserve">  161KV SF6 GIS ,1250A 50KA , 2 BAYS ,W/ GCB, DS, ES, MOF, LA, CT…..</v>
          </cell>
          <cell r="C86">
            <v>1</v>
          </cell>
          <cell r="D86" t="str">
            <v>SET</v>
          </cell>
          <cell r="E86">
            <v>50540000</v>
          </cell>
          <cell r="F86">
            <v>50540000</v>
          </cell>
          <cell r="H86">
            <v>0</v>
          </cell>
          <cell r="I86">
            <v>4038</v>
          </cell>
          <cell r="J86">
            <v>4038</v>
          </cell>
          <cell r="K86">
            <v>50540000</v>
          </cell>
          <cell r="L86">
            <v>50540000</v>
          </cell>
          <cell r="M86">
            <v>0</v>
          </cell>
          <cell r="N86">
            <v>0</v>
          </cell>
          <cell r="O86">
            <v>1620000</v>
          </cell>
          <cell r="P86">
            <v>1620000</v>
          </cell>
        </row>
        <row r="87">
          <cell r="A87" t="str">
            <v>A.1.2</v>
          </cell>
          <cell r="B87" t="str">
            <v xml:space="preserve">  RELAY &amp; CONTROL PANEL, FOR GIS PANEL ,W/CONTROL CABLE &amp; PILOTWIRE RL</v>
          </cell>
          <cell r="C87">
            <v>1</v>
          </cell>
          <cell r="D87" t="str">
            <v>LOT</v>
          </cell>
          <cell r="E87">
            <v>3412700</v>
          </cell>
          <cell r="F87">
            <v>3412700</v>
          </cell>
          <cell r="H87">
            <v>0</v>
          </cell>
          <cell r="I87">
            <v>500</v>
          </cell>
          <cell r="J87">
            <v>500</v>
          </cell>
          <cell r="K87">
            <v>3412700</v>
          </cell>
          <cell r="L87">
            <v>3412700</v>
          </cell>
          <cell r="M87">
            <v>0</v>
          </cell>
          <cell r="N87">
            <v>0</v>
          </cell>
          <cell r="O87">
            <v>200000</v>
          </cell>
          <cell r="P87">
            <v>200000</v>
          </cell>
        </row>
        <row r="88">
          <cell r="A88" t="str">
            <v>A.1.3</v>
          </cell>
          <cell r="B88" t="str">
            <v xml:space="preserve">  161KV POWER CABLE  , 1/C 250 SQ.MM</v>
          </cell>
          <cell r="C88">
            <v>330</v>
          </cell>
          <cell r="D88" t="str">
            <v>M</v>
          </cell>
          <cell r="E88">
            <v>1680</v>
          </cell>
          <cell r="F88">
            <v>554400</v>
          </cell>
          <cell r="H88">
            <v>0</v>
          </cell>
          <cell r="I88">
            <v>1.1519999999999999</v>
          </cell>
          <cell r="J88">
            <v>380</v>
          </cell>
          <cell r="K88">
            <v>1680</v>
          </cell>
          <cell r="L88">
            <v>554400</v>
          </cell>
          <cell r="M88">
            <v>0</v>
          </cell>
          <cell r="N88">
            <v>0</v>
          </cell>
          <cell r="O88">
            <v>323</v>
          </cell>
          <cell r="P88">
            <v>106590</v>
          </cell>
        </row>
        <row r="89">
          <cell r="A89" t="str">
            <v>A.1.4</v>
          </cell>
          <cell r="B89" t="str">
            <v xml:space="preserve">  161KV TERMINATION KIT, HEAT SHRINKABLE TYPE , 1/C 250 SQ.MM</v>
          </cell>
          <cell r="C89">
            <v>12</v>
          </cell>
          <cell r="D89" t="str">
            <v>SET</v>
          </cell>
          <cell r="E89">
            <v>210000</v>
          </cell>
          <cell r="F89">
            <v>2520000</v>
          </cell>
          <cell r="H89">
            <v>0</v>
          </cell>
          <cell r="I89">
            <v>133</v>
          </cell>
          <cell r="J89">
            <v>1596</v>
          </cell>
          <cell r="K89">
            <v>210000</v>
          </cell>
          <cell r="L89">
            <v>2520000</v>
          </cell>
          <cell r="M89">
            <v>0</v>
          </cell>
          <cell r="N89">
            <v>0</v>
          </cell>
          <cell r="O89">
            <v>53200</v>
          </cell>
          <cell r="P89">
            <v>638400</v>
          </cell>
        </row>
        <row r="90">
          <cell r="A90" t="str">
            <v>A.1.5</v>
          </cell>
          <cell r="B90" t="str">
            <v xml:space="preserve">  MAIN POWER TRANSFORMER W/NGR &amp; LA*3, OIL-IMMERSED , 161KV/6.9KV 30/40MVA</v>
          </cell>
          <cell r="C90">
            <v>2</v>
          </cell>
          <cell r="D90" t="str">
            <v>SET</v>
          </cell>
          <cell r="E90">
            <v>10460000</v>
          </cell>
          <cell r="F90">
            <v>20920000</v>
          </cell>
          <cell r="H90">
            <v>0</v>
          </cell>
          <cell r="I90">
            <v>595</v>
          </cell>
          <cell r="J90">
            <v>1190</v>
          </cell>
          <cell r="K90">
            <v>10460000</v>
          </cell>
          <cell r="L90">
            <v>20920000</v>
          </cell>
          <cell r="M90">
            <v>0</v>
          </cell>
          <cell r="N90">
            <v>0</v>
          </cell>
          <cell r="O90">
            <v>238000</v>
          </cell>
          <cell r="P90">
            <v>476000</v>
          </cell>
        </row>
        <row r="91">
          <cell r="A91" t="str">
            <v>A.1.6</v>
          </cell>
          <cell r="B91" t="str">
            <v xml:space="preserve">  6.9KV BUS DUCT , 4000A INDOOR/OUTDOOR , 8M LG , 40KA</v>
          </cell>
          <cell r="C91">
            <v>2</v>
          </cell>
          <cell r="D91" t="str">
            <v>SET</v>
          </cell>
          <cell r="E91">
            <v>840000</v>
          </cell>
          <cell r="F91">
            <v>1680000</v>
          </cell>
          <cell r="H91">
            <v>0</v>
          </cell>
          <cell r="I91">
            <v>80</v>
          </cell>
          <cell r="J91">
            <v>160</v>
          </cell>
          <cell r="K91">
            <v>840000</v>
          </cell>
          <cell r="L91">
            <v>1680000</v>
          </cell>
          <cell r="M91">
            <v>0</v>
          </cell>
          <cell r="N91">
            <v>0</v>
          </cell>
          <cell r="O91">
            <v>22400</v>
          </cell>
          <cell r="P91">
            <v>44800</v>
          </cell>
        </row>
        <row r="92">
          <cell r="B92" t="str">
            <v>SUB-TOTAL (A.1)</v>
          </cell>
          <cell r="F92">
            <v>79627100</v>
          </cell>
          <cell r="J92">
            <v>7864</v>
          </cell>
          <cell r="L92">
            <v>79627100</v>
          </cell>
          <cell r="P92">
            <v>3085790</v>
          </cell>
        </row>
        <row r="93">
          <cell r="F93">
            <v>0</v>
          </cell>
          <cell r="H93">
            <v>0</v>
          </cell>
          <cell r="J93">
            <v>0</v>
          </cell>
          <cell r="K93">
            <v>0</v>
          </cell>
          <cell r="L93">
            <v>0</v>
          </cell>
          <cell r="M93">
            <v>0</v>
          </cell>
          <cell r="N93">
            <v>0</v>
          </cell>
          <cell r="O93">
            <v>0</v>
          </cell>
          <cell r="P93">
            <v>0</v>
          </cell>
        </row>
        <row r="94">
          <cell r="A94" t="str">
            <v>*</v>
          </cell>
          <cell r="B94" t="str">
            <v>DWG. NO. XK11A-0000-02, 03 , 04</v>
          </cell>
          <cell r="F94">
            <v>0</v>
          </cell>
          <cell r="H94">
            <v>0</v>
          </cell>
          <cell r="J94">
            <v>0</v>
          </cell>
          <cell r="K94">
            <v>0</v>
          </cell>
          <cell r="L94">
            <v>0</v>
          </cell>
          <cell r="M94">
            <v>0</v>
          </cell>
          <cell r="N94">
            <v>0</v>
          </cell>
          <cell r="O94">
            <v>0</v>
          </cell>
          <cell r="P94">
            <v>0</v>
          </cell>
        </row>
        <row r="95">
          <cell r="A95" t="str">
            <v xml:space="preserve">   A.2</v>
          </cell>
          <cell r="B95" t="str">
            <v>MAIN SUBSTATION (公共設施)</v>
          </cell>
          <cell r="H95">
            <v>0</v>
          </cell>
          <cell r="J95">
            <v>0</v>
          </cell>
          <cell r="K95">
            <v>0</v>
          </cell>
          <cell r="L95">
            <v>0</v>
          </cell>
          <cell r="M95">
            <v>0</v>
          </cell>
          <cell r="N95">
            <v>0</v>
          </cell>
          <cell r="O95">
            <v>0</v>
          </cell>
          <cell r="P95">
            <v>0</v>
          </cell>
        </row>
        <row r="96">
          <cell r="A96" t="str">
            <v>A.2.1</v>
          </cell>
          <cell r="B96" t="str">
            <v xml:space="preserve">  6.9KV VCB 4000A 40KA , SWITCHGEAR INCOMING &amp; TIE PANEL </v>
          </cell>
          <cell r="C96">
            <v>3</v>
          </cell>
          <cell r="D96" t="str">
            <v>PNL</v>
          </cell>
          <cell r="E96">
            <v>1300000</v>
          </cell>
          <cell r="F96">
            <v>3900000</v>
          </cell>
          <cell r="H96">
            <v>0</v>
          </cell>
          <cell r="I96">
            <v>30</v>
          </cell>
          <cell r="J96">
            <v>90</v>
          </cell>
          <cell r="K96">
            <v>1300000</v>
          </cell>
          <cell r="L96">
            <v>3900000</v>
          </cell>
          <cell r="M96">
            <v>0</v>
          </cell>
          <cell r="N96">
            <v>0</v>
          </cell>
          <cell r="O96">
            <v>8400</v>
          </cell>
          <cell r="P96">
            <v>25200</v>
          </cell>
        </row>
        <row r="97">
          <cell r="A97" t="str">
            <v>A.2.2</v>
          </cell>
          <cell r="B97" t="str">
            <v xml:space="preserve">  6.9KV VCB 1250A 40KA , SWITCHGEAR FEEDER PANEL </v>
          </cell>
          <cell r="C97">
            <v>6</v>
          </cell>
          <cell r="D97" t="str">
            <v>PNL</v>
          </cell>
          <cell r="E97">
            <v>750000</v>
          </cell>
          <cell r="F97">
            <v>4500000</v>
          </cell>
          <cell r="H97">
            <v>0</v>
          </cell>
          <cell r="I97">
            <v>20</v>
          </cell>
          <cell r="J97">
            <v>120</v>
          </cell>
          <cell r="K97">
            <v>750000</v>
          </cell>
          <cell r="L97">
            <v>4500000</v>
          </cell>
          <cell r="M97">
            <v>0</v>
          </cell>
          <cell r="N97">
            <v>0</v>
          </cell>
          <cell r="O97">
            <v>5600</v>
          </cell>
          <cell r="P97">
            <v>33600</v>
          </cell>
        </row>
        <row r="98">
          <cell r="A98" t="str">
            <v>A.2.3</v>
          </cell>
          <cell r="B98" t="str">
            <v xml:space="preserve">  6.9KV 500KVA , W/GCS , CAPACIATOR PANEL</v>
          </cell>
          <cell r="C98">
            <v>2</v>
          </cell>
          <cell r="D98" t="str">
            <v>PNL</v>
          </cell>
          <cell r="E98">
            <v>600000</v>
          </cell>
          <cell r="F98">
            <v>1200000</v>
          </cell>
          <cell r="H98">
            <v>0</v>
          </cell>
          <cell r="I98">
            <v>20</v>
          </cell>
          <cell r="J98">
            <v>40</v>
          </cell>
          <cell r="K98">
            <v>600000</v>
          </cell>
          <cell r="L98">
            <v>1200000</v>
          </cell>
          <cell r="M98">
            <v>0</v>
          </cell>
          <cell r="N98">
            <v>0</v>
          </cell>
          <cell r="O98">
            <v>5600</v>
          </cell>
          <cell r="P98">
            <v>11200</v>
          </cell>
        </row>
        <row r="99">
          <cell r="A99" t="str">
            <v>A.2.4</v>
          </cell>
          <cell r="B99" t="str">
            <v xml:space="preserve">  CAST RESIN DRY TYPE TR. , IP20 ENCLOSURE , 3 PHASE 6.9KV/480V ,1000KVA </v>
          </cell>
          <cell r="C99">
            <v>2</v>
          </cell>
          <cell r="D99" t="str">
            <v>SET</v>
          </cell>
          <cell r="E99">
            <v>410000</v>
          </cell>
          <cell r="F99">
            <v>820000</v>
          </cell>
          <cell r="H99">
            <v>0</v>
          </cell>
          <cell r="I99">
            <v>108</v>
          </cell>
          <cell r="J99">
            <v>216</v>
          </cell>
          <cell r="K99">
            <v>410000</v>
          </cell>
          <cell r="L99">
            <v>820000</v>
          </cell>
          <cell r="M99">
            <v>0</v>
          </cell>
          <cell r="N99">
            <v>0</v>
          </cell>
          <cell r="O99">
            <v>30240</v>
          </cell>
          <cell r="P99">
            <v>60480</v>
          </cell>
        </row>
        <row r="100">
          <cell r="A100" t="str">
            <v>A.2.5</v>
          </cell>
          <cell r="B100" t="str">
            <v xml:space="preserve">  480V BUS DUCT, 3PH 3W, 1600A INDOOR, 30KA , 6M LG</v>
          </cell>
          <cell r="C100">
            <v>2</v>
          </cell>
          <cell r="D100" t="str">
            <v>SET</v>
          </cell>
          <cell r="E100">
            <v>210000</v>
          </cell>
          <cell r="F100">
            <v>420000</v>
          </cell>
          <cell r="H100">
            <v>0</v>
          </cell>
          <cell r="I100">
            <v>36</v>
          </cell>
          <cell r="J100">
            <v>72</v>
          </cell>
          <cell r="K100">
            <v>210000</v>
          </cell>
          <cell r="L100">
            <v>420000</v>
          </cell>
          <cell r="M100">
            <v>0</v>
          </cell>
          <cell r="N100">
            <v>0</v>
          </cell>
          <cell r="O100">
            <v>10080</v>
          </cell>
          <cell r="P100">
            <v>20160</v>
          </cell>
        </row>
        <row r="101">
          <cell r="A101" t="str">
            <v>A.2.6</v>
          </cell>
          <cell r="B101" t="str">
            <v xml:space="preserve">  480V SWGR , 30KA, INCOMING ACB1600Ax2PNL &amp; TIE ACB1600A </v>
          </cell>
          <cell r="C101">
            <v>1</v>
          </cell>
          <cell r="D101" t="str">
            <v>LOT</v>
          </cell>
          <cell r="E101">
            <v>1100000</v>
          </cell>
          <cell r="F101">
            <v>1100000</v>
          </cell>
          <cell r="H101">
            <v>0</v>
          </cell>
          <cell r="I101">
            <v>60</v>
          </cell>
          <cell r="J101">
            <v>60</v>
          </cell>
          <cell r="K101">
            <v>1100000</v>
          </cell>
          <cell r="L101">
            <v>1100000</v>
          </cell>
          <cell r="M101">
            <v>0</v>
          </cell>
          <cell r="N101">
            <v>0</v>
          </cell>
          <cell r="O101">
            <v>16800</v>
          </cell>
          <cell r="P101">
            <v>16800</v>
          </cell>
        </row>
        <row r="102">
          <cell r="A102" t="str">
            <v>A.2.7</v>
          </cell>
          <cell r="B102" t="str">
            <v xml:space="preserve">  480V MCC SINGLE FACE , 30KA</v>
          </cell>
          <cell r="C102">
            <v>7</v>
          </cell>
          <cell r="D102" t="str">
            <v>PNL</v>
          </cell>
          <cell r="E102">
            <v>120000</v>
          </cell>
          <cell r="F102">
            <v>840000</v>
          </cell>
          <cell r="H102">
            <v>0</v>
          </cell>
          <cell r="I102">
            <v>15</v>
          </cell>
          <cell r="J102">
            <v>105</v>
          </cell>
          <cell r="K102">
            <v>120000</v>
          </cell>
          <cell r="L102">
            <v>840000</v>
          </cell>
          <cell r="M102">
            <v>0</v>
          </cell>
          <cell r="N102">
            <v>0</v>
          </cell>
          <cell r="O102">
            <v>4200</v>
          </cell>
          <cell r="P102">
            <v>29400</v>
          </cell>
        </row>
        <row r="103">
          <cell r="B103" t="str">
            <v>SUB-TOTAL (A.2)</v>
          </cell>
          <cell r="F103">
            <v>12780000</v>
          </cell>
          <cell r="J103">
            <v>703</v>
          </cell>
          <cell r="L103">
            <v>12780000</v>
          </cell>
          <cell r="P103">
            <v>196840</v>
          </cell>
        </row>
        <row r="105">
          <cell r="A105" t="str">
            <v>*</v>
          </cell>
          <cell r="B105" t="str">
            <v>DWG. NO. XK11A-0000-05,06,07,08</v>
          </cell>
          <cell r="F105">
            <v>0</v>
          </cell>
          <cell r="H105">
            <v>0</v>
          </cell>
          <cell r="J105">
            <v>0</v>
          </cell>
          <cell r="K105">
            <v>0</v>
          </cell>
          <cell r="L105">
            <v>0</v>
          </cell>
          <cell r="M105">
            <v>0</v>
          </cell>
          <cell r="N105">
            <v>0</v>
          </cell>
          <cell r="O105">
            <v>0</v>
          </cell>
          <cell r="P105">
            <v>0</v>
          </cell>
        </row>
        <row r="106">
          <cell r="A106" t="str">
            <v xml:space="preserve">   A.3</v>
          </cell>
          <cell r="B106" t="str">
            <v>NO.1 SUBSTATION (場區)</v>
          </cell>
          <cell r="F106">
            <v>0</v>
          </cell>
          <cell r="H106">
            <v>0</v>
          </cell>
          <cell r="J106">
            <v>0</v>
          </cell>
          <cell r="K106">
            <v>0</v>
          </cell>
          <cell r="L106">
            <v>0</v>
          </cell>
          <cell r="M106">
            <v>0</v>
          </cell>
          <cell r="N106">
            <v>0</v>
          </cell>
          <cell r="O106">
            <v>0</v>
          </cell>
          <cell r="P106">
            <v>0</v>
          </cell>
        </row>
        <row r="107">
          <cell r="A107" t="str">
            <v>A.3.1</v>
          </cell>
          <cell r="B107" t="str">
            <v xml:space="preserve">  6.9KV VCB 1250A 40KA , SWITCHGEAR INCOMING &amp; TIE PANEL &amp; FEEDER PANEL</v>
          </cell>
          <cell r="C107">
            <v>5</v>
          </cell>
          <cell r="D107" t="str">
            <v>PNL</v>
          </cell>
          <cell r="E107">
            <v>800000</v>
          </cell>
          <cell r="F107">
            <v>4000000</v>
          </cell>
          <cell r="H107">
            <v>0</v>
          </cell>
          <cell r="I107">
            <v>20</v>
          </cell>
          <cell r="J107">
            <v>100</v>
          </cell>
          <cell r="K107">
            <v>800000</v>
          </cell>
          <cell r="L107">
            <v>4000000</v>
          </cell>
          <cell r="M107">
            <v>0</v>
          </cell>
          <cell r="N107">
            <v>0</v>
          </cell>
          <cell r="O107">
            <v>5600</v>
          </cell>
          <cell r="P107">
            <v>28000</v>
          </cell>
        </row>
        <row r="108">
          <cell r="A108" t="str">
            <v>A.3.2</v>
          </cell>
          <cell r="B108" t="str">
            <v xml:space="preserve">  6.9KV GCS ,  NEMA CLASS E2 , MCC PANEL</v>
          </cell>
          <cell r="C108">
            <v>10</v>
          </cell>
          <cell r="D108" t="str">
            <v>PNL</v>
          </cell>
          <cell r="E108">
            <v>500000</v>
          </cell>
          <cell r="F108">
            <v>5000000</v>
          </cell>
          <cell r="H108">
            <v>0</v>
          </cell>
          <cell r="I108">
            <v>20</v>
          </cell>
          <cell r="J108">
            <v>200</v>
          </cell>
          <cell r="K108">
            <v>500000</v>
          </cell>
          <cell r="L108">
            <v>5000000</v>
          </cell>
          <cell r="M108">
            <v>0</v>
          </cell>
          <cell r="N108">
            <v>0</v>
          </cell>
          <cell r="O108">
            <v>5600</v>
          </cell>
          <cell r="P108">
            <v>56000</v>
          </cell>
        </row>
        <row r="109">
          <cell r="A109" t="str">
            <v>A.3.3</v>
          </cell>
          <cell r="B109" t="str">
            <v xml:space="preserve">  6.9KV 500KVA , W/GCS , CAPACIATOR PANEL</v>
          </cell>
          <cell r="C109">
            <v>8</v>
          </cell>
          <cell r="D109" t="str">
            <v>PNL</v>
          </cell>
          <cell r="E109">
            <v>600000</v>
          </cell>
          <cell r="F109">
            <v>4800000</v>
          </cell>
          <cell r="H109">
            <v>0</v>
          </cell>
          <cell r="I109">
            <v>20</v>
          </cell>
          <cell r="J109">
            <v>160</v>
          </cell>
          <cell r="K109">
            <v>600000</v>
          </cell>
          <cell r="L109">
            <v>4800000</v>
          </cell>
          <cell r="M109">
            <v>0</v>
          </cell>
          <cell r="N109">
            <v>0</v>
          </cell>
          <cell r="O109">
            <v>5600</v>
          </cell>
          <cell r="P109">
            <v>44800</v>
          </cell>
        </row>
        <row r="110">
          <cell r="A110" t="str">
            <v>A.3.4</v>
          </cell>
          <cell r="B110" t="str">
            <v xml:space="preserve">  CAST RESIN DRY TYPE TR. , IP20 ENCLOSURE , 3 PHASE 6.9KV/480V ,2000/2500KVA </v>
          </cell>
          <cell r="C110">
            <v>2</v>
          </cell>
          <cell r="D110" t="str">
            <v>SET</v>
          </cell>
          <cell r="E110">
            <v>652000</v>
          </cell>
          <cell r="F110">
            <v>1304000</v>
          </cell>
          <cell r="H110">
            <v>0</v>
          </cell>
          <cell r="I110">
            <v>170</v>
          </cell>
          <cell r="J110">
            <v>340</v>
          </cell>
          <cell r="K110">
            <v>652000</v>
          </cell>
          <cell r="L110">
            <v>1304000</v>
          </cell>
          <cell r="M110">
            <v>0</v>
          </cell>
          <cell r="N110">
            <v>0</v>
          </cell>
          <cell r="O110">
            <v>47600</v>
          </cell>
          <cell r="P110">
            <v>95200</v>
          </cell>
        </row>
        <row r="111">
          <cell r="A111" t="str">
            <v>A.3.5</v>
          </cell>
          <cell r="B111" t="str">
            <v xml:space="preserve">  480V BUS DUCT, 3PH 3W, 4000A INDOOR, 65KA , 6M LG</v>
          </cell>
          <cell r="C111">
            <v>2</v>
          </cell>
          <cell r="D111" t="str">
            <v>SET</v>
          </cell>
          <cell r="E111">
            <v>350000</v>
          </cell>
          <cell r="F111">
            <v>700000</v>
          </cell>
          <cell r="H111">
            <v>0</v>
          </cell>
          <cell r="I111">
            <v>36</v>
          </cell>
          <cell r="J111">
            <v>72</v>
          </cell>
          <cell r="K111">
            <v>350000</v>
          </cell>
          <cell r="L111">
            <v>700000</v>
          </cell>
          <cell r="M111">
            <v>0</v>
          </cell>
          <cell r="N111">
            <v>0</v>
          </cell>
          <cell r="O111">
            <v>10080</v>
          </cell>
          <cell r="P111">
            <v>20160</v>
          </cell>
        </row>
        <row r="112">
          <cell r="A112" t="str">
            <v>A.3.6</v>
          </cell>
          <cell r="B112" t="str">
            <v xml:space="preserve">  480V SWGR , 65KA, INCOMING ACB4000Ax2PNL &amp; TIE ACB4000A</v>
          </cell>
          <cell r="C112">
            <v>1</v>
          </cell>
          <cell r="D112" t="str">
            <v>LOT</v>
          </cell>
          <cell r="E112">
            <v>1830000</v>
          </cell>
          <cell r="F112">
            <v>1830000</v>
          </cell>
          <cell r="H112">
            <v>0</v>
          </cell>
          <cell r="I112">
            <v>60</v>
          </cell>
          <cell r="J112">
            <v>60</v>
          </cell>
          <cell r="K112">
            <v>1830000</v>
          </cell>
          <cell r="L112">
            <v>1830000</v>
          </cell>
          <cell r="M112">
            <v>0</v>
          </cell>
          <cell r="N112">
            <v>0</v>
          </cell>
          <cell r="O112">
            <v>16800</v>
          </cell>
          <cell r="P112">
            <v>16800</v>
          </cell>
        </row>
        <row r="113">
          <cell r="A113" t="str">
            <v>A.3.7</v>
          </cell>
          <cell r="B113" t="str">
            <v xml:space="preserve">  480V MCC SINGLE FACE , 65KA</v>
          </cell>
          <cell r="C113">
            <v>19</v>
          </cell>
          <cell r="D113" t="str">
            <v>PNL</v>
          </cell>
          <cell r="E113">
            <v>160000</v>
          </cell>
          <cell r="F113">
            <v>3040000</v>
          </cell>
          <cell r="H113">
            <v>0</v>
          </cell>
          <cell r="I113">
            <v>15</v>
          </cell>
          <cell r="J113">
            <v>285</v>
          </cell>
          <cell r="K113">
            <v>160000</v>
          </cell>
          <cell r="L113">
            <v>3040000</v>
          </cell>
          <cell r="M113">
            <v>0</v>
          </cell>
          <cell r="N113">
            <v>0</v>
          </cell>
          <cell r="O113">
            <v>4200</v>
          </cell>
          <cell r="P113">
            <v>79800</v>
          </cell>
        </row>
        <row r="114">
          <cell r="A114" t="str">
            <v>A.3.8</v>
          </cell>
          <cell r="B114" t="str">
            <v xml:space="preserve">  480V EMERGENCY SWGR , 65KA, 4000A ACB</v>
          </cell>
          <cell r="C114">
            <v>2</v>
          </cell>
          <cell r="D114" t="str">
            <v>PNL</v>
          </cell>
          <cell r="E114">
            <v>610000</v>
          </cell>
          <cell r="F114">
            <v>1220000</v>
          </cell>
          <cell r="H114">
            <v>0</v>
          </cell>
          <cell r="I114">
            <v>20</v>
          </cell>
          <cell r="J114">
            <v>40</v>
          </cell>
          <cell r="K114">
            <v>610000</v>
          </cell>
          <cell r="L114">
            <v>1220000</v>
          </cell>
          <cell r="M114">
            <v>0</v>
          </cell>
          <cell r="N114">
            <v>0</v>
          </cell>
          <cell r="O114">
            <v>5600</v>
          </cell>
          <cell r="P114">
            <v>11200</v>
          </cell>
        </row>
        <row r="115">
          <cell r="A115" t="str">
            <v>A.3.9</v>
          </cell>
          <cell r="B115" t="str">
            <v xml:space="preserve">  480V EMERGENCY MCC SINGLE FACE , 40KA</v>
          </cell>
          <cell r="C115">
            <v>3</v>
          </cell>
          <cell r="D115" t="str">
            <v>PNL</v>
          </cell>
          <cell r="E115">
            <v>140000</v>
          </cell>
          <cell r="F115">
            <v>420000</v>
          </cell>
          <cell r="H115">
            <v>0</v>
          </cell>
          <cell r="I115">
            <v>15</v>
          </cell>
          <cell r="J115">
            <v>45</v>
          </cell>
          <cell r="K115">
            <v>140000</v>
          </cell>
          <cell r="L115">
            <v>420000</v>
          </cell>
          <cell r="M115">
            <v>0</v>
          </cell>
          <cell r="N115">
            <v>0</v>
          </cell>
          <cell r="O115">
            <v>4200</v>
          </cell>
          <cell r="P115">
            <v>12600</v>
          </cell>
        </row>
        <row r="116">
          <cell r="B116" t="str">
            <v>SUB-TOTAL (A.3)</v>
          </cell>
          <cell r="F116">
            <v>22314000</v>
          </cell>
          <cell r="J116">
            <v>1302</v>
          </cell>
          <cell r="L116">
            <v>22314000</v>
          </cell>
          <cell r="P116">
            <v>364560</v>
          </cell>
        </row>
        <row r="117">
          <cell r="F117">
            <v>0</v>
          </cell>
          <cell r="H117">
            <v>0</v>
          </cell>
          <cell r="J117">
            <v>0</v>
          </cell>
          <cell r="K117">
            <v>0</v>
          </cell>
          <cell r="L117">
            <v>0</v>
          </cell>
          <cell r="M117">
            <v>0</v>
          </cell>
          <cell r="N117">
            <v>0</v>
          </cell>
          <cell r="O117">
            <v>0</v>
          </cell>
          <cell r="P117">
            <v>0</v>
          </cell>
        </row>
        <row r="118">
          <cell r="A118" t="str">
            <v>*</v>
          </cell>
          <cell r="B118" t="str">
            <v>DWG. NO. XK11A-0000-09,10</v>
          </cell>
          <cell r="F118">
            <v>0</v>
          </cell>
          <cell r="H118">
            <v>0</v>
          </cell>
          <cell r="J118">
            <v>0</v>
          </cell>
          <cell r="K118">
            <v>0</v>
          </cell>
          <cell r="L118">
            <v>0</v>
          </cell>
          <cell r="M118">
            <v>0</v>
          </cell>
          <cell r="N118">
            <v>0</v>
          </cell>
          <cell r="O118">
            <v>0</v>
          </cell>
          <cell r="P118">
            <v>0</v>
          </cell>
        </row>
        <row r="119">
          <cell r="A119" t="str">
            <v xml:space="preserve">   A.4</v>
          </cell>
          <cell r="B119" t="str">
            <v>NO.2 SUBSTATION (碼頭區)</v>
          </cell>
          <cell r="F119">
            <v>0</v>
          </cell>
          <cell r="H119">
            <v>0</v>
          </cell>
          <cell r="J119">
            <v>0</v>
          </cell>
          <cell r="K119">
            <v>0</v>
          </cell>
          <cell r="L119">
            <v>0</v>
          </cell>
          <cell r="M119">
            <v>0</v>
          </cell>
          <cell r="N119">
            <v>0</v>
          </cell>
          <cell r="O119">
            <v>0</v>
          </cell>
          <cell r="P119">
            <v>0</v>
          </cell>
        </row>
        <row r="120">
          <cell r="A120" t="str">
            <v>A.4.1</v>
          </cell>
          <cell r="B120" t="str">
            <v xml:space="preserve">  6.9KV VCB 1250A 40KA , SWITCHGEAR INCOMING &amp; TIE PANEL &amp; FEEDER PANEL</v>
          </cell>
          <cell r="C120">
            <v>5</v>
          </cell>
          <cell r="D120" t="str">
            <v>PNL</v>
          </cell>
          <cell r="E120">
            <v>800000</v>
          </cell>
          <cell r="F120">
            <v>4000000</v>
          </cell>
          <cell r="H120">
            <v>0</v>
          </cell>
          <cell r="I120">
            <v>20</v>
          </cell>
          <cell r="J120">
            <v>100</v>
          </cell>
          <cell r="K120">
            <v>800000</v>
          </cell>
          <cell r="L120">
            <v>4000000</v>
          </cell>
          <cell r="M120">
            <v>0</v>
          </cell>
          <cell r="N120">
            <v>0</v>
          </cell>
          <cell r="O120">
            <v>5600</v>
          </cell>
          <cell r="P120">
            <v>28000</v>
          </cell>
        </row>
        <row r="121">
          <cell r="A121" t="str">
            <v>A.4.2</v>
          </cell>
          <cell r="B121" t="str">
            <v xml:space="preserve">  6.9KV VCB 1250A , MCC PANEL</v>
          </cell>
          <cell r="C121">
            <v>3</v>
          </cell>
          <cell r="D121" t="str">
            <v>PNL</v>
          </cell>
          <cell r="E121">
            <v>700000</v>
          </cell>
          <cell r="F121">
            <v>2100000</v>
          </cell>
          <cell r="H121">
            <v>0</v>
          </cell>
          <cell r="I121">
            <v>20</v>
          </cell>
          <cell r="J121">
            <v>60</v>
          </cell>
          <cell r="K121">
            <v>700000</v>
          </cell>
          <cell r="L121">
            <v>2100000</v>
          </cell>
          <cell r="M121">
            <v>0</v>
          </cell>
          <cell r="N121">
            <v>0</v>
          </cell>
          <cell r="O121">
            <v>5600</v>
          </cell>
          <cell r="P121">
            <v>16800</v>
          </cell>
        </row>
        <row r="122">
          <cell r="A122" t="str">
            <v>A.4.3</v>
          </cell>
          <cell r="B122" t="str">
            <v xml:space="preserve">  6.9KV 500KVA , W/GCS , CAPACIATOR PANEL</v>
          </cell>
          <cell r="C122">
            <v>2</v>
          </cell>
          <cell r="D122" t="str">
            <v>PNL</v>
          </cell>
          <cell r="E122">
            <v>600000</v>
          </cell>
          <cell r="F122">
            <v>1200000</v>
          </cell>
          <cell r="H122">
            <v>0</v>
          </cell>
          <cell r="I122">
            <v>20</v>
          </cell>
          <cell r="J122">
            <v>40</v>
          </cell>
          <cell r="K122">
            <v>600000</v>
          </cell>
          <cell r="L122">
            <v>1200000</v>
          </cell>
          <cell r="M122">
            <v>0</v>
          </cell>
          <cell r="N122">
            <v>0</v>
          </cell>
          <cell r="O122">
            <v>5600</v>
          </cell>
          <cell r="P122">
            <v>11200</v>
          </cell>
        </row>
        <row r="123">
          <cell r="A123" t="str">
            <v>A.4.4</v>
          </cell>
          <cell r="B123" t="str">
            <v xml:space="preserve">  6.9KV 1000KVA , W/GCS , CAPACIATOR PANEL</v>
          </cell>
          <cell r="C123">
            <v>2</v>
          </cell>
          <cell r="D123" t="str">
            <v>PNL</v>
          </cell>
          <cell r="E123">
            <v>900000</v>
          </cell>
          <cell r="F123">
            <v>1800000</v>
          </cell>
          <cell r="H123">
            <v>0</v>
          </cell>
          <cell r="I123">
            <v>20</v>
          </cell>
          <cell r="J123">
            <v>40</v>
          </cell>
          <cell r="K123">
            <v>900000</v>
          </cell>
          <cell r="L123">
            <v>1800000</v>
          </cell>
          <cell r="M123">
            <v>0</v>
          </cell>
          <cell r="N123">
            <v>0</v>
          </cell>
          <cell r="O123">
            <v>5600</v>
          </cell>
          <cell r="P123">
            <v>11200</v>
          </cell>
        </row>
        <row r="124">
          <cell r="A124" t="str">
            <v>A.4.5</v>
          </cell>
          <cell r="B124" t="str">
            <v xml:space="preserve">  CAST RESIN DRY TYPE TR. , IP20 ENCLOSURE , 3 PHASE 6.9KV/480V ,1000KVA </v>
          </cell>
          <cell r="C124">
            <v>2</v>
          </cell>
          <cell r="D124" t="str">
            <v>SET</v>
          </cell>
          <cell r="E124">
            <v>410000</v>
          </cell>
          <cell r="F124">
            <v>820000</v>
          </cell>
          <cell r="H124">
            <v>0</v>
          </cell>
          <cell r="I124">
            <v>108</v>
          </cell>
          <cell r="J124">
            <v>216</v>
          </cell>
          <cell r="K124">
            <v>410000</v>
          </cell>
          <cell r="L124">
            <v>820000</v>
          </cell>
          <cell r="M124">
            <v>0</v>
          </cell>
          <cell r="N124">
            <v>0</v>
          </cell>
          <cell r="O124">
            <v>30240</v>
          </cell>
          <cell r="P124">
            <v>60480</v>
          </cell>
        </row>
        <row r="125">
          <cell r="A125" t="str">
            <v>A.4.6</v>
          </cell>
          <cell r="B125" t="str">
            <v xml:space="preserve">  480V BUS DUCT, 3PH 3W, 1600A INDOOR, 30KA , 6M LG</v>
          </cell>
          <cell r="C125">
            <v>2</v>
          </cell>
          <cell r="D125" t="str">
            <v>SET</v>
          </cell>
          <cell r="E125">
            <v>210000</v>
          </cell>
          <cell r="F125">
            <v>420000</v>
          </cell>
          <cell r="H125">
            <v>0</v>
          </cell>
          <cell r="I125">
            <v>36</v>
          </cell>
          <cell r="J125">
            <v>72</v>
          </cell>
          <cell r="K125">
            <v>210000</v>
          </cell>
          <cell r="L125">
            <v>420000</v>
          </cell>
          <cell r="M125">
            <v>0</v>
          </cell>
          <cell r="N125">
            <v>0</v>
          </cell>
          <cell r="O125">
            <v>10080</v>
          </cell>
          <cell r="P125">
            <v>20160</v>
          </cell>
        </row>
        <row r="126">
          <cell r="A126" t="str">
            <v>A.4.7</v>
          </cell>
          <cell r="B126" t="str">
            <v xml:space="preserve">  480V SWGR , 30KA, INCOMING ACB1600Ax2PNL &amp; TIE ACB1600A </v>
          </cell>
          <cell r="C126">
            <v>1</v>
          </cell>
          <cell r="D126" t="str">
            <v>LOT</v>
          </cell>
          <cell r="E126">
            <v>1100000</v>
          </cell>
          <cell r="F126">
            <v>1100000</v>
          </cell>
          <cell r="H126">
            <v>0</v>
          </cell>
          <cell r="I126">
            <v>60</v>
          </cell>
          <cell r="J126">
            <v>60</v>
          </cell>
          <cell r="K126">
            <v>1100000</v>
          </cell>
          <cell r="L126">
            <v>1100000</v>
          </cell>
          <cell r="M126">
            <v>0</v>
          </cell>
          <cell r="N126">
            <v>0</v>
          </cell>
          <cell r="O126">
            <v>16800</v>
          </cell>
          <cell r="P126">
            <v>16800</v>
          </cell>
        </row>
        <row r="127">
          <cell r="A127" t="str">
            <v>A.4.8</v>
          </cell>
          <cell r="B127" t="str">
            <v xml:space="preserve">  480V MCC SINGLE FACE , 30KA</v>
          </cell>
          <cell r="C127">
            <v>7</v>
          </cell>
          <cell r="D127" t="str">
            <v>PNL</v>
          </cell>
          <cell r="E127">
            <v>120000</v>
          </cell>
          <cell r="F127">
            <v>840000</v>
          </cell>
          <cell r="H127">
            <v>0</v>
          </cell>
          <cell r="I127">
            <v>15</v>
          </cell>
          <cell r="J127">
            <v>105</v>
          </cell>
          <cell r="K127">
            <v>120000</v>
          </cell>
          <cell r="L127">
            <v>840000</v>
          </cell>
          <cell r="M127">
            <v>0</v>
          </cell>
          <cell r="N127">
            <v>0</v>
          </cell>
          <cell r="O127">
            <v>4200</v>
          </cell>
          <cell r="P127">
            <v>29400</v>
          </cell>
        </row>
        <row r="128">
          <cell r="B128" t="str">
            <v>SUB-TOTAL (A.4)</v>
          </cell>
          <cell r="F128">
            <v>12280000</v>
          </cell>
          <cell r="J128">
            <v>693</v>
          </cell>
          <cell r="L128">
            <v>12280000</v>
          </cell>
          <cell r="P128">
            <v>194040</v>
          </cell>
        </row>
        <row r="129">
          <cell r="F129">
            <v>0</v>
          </cell>
          <cell r="H129">
            <v>0</v>
          </cell>
          <cell r="J129">
            <v>0</v>
          </cell>
          <cell r="K129">
            <v>0</v>
          </cell>
          <cell r="L129">
            <v>0</v>
          </cell>
          <cell r="M129">
            <v>0</v>
          </cell>
          <cell r="N129">
            <v>0</v>
          </cell>
          <cell r="O129">
            <v>0</v>
          </cell>
          <cell r="P129">
            <v>0</v>
          </cell>
        </row>
        <row r="130">
          <cell r="A130" t="str">
            <v>A.5</v>
          </cell>
          <cell r="B130" t="str">
            <v xml:space="preserve"> DISEL STAND-BY GENERATOR 1250KW OUTPUT,</v>
          </cell>
          <cell r="C130">
            <v>1</v>
          </cell>
          <cell r="D130" t="str">
            <v>SET</v>
          </cell>
          <cell r="E130">
            <v>6250000</v>
          </cell>
          <cell r="F130">
            <v>6250000</v>
          </cell>
          <cell r="H130">
            <v>0</v>
          </cell>
          <cell r="I130">
            <v>560</v>
          </cell>
          <cell r="J130">
            <v>560</v>
          </cell>
          <cell r="K130">
            <v>6250000</v>
          </cell>
          <cell r="L130">
            <v>6250000</v>
          </cell>
          <cell r="M130">
            <v>0</v>
          </cell>
          <cell r="N130">
            <v>0</v>
          </cell>
          <cell r="O130">
            <v>224000</v>
          </cell>
          <cell r="P130">
            <v>224000</v>
          </cell>
        </row>
        <row r="131">
          <cell r="B131" t="str">
            <v xml:space="preserve"> 3PH 3W 480V, W/ CONTROL PANEL , DALY TANK</v>
          </cell>
          <cell r="F131">
            <v>0</v>
          </cell>
          <cell r="H131">
            <v>0</v>
          </cell>
          <cell r="J131">
            <v>0</v>
          </cell>
          <cell r="K131">
            <v>0</v>
          </cell>
          <cell r="L131">
            <v>0</v>
          </cell>
          <cell r="M131">
            <v>0</v>
          </cell>
          <cell r="N131">
            <v>0</v>
          </cell>
          <cell r="O131">
            <v>0</v>
          </cell>
          <cell r="P131">
            <v>0</v>
          </cell>
        </row>
        <row r="132">
          <cell r="F132">
            <v>0</v>
          </cell>
          <cell r="H132">
            <v>0</v>
          </cell>
          <cell r="J132">
            <v>0</v>
          </cell>
          <cell r="K132">
            <v>0</v>
          </cell>
          <cell r="L132">
            <v>0</v>
          </cell>
          <cell r="M132">
            <v>0</v>
          </cell>
          <cell r="N132">
            <v>0</v>
          </cell>
          <cell r="O132">
            <v>0</v>
          </cell>
          <cell r="P132">
            <v>0</v>
          </cell>
        </row>
        <row r="133">
          <cell r="A133" t="str">
            <v>A.6</v>
          </cell>
          <cell r="B133" t="str">
            <v>3 PHASE 480V-120V UPS</v>
          </cell>
          <cell r="F133">
            <v>0</v>
          </cell>
          <cell r="H133">
            <v>0</v>
          </cell>
          <cell r="J133">
            <v>0</v>
          </cell>
          <cell r="K133">
            <v>0</v>
          </cell>
          <cell r="L133">
            <v>0</v>
          </cell>
          <cell r="M133">
            <v>0</v>
          </cell>
          <cell r="N133">
            <v>0</v>
          </cell>
          <cell r="O133">
            <v>0</v>
          </cell>
          <cell r="P133">
            <v>0</v>
          </cell>
        </row>
        <row r="134">
          <cell r="A134" t="str">
            <v>A.6.1</v>
          </cell>
          <cell r="B134" t="str">
            <v xml:space="preserve"> 100 KVA ,  W/ BATTERY LEAD-CALCIUM TYPE 30 MIN.</v>
          </cell>
          <cell r="C134">
            <v>1</v>
          </cell>
          <cell r="D134" t="str">
            <v>SET</v>
          </cell>
          <cell r="E134">
            <v>1250000</v>
          </cell>
          <cell r="F134">
            <v>1250000</v>
          </cell>
          <cell r="H134">
            <v>0</v>
          </cell>
          <cell r="I134">
            <v>188</v>
          </cell>
          <cell r="J134">
            <v>188</v>
          </cell>
          <cell r="K134">
            <v>1250000</v>
          </cell>
          <cell r="L134">
            <v>1250000</v>
          </cell>
          <cell r="M134">
            <v>0</v>
          </cell>
          <cell r="N134">
            <v>0</v>
          </cell>
          <cell r="O134">
            <v>52640</v>
          </cell>
          <cell r="P134">
            <v>52640</v>
          </cell>
        </row>
        <row r="135">
          <cell r="A135" t="str">
            <v>A.6.2</v>
          </cell>
          <cell r="B135" t="str">
            <v xml:space="preserve"> 15 KVA ,  W/ BATTERY LEAD-CALCIUM TYPE 30 MIN.</v>
          </cell>
          <cell r="C135">
            <v>1</v>
          </cell>
          <cell r="D135" t="str">
            <v>SET</v>
          </cell>
          <cell r="E135">
            <v>300000</v>
          </cell>
          <cell r="F135">
            <v>300000</v>
          </cell>
          <cell r="H135">
            <v>0</v>
          </cell>
          <cell r="I135">
            <v>50</v>
          </cell>
          <cell r="J135">
            <v>50</v>
          </cell>
          <cell r="K135">
            <v>300000</v>
          </cell>
          <cell r="L135">
            <v>300000</v>
          </cell>
          <cell r="M135">
            <v>0</v>
          </cell>
          <cell r="N135">
            <v>0</v>
          </cell>
          <cell r="O135">
            <v>14000</v>
          </cell>
          <cell r="P135">
            <v>14000</v>
          </cell>
        </row>
        <row r="136">
          <cell r="B136" t="str">
            <v>SUB-TOTAL (A.6)</v>
          </cell>
          <cell r="F136">
            <v>1550000</v>
          </cell>
          <cell r="J136">
            <v>238</v>
          </cell>
          <cell r="L136">
            <v>1550000</v>
          </cell>
          <cell r="P136">
            <v>66640</v>
          </cell>
        </row>
        <row r="138">
          <cell r="A138" t="str">
            <v>A.7</v>
          </cell>
          <cell r="B138" t="str">
            <v xml:space="preserve">  DC POWER SUPPLY       </v>
          </cell>
        </row>
        <row r="139">
          <cell r="A139" t="str">
            <v>A.7.1</v>
          </cell>
          <cell r="B139" t="str">
            <v xml:space="preserve"> 125VDC CHAGER, 50A,  W/ 60AH LEAD-CALCIUM BATTERY &amp; RACK</v>
          </cell>
          <cell r="C139">
            <v>1</v>
          </cell>
          <cell r="D139" t="str">
            <v>SET</v>
          </cell>
          <cell r="E139">
            <v>325000</v>
          </cell>
          <cell r="F139">
            <v>325000</v>
          </cell>
          <cell r="H139">
            <v>0</v>
          </cell>
          <cell r="I139">
            <v>50</v>
          </cell>
          <cell r="J139">
            <v>50</v>
          </cell>
          <cell r="K139">
            <v>325000</v>
          </cell>
          <cell r="L139">
            <v>325000</v>
          </cell>
          <cell r="M139">
            <v>0</v>
          </cell>
          <cell r="N139">
            <v>0</v>
          </cell>
          <cell r="O139">
            <v>14000</v>
          </cell>
          <cell r="P139">
            <v>14000</v>
          </cell>
        </row>
        <row r="140">
          <cell r="A140" t="str">
            <v>A.7.2</v>
          </cell>
          <cell r="B140" t="str">
            <v xml:space="preserve"> 125VDC CHAGER, 25A,  W/ 30AH LEAD-CALCIUM BATTERY &amp; RACK</v>
          </cell>
          <cell r="C140">
            <v>2</v>
          </cell>
          <cell r="D140" t="str">
            <v>SET</v>
          </cell>
          <cell r="E140">
            <v>245000</v>
          </cell>
          <cell r="F140">
            <v>490000</v>
          </cell>
          <cell r="H140">
            <v>0</v>
          </cell>
          <cell r="I140">
            <v>35</v>
          </cell>
          <cell r="J140">
            <v>70</v>
          </cell>
          <cell r="K140">
            <v>245000</v>
          </cell>
          <cell r="L140">
            <v>490000</v>
          </cell>
          <cell r="M140">
            <v>0</v>
          </cell>
          <cell r="N140">
            <v>0</v>
          </cell>
          <cell r="O140">
            <v>9800</v>
          </cell>
          <cell r="P140">
            <v>19600</v>
          </cell>
        </row>
        <row r="141">
          <cell r="B141" t="str">
            <v>SUB-TOTAL (A7)</v>
          </cell>
          <cell r="F141">
            <v>815000</v>
          </cell>
          <cell r="J141">
            <v>120</v>
          </cell>
          <cell r="L141">
            <v>815000</v>
          </cell>
          <cell r="P141">
            <v>33600</v>
          </cell>
        </row>
        <row r="143">
          <cell r="A143" t="str">
            <v>A.8</v>
          </cell>
          <cell r="B143" t="str">
            <v>OTHER</v>
          </cell>
        </row>
        <row r="144">
          <cell r="A144" t="str">
            <v>A.8.1</v>
          </cell>
          <cell r="B144" t="str">
            <v>SELF-STANDING POWER PANEL, 480V, 65KA</v>
          </cell>
          <cell r="C144">
            <v>1</v>
          </cell>
          <cell r="D144" t="str">
            <v>SET</v>
          </cell>
          <cell r="E144">
            <v>120000</v>
          </cell>
          <cell r="F144">
            <v>120000</v>
          </cell>
          <cell r="H144">
            <v>0</v>
          </cell>
          <cell r="I144">
            <v>20</v>
          </cell>
          <cell r="J144">
            <v>20</v>
          </cell>
          <cell r="K144">
            <v>120000</v>
          </cell>
          <cell r="L144">
            <v>120000</v>
          </cell>
          <cell r="M144">
            <v>0</v>
          </cell>
          <cell r="N144">
            <v>0</v>
          </cell>
          <cell r="O144">
            <v>5600</v>
          </cell>
          <cell r="P144">
            <v>5600</v>
          </cell>
        </row>
        <row r="145">
          <cell r="B145" t="str">
            <v>PNL. NO. CCR2-D-MC1 (DWG. NO. XK11A-0000-12)</v>
          </cell>
          <cell r="F145">
            <v>0</v>
          </cell>
          <cell r="H145">
            <v>0</v>
          </cell>
          <cell r="J145">
            <v>0</v>
          </cell>
          <cell r="K145">
            <v>0</v>
          </cell>
          <cell r="L145">
            <v>0</v>
          </cell>
          <cell r="M145">
            <v>0</v>
          </cell>
          <cell r="N145">
            <v>0</v>
          </cell>
          <cell r="O145">
            <v>0</v>
          </cell>
          <cell r="P145">
            <v>0</v>
          </cell>
        </row>
        <row r="146">
          <cell r="A146" t="str">
            <v>A.8.2</v>
          </cell>
          <cell r="B146" t="str">
            <v>SELF-STANDING POWER PANEL, 480V, 30KA (DWG. NO. XK11A-0000-12)</v>
          </cell>
          <cell r="C146">
            <v>6</v>
          </cell>
          <cell r="D146" t="str">
            <v>SET</v>
          </cell>
          <cell r="E146">
            <v>140000</v>
          </cell>
          <cell r="F146">
            <v>840000</v>
          </cell>
          <cell r="H146">
            <v>0</v>
          </cell>
          <cell r="I146">
            <v>20</v>
          </cell>
          <cell r="J146">
            <v>120</v>
          </cell>
          <cell r="K146">
            <v>140000</v>
          </cell>
          <cell r="L146">
            <v>840000</v>
          </cell>
          <cell r="M146">
            <v>0</v>
          </cell>
          <cell r="N146">
            <v>0</v>
          </cell>
          <cell r="O146">
            <v>5600</v>
          </cell>
          <cell r="P146">
            <v>33600</v>
          </cell>
        </row>
        <row r="147">
          <cell r="B147" t="str">
            <v>PNL. NO. POWER PANEL.</v>
          </cell>
          <cell r="F147">
            <v>0</v>
          </cell>
          <cell r="H147">
            <v>0</v>
          </cell>
          <cell r="J147">
            <v>0</v>
          </cell>
          <cell r="K147">
            <v>0</v>
          </cell>
          <cell r="L147">
            <v>0</v>
          </cell>
          <cell r="M147">
            <v>0</v>
          </cell>
          <cell r="N147">
            <v>0</v>
          </cell>
          <cell r="O147">
            <v>0</v>
          </cell>
          <cell r="P147">
            <v>0</v>
          </cell>
        </row>
        <row r="148">
          <cell r="A148" t="str">
            <v>A.8.3</v>
          </cell>
          <cell r="B148" t="str">
            <v>DRY RTANSFORMER, WEATHER PROOF ENCLOSURE</v>
          </cell>
          <cell r="F148">
            <v>0</v>
          </cell>
          <cell r="H148">
            <v>0</v>
          </cell>
          <cell r="J148">
            <v>0</v>
          </cell>
          <cell r="K148">
            <v>0</v>
          </cell>
          <cell r="L148">
            <v>0</v>
          </cell>
          <cell r="M148">
            <v>0</v>
          </cell>
          <cell r="N148">
            <v>0</v>
          </cell>
          <cell r="O148">
            <v>0</v>
          </cell>
          <cell r="P148">
            <v>0</v>
          </cell>
        </row>
        <row r="149">
          <cell r="B149" t="str">
            <v>480/240V, 30KVA</v>
          </cell>
          <cell r="C149">
            <v>9</v>
          </cell>
          <cell r="D149" t="str">
            <v>SET</v>
          </cell>
          <cell r="E149">
            <v>40000</v>
          </cell>
          <cell r="F149">
            <v>360000</v>
          </cell>
          <cell r="H149">
            <v>0</v>
          </cell>
          <cell r="I149">
            <v>18</v>
          </cell>
          <cell r="J149">
            <v>162</v>
          </cell>
          <cell r="K149">
            <v>40000</v>
          </cell>
          <cell r="L149">
            <v>360000</v>
          </cell>
          <cell r="M149">
            <v>0</v>
          </cell>
          <cell r="N149">
            <v>0</v>
          </cell>
          <cell r="O149">
            <v>5040</v>
          </cell>
          <cell r="P149">
            <v>45360</v>
          </cell>
        </row>
        <row r="150">
          <cell r="B150" t="str">
            <v>480/240V, 20KVA</v>
          </cell>
          <cell r="C150">
            <v>6</v>
          </cell>
          <cell r="D150" t="str">
            <v>SET</v>
          </cell>
          <cell r="E150">
            <v>30000</v>
          </cell>
          <cell r="F150">
            <v>180000</v>
          </cell>
          <cell r="H150">
            <v>0</v>
          </cell>
          <cell r="I150">
            <v>14</v>
          </cell>
          <cell r="J150">
            <v>84</v>
          </cell>
          <cell r="K150">
            <v>30000</v>
          </cell>
          <cell r="L150">
            <v>180000</v>
          </cell>
          <cell r="M150">
            <v>0</v>
          </cell>
          <cell r="N150">
            <v>0</v>
          </cell>
          <cell r="O150">
            <v>3920</v>
          </cell>
          <cell r="P150">
            <v>23520</v>
          </cell>
        </row>
        <row r="151">
          <cell r="B151" t="str">
            <v>480/240V, 10KVA</v>
          </cell>
          <cell r="C151">
            <v>9</v>
          </cell>
          <cell r="D151" t="str">
            <v>SET</v>
          </cell>
          <cell r="E151">
            <v>22000</v>
          </cell>
          <cell r="F151">
            <v>198000</v>
          </cell>
          <cell r="H151">
            <v>0</v>
          </cell>
          <cell r="I151">
            <v>9</v>
          </cell>
          <cell r="J151">
            <v>81</v>
          </cell>
          <cell r="K151">
            <v>22000</v>
          </cell>
          <cell r="L151">
            <v>198000</v>
          </cell>
          <cell r="M151">
            <v>0</v>
          </cell>
          <cell r="N151">
            <v>0</v>
          </cell>
          <cell r="O151">
            <v>2520</v>
          </cell>
          <cell r="P151">
            <v>22680</v>
          </cell>
        </row>
        <row r="152">
          <cell r="A152" t="str">
            <v>A.8.4</v>
          </cell>
          <cell r="B152" t="str">
            <v xml:space="preserve"> MCC FOR TRASH , 480V MCC SINGLE FACE , 30KA</v>
          </cell>
          <cell r="C152">
            <v>5</v>
          </cell>
          <cell r="D152" t="str">
            <v>SET</v>
          </cell>
          <cell r="E152">
            <v>120000</v>
          </cell>
          <cell r="F152">
            <v>600000</v>
          </cell>
          <cell r="H152">
            <v>0</v>
          </cell>
          <cell r="I152">
            <v>15</v>
          </cell>
          <cell r="J152">
            <v>75</v>
          </cell>
          <cell r="K152">
            <v>120000</v>
          </cell>
          <cell r="L152">
            <v>600000</v>
          </cell>
          <cell r="M152">
            <v>0</v>
          </cell>
          <cell r="N152">
            <v>0</v>
          </cell>
          <cell r="O152">
            <v>4200</v>
          </cell>
          <cell r="P152">
            <v>21000</v>
          </cell>
        </row>
        <row r="153">
          <cell r="A153" t="str">
            <v>A.8.5</v>
          </cell>
          <cell r="B153" t="str">
            <v>600VAC, 100A ATS PANEL, WALL MOUNT, INDOOR</v>
          </cell>
          <cell r="C153">
            <v>3</v>
          </cell>
          <cell r="D153" t="str">
            <v>SET</v>
          </cell>
          <cell r="E153">
            <v>100000</v>
          </cell>
          <cell r="F153">
            <v>300000</v>
          </cell>
          <cell r="H153">
            <v>0</v>
          </cell>
          <cell r="I153">
            <v>15</v>
          </cell>
          <cell r="J153">
            <v>45</v>
          </cell>
          <cell r="K153">
            <v>100000</v>
          </cell>
          <cell r="L153">
            <v>300000</v>
          </cell>
          <cell r="M153">
            <v>0</v>
          </cell>
          <cell r="N153">
            <v>0</v>
          </cell>
          <cell r="O153">
            <v>4200</v>
          </cell>
          <cell r="P153">
            <v>12600</v>
          </cell>
        </row>
        <row r="154">
          <cell r="A154" t="str">
            <v>A.8.6</v>
          </cell>
          <cell r="B154" t="str">
            <v>100A NFB PANEL, WALL MOUNT., INDOOR</v>
          </cell>
          <cell r="C154">
            <v>6</v>
          </cell>
          <cell r="D154" t="str">
            <v>SET</v>
          </cell>
          <cell r="E154">
            <v>4000</v>
          </cell>
          <cell r="F154">
            <v>24000</v>
          </cell>
          <cell r="H154">
            <v>0</v>
          </cell>
          <cell r="I154">
            <v>4</v>
          </cell>
          <cell r="J154">
            <v>24</v>
          </cell>
          <cell r="K154">
            <v>4000</v>
          </cell>
          <cell r="L154">
            <v>24000</v>
          </cell>
          <cell r="M154">
            <v>0</v>
          </cell>
          <cell r="N154">
            <v>0</v>
          </cell>
          <cell r="O154">
            <v>1120</v>
          </cell>
          <cell r="P154">
            <v>6720</v>
          </cell>
        </row>
        <row r="155">
          <cell r="A155" t="str">
            <v>A.8.7</v>
          </cell>
          <cell r="B155" t="str">
            <v>600V PDP PANEL, WALL MOUNT, INDOOR</v>
          </cell>
          <cell r="C155">
            <v>6</v>
          </cell>
          <cell r="D155" t="str">
            <v>SET</v>
          </cell>
          <cell r="E155">
            <v>9000</v>
          </cell>
          <cell r="F155">
            <v>54000</v>
          </cell>
          <cell r="H155">
            <v>0</v>
          </cell>
          <cell r="I155">
            <v>6</v>
          </cell>
          <cell r="J155">
            <v>36</v>
          </cell>
          <cell r="K155">
            <v>9000</v>
          </cell>
          <cell r="L155">
            <v>54000</v>
          </cell>
          <cell r="M155">
            <v>0</v>
          </cell>
          <cell r="N155">
            <v>0</v>
          </cell>
          <cell r="O155">
            <v>1680</v>
          </cell>
          <cell r="P155">
            <v>10080</v>
          </cell>
        </row>
        <row r="156">
          <cell r="B156" t="str">
            <v>W/NFB 100A x 1, 20A x6, 10KA</v>
          </cell>
        </row>
        <row r="157">
          <cell r="A157" t="str">
            <v>A.8.8</v>
          </cell>
          <cell r="B157" t="str">
            <v>POWER SYSTEM GRAPHIC PANEL, SELF-STANDING,</v>
          </cell>
          <cell r="C157">
            <v>1</v>
          </cell>
          <cell r="D157" t="str">
            <v>SET</v>
          </cell>
          <cell r="E157">
            <v>320000</v>
          </cell>
          <cell r="F157">
            <v>320000</v>
          </cell>
          <cell r="H157">
            <v>0</v>
          </cell>
          <cell r="I157">
            <v>30</v>
          </cell>
          <cell r="J157">
            <v>30</v>
          </cell>
          <cell r="K157">
            <v>320000</v>
          </cell>
          <cell r="L157">
            <v>320000</v>
          </cell>
          <cell r="M157">
            <v>0</v>
          </cell>
          <cell r="N157">
            <v>0</v>
          </cell>
          <cell r="O157">
            <v>8400</v>
          </cell>
          <cell r="P157">
            <v>8400</v>
          </cell>
        </row>
        <row r="158">
          <cell r="B158" t="str">
            <v xml:space="preserve"> ENCLOSURE SIZE 2200(W)x2300(H)x600(D)MM.</v>
          </cell>
          <cell r="F158">
            <v>0</v>
          </cell>
          <cell r="H158">
            <v>0</v>
          </cell>
          <cell r="J158">
            <v>0</v>
          </cell>
          <cell r="K158">
            <v>0</v>
          </cell>
          <cell r="L158">
            <v>0</v>
          </cell>
          <cell r="M158">
            <v>0</v>
          </cell>
          <cell r="N158">
            <v>0</v>
          </cell>
          <cell r="O158">
            <v>0</v>
          </cell>
          <cell r="P158">
            <v>0</v>
          </cell>
        </row>
        <row r="159">
          <cell r="B159" t="str">
            <v>MOSAIC PANEL SIZE 2000(W)x1000(H)MM., W/ LIGHT x60</v>
          </cell>
          <cell r="F159">
            <v>0</v>
          </cell>
          <cell r="H159">
            <v>0</v>
          </cell>
          <cell r="J159">
            <v>0</v>
          </cell>
          <cell r="K159">
            <v>0</v>
          </cell>
          <cell r="L159">
            <v>0</v>
          </cell>
          <cell r="M159">
            <v>0</v>
          </cell>
          <cell r="N159">
            <v>0</v>
          </cell>
          <cell r="O159">
            <v>0</v>
          </cell>
          <cell r="P159">
            <v>0</v>
          </cell>
        </row>
        <row r="160">
          <cell r="B160" t="str">
            <v>SUB-TOTAL (A.8)</v>
          </cell>
          <cell r="F160">
            <v>2996000</v>
          </cell>
          <cell r="J160">
            <v>677</v>
          </cell>
          <cell r="L160">
            <v>2996000</v>
          </cell>
          <cell r="O160">
            <v>0</v>
          </cell>
          <cell r="P160">
            <v>189560</v>
          </cell>
        </row>
        <row r="161">
          <cell r="O161">
            <v>0</v>
          </cell>
        </row>
        <row r="162">
          <cell r="A162" t="str">
            <v xml:space="preserve">   A.9</v>
          </cell>
          <cell r="B162" t="str">
            <v xml:space="preserve"> TEST FEE FOR MECH-ELEC CONSULANT CO. &amp; T.P.C.</v>
          </cell>
          <cell r="C162">
            <v>1</v>
          </cell>
          <cell r="D162" t="str">
            <v>LOT</v>
          </cell>
          <cell r="E162" t="str">
            <v>M+L</v>
          </cell>
          <cell r="F162" t="str">
            <v>M+L</v>
          </cell>
          <cell r="H162">
            <v>0</v>
          </cell>
          <cell r="I162">
            <v>1607</v>
          </cell>
          <cell r="J162">
            <v>1607</v>
          </cell>
          <cell r="K162" t="str">
            <v>M+L</v>
          </cell>
          <cell r="L162" t="str">
            <v>M+L</v>
          </cell>
          <cell r="M162">
            <v>0</v>
          </cell>
          <cell r="N162">
            <v>0</v>
          </cell>
          <cell r="O162">
            <v>1800000</v>
          </cell>
          <cell r="P162">
            <v>1800000</v>
          </cell>
        </row>
        <row r="163">
          <cell r="F163">
            <v>0</v>
          </cell>
          <cell r="H163">
            <v>0</v>
          </cell>
          <cell r="J163">
            <v>0</v>
          </cell>
          <cell r="K163">
            <v>0</v>
          </cell>
          <cell r="L163">
            <v>0</v>
          </cell>
          <cell r="M163">
            <v>0</v>
          </cell>
          <cell r="N163">
            <v>0</v>
          </cell>
          <cell r="O163">
            <v>0</v>
          </cell>
          <cell r="P163">
            <v>0</v>
          </cell>
        </row>
        <row r="164">
          <cell r="B164" t="str">
            <v>SUB-TOTAL : (A)</v>
          </cell>
          <cell r="F164">
            <v>138612100</v>
          </cell>
          <cell r="H164">
            <v>0</v>
          </cell>
          <cell r="J164">
            <v>13764</v>
          </cell>
          <cell r="K164">
            <v>0</v>
          </cell>
          <cell r="L164">
            <v>138612100</v>
          </cell>
          <cell r="M164">
            <v>0</v>
          </cell>
          <cell r="N164">
            <v>0</v>
          </cell>
          <cell r="O164">
            <v>0</v>
          </cell>
          <cell r="P164">
            <v>6155030</v>
          </cell>
        </row>
        <row r="167">
          <cell r="F167">
            <v>0</v>
          </cell>
          <cell r="H167">
            <v>0</v>
          </cell>
          <cell r="J167">
            <v>0</v>
          </cell>
          <cell r="K167">
            <v>0</v>
          </cell>
          <cell r="L167">
            <v>0</v>
          </cell>
          <cell r="M167">
            <v>0</v>
          </cell>
          <cell r="N167">
            <v>0</v>
          </cell>
          <cell r="O167">
            <v>0</v>
          </cell>
          <cell r="P167">
            <v>0</v>
          </cell>
        </row>
        <row r="168">
          <cell r="A168" t="str">
            <v>B</v>
          </cell>
          <cell r="B168" t="str">
            <v xml:space="preserve"> POWER DISTRIBUTION SYSTEM</v>
          </cell>
          <cell r="F168">
            <v>0</v>
          </cell>
          <cell r="H168">
            <v>0</v>
          </cell>
          <cell r="J168">
            <v>0</v>
          </cell>
          <cell r="K168">
            <v>0</v>
          </cell>
          <cell r="L168">
            <v>0</v>
          </cell>
          <cell r="M168">
            <v>0</v>
          </cell>
          <cell r="N168">
            <v>0</v>
          </cell>
          <cell r="O168">
            <v>0</v>
          </cell>
          <cell r="P168">
            <v>0</v>
          </cell>
        </row>
        <row r="169">
          <cell r="F169">
            <v>0</v>
          </cell>
          <cell r="H169">
            <v>0</v>
          </cell>
          <cell r="J169">
            <v>0</v>
          </cell>
          <cell r="K169">
            <v>0</v>
          </cell>
          <cell r="L169">
            <v>0</v>
          </cell>
          <cell r="M169">
            <v>0</v>
          </cell>
          <cell r="N169">
            <v>0</v>
          </cell>
          <cell r="O169">
            <v>0</v>
          </cell>
          <cell r="P169">
            <v>0</v>
          </cell>
        </row>
        <row r="170">
          <cell r="B170" t="str">
            <v xml:space="preserve"> 600V POWER CABLE, XLPE INSU. PVC JACKET</v>
          </cell>
          <cell r="F170">
            <v>0</v>
          </cell>
          <cell r="H170">
            <v>0</v>
          </cell>
          <cell r="J170">
            <v>0</v>
          </cell>
          <cell r="K170">
            <v>0</v>
          </cell>
          <cell r="L170">
            <v>0</v>
          </cell>
          <cell r="M170">
            <v>0</v>
          </cell>
          <cell r="N170">
            <v>0</v>
          </cell>
          <cell r="O170">
            <v>0</v>
          </cell>
          <cell r="P170">
            <v>0</v>
          </cell>
        </row>
        <row r="171">
          <cell r="A171">
            <v>1</v>
          </cell>
          <cell r="B171" t="str">
            <v xml:space="preserve">    3/C 3.5 sq.mm </v>
          </cell>
          <cell r="C171">
            <v>4500</v>
          </cell>
          <cell r="D171" t="str">
            <v>M</v>
          </cell>
          <cell r="E171">
            <v>15</v>
          </cell>
          <cell r="F171">
            <v>67500</v>
          </cell>
          <cell r="H171">
            <v>0</v>
          </cell>
          <cell r="I171">
            <v>7.9000000000000001E-2</v>
          </cell>
          <cell r="J171">
            <v>356</v>
          </cell>
          <cell r="K171">
            <v>15</v>
          </cell>
          <cell r="L171">
            <v>67500</v>
          </cell>
          <cell r="M171">
            <v>0</v>
          </cell>
          <cell r="N171">
            <v>0</v>
          </cell>
          <cell r="O171">
            <v>22</v>
          </cell>
          <cell r="P171">
            <v>99000</v>
          </cell>
        </row>
        <row r="172">
          <cell r="A172">
            <v>2</v>
          </cell>
          <cell r="B172" t="str">
            <v xml:space="preserve">    3/C 5.5 sq.mm </v>
          </cell>
          <cell r="C172">
            <v>4000</v>
          </cell>
          <cell r="D172" t="str">
            <v>M</v>
          </cell>
          <cell r="E172">
            <v>20</v>
          </cell>
          <cell r="F172">
            <v>80000</v>
          </cell>
          <cell r="H172">
            <v>0</v>
          </cell>
          <cell r="I172">
            <v>0.1</v>
          </cell>
          <cell r="J172">
            <v>400</v>
          </cell>
          <cell r="K172">
            <v>20</v>
          </cell>
          <cell r="L172">
            <v>80000</v>
          </cell>
          <cell r="M172">
            <v>0</v>
          </cell>
          <cell r="N172">
            <v>0</v>
          </cell>
          <cell r="O172">
            <v>28</v>
          </cell>
          <cell r="P172">
            <v>112000</v>
          </cell>
        </row>
        <row r="173">
          <cell r="A173">
            <v>3</v>
          </cell>
          <cell r="B173" t="str">
            <v xml:space="preserve">    3/C   8 sq.mm </v>
          </cell>
          <cell r="C173">
            <v>3000</v>
          </cell>
          <cell r="D173" t="str">
            <v>M</v>
          </cell>
          <cell r="E173">
            <v>29</v>
          </cell>
          <cell r="F173">
            <v>87000</v>
          </cell>
          <cell r="H173">
            <v>0</v>
          </cell>
          <cell r="I173">
            <v>0.11799999999999999</v>
          </cell>
          <cell r="J173">
            <v>354</v>
          </cell>
          <cell r="K173">
            <v>29</v>
          </cell>
          <cell r="L173">
            <v>87000</v>
          </cell>
          <cell r="M173">
            <v>0</v>
          </cell>
          <cell r="N173">
            <v>0</v>
          </cell>
          <cell r="O173">
            <v>33</v>
          </cell>
          <cell r="P173">
            <v>99000</v>
          </cell>
        </row>
        <row r="174">
          <cell r="A174">
            <v>4</v>
          </cell>
          <cell r="B174" t="str">
            <v xml:space="preserve">    3/C  14 sq.mm </v>
          </cell>
          <cell r="C174">
            <v>1000</v>
          </cell>
          <cell r="D174" t="str">
            <v>M</v>
          </cell>
          <cell r="E174">
            <v>47</v>
          </cell>
          <cell r="F174">
            <v>47000</v>
          </cell>
          <cell r="H174">
            <v>0</v>
          </cell>
          <cell r="I174">
            <v>0.152</v>
          </cell>
          <cell r="J174">
            <v>152</v>
          </cell>
          <cell r="K174">
            <v>47</v>
          </cell>
          <cell r="L174">
            <v>47000</v>
          </cell>
          <cell r="M174">
            <v>0</v>
          </cell>
          <cell r="N174">
            <v>0</v>
          </cell>
          <cell r="O174">
            <v>43</v>
          </cell>
          <cell r="P174">
            <v>43000</v>
          </cell>
        </row>
        <row r="175">
          <cell r="A175">
            <v>5</v>
          </cell>
          <cell r="B175" t="str">
            <v xml:space="preserve">    3/C  22 sq.mm </v>
          </cell>
          <cell r="C175">
            <v>3000</v>
          </cell>
          <cell r="D175" t="str">
            <v>M</v>
          </cell>
          <cell r="E175">
            <v>70</v>
          </cell>
          <cell r="F175">
            <v>210000</v>
          </cell>
          <cell r="H175">
            <v>0</v>
          </cell>
          <cell r="I175">
            <v>0.18099999999999999</v>
          </cell>
          <cell r="J175">
            <v>543</v>
          </cell>
          <cell r="K175">
            <v>70</v>
          </cell>
          <cell r="L175">
            <v>210000</v>
          </cell>
          <cell r="M175">
            <v>0</v>
          </cell>
          <cell r="N175">
            <v>0</v>
          </cell>
          <cell r="O175">
            <v>51</v>
          </cell>
          <cell r="P175">
            <v>153000</v>
          </cell>
        </row>
        <row r="176">
          <cell r="A176">
            <v>6</v>
          </cell>
          <cell r="B176" t="str">
            <v xml:space="preserve">    3/C  38 sq.mm </v>
          </cell>
          <cell r="C176">
            <v>3000</v>
          </cell>
          <cell r="D176" t="str">
            <v>M</v>
          </cell>
          <cell r="E176">
            <v>111</v>
          </cell>
          <cell r="F176">
            <v>333000</v>
          </cell>
          <cell r="H176">
            <v>0</v>
          </cell>
          <cell r="I176">
            <v>0.23</v>
          </cell>
          <cell r="J176">
            <v>690</v>
          </cell>
          <cell r="K176">
            <v>111</v>
          </cell>
          <cell r="L176">
            <v>333000</v>
          </cell>
          <cell r="M176">
            <v>0</v>
          </cell>
          <cell r="N176">
            <v>0</v>
          </cell>
          <cell r="O176">
            <v>64</v>
          </cell>
          <cell r="P176">
            <v>192000</v>
          </cell>
        </row>
        <row r="177">
          <cell r="A177">
            <v>7</v>
          </cell>
          <cell r="B177" t="str">
            <v xml:space="preserve">    3/C  60 sq.mm </v>
          </cell>
          <cell r="C177">
            <v>7200</v>
          </cell>
          <cell r="D177" t="str">
            <v>M</v>
          </cell>
          <cell r="E177">
            <v>177</v>
          </cell>
          <cell r="F177">
            <v>1274400</v>
          </cell>
          <cell r="H177">
            <v>0</v>
          </cell>
          <cell r="I177">
            <v>0.27700000000000002</v>
          </cell>
          <cell r="J177">
            <v>1994</v>
          </cell>
          <cell r="K177">
            <v>177</v>
          </cell>
          <cell r="L177">
            <v>1274400</v>
          </cell>
          <cell r="M177">
            <v>0</v>
          </cell>
          <cell r="N177">
            <v>0</v>
          </cell>
          <cell r="O177">
            <v>78</v>
          </cell>
          <cell r="P177">
            <v>561600</v>
          </cell>
        </row>
        <row r="178">
          <cell r="A178">
            <v>8</v>
          </cell>
          <cell r="B178" t="str">
            <v xml:space="preserve">    1/C 100 sq.mm </v>
          </cell>
          <cell r="C178">
            <v>2000</v>
          </cell>
          <cell r="D178" t="str">
            <v>M</v>
          </cell>
          <cell r="E178">
            <v>92</v>
          </cell>
          <cell r="F178">
            <v>184000</v>
          </cell>
          <cell r="H178">
            <v>0</v>
          </cell>
          <cell r="I178">
            <v>0.17599999999999999</v>
          </cell>
          <cell r="J178">
            <v>352</v>
          </cell>
          <cell r="K178">
            <v>92</v>
          </cell>
          <cell r="L178">
            <v>184000</v>
          </cell>
          <cell r="M178">
            <v>0</v>
          </cell>
          <cell r="N178">
            <v>0</v>
          </cell>
          <cell r="O178">
            <v>49</v>
          </cell>
          <cell r="P178">
            <v>98000</v>
          </cell>
        </row>
        <row r="179">
          <cell r="A179">
            <v>9</v>
          </cell>
          <cell r="B179" t="str">
            <v xml:space="preserve">    1/C 150 sq.mm </v>
          </cell>
          <cell r="C179">
            <v>16500</v>
          </cell>
          <cell r="D179" t="str">
            <v>M</v>
          </cell>
          <cell r="E179">
            <v>137</v>
          </cell>
          <cell r="F179">
            <v>2260500</v>
          </cell>
          <cell r="H179">
            <v>0</v>
          </cell>
          <cell r="I179">
            <v>0.20499999999999999</v>
          </cell>
          <cell r="J179">
            <v>3383</v>
          </cell>
          <cell r="K179">
            <v>137</v>
          </cell>
          <cell r="L179">
            <v>2260500</v>
          </cell>
          <cell r="M179">
            <v>0</v>
          </cell>
          <cell r="N179">
            <v>0</v>
          </cell>
          <cell r="O179">
            <v>57</v>
          </cell>
          <cell r="P179">
            <v>940500</v>
          </cell>
        </row>
        <row r="180">
          <cell r="A180">
            <v>10</v>
          </cell>
          <cell r="B180" t="str">
            <v xml:space="preserve">    1/C 250 sq.mm </v>
          </cell>
          <cell r="C180">
            <v>15000</v>
          </cell>
          <cell r="D180" t="str">
            <v>M</v>
          </cell>
          <cell r="E180">
            <v>223</v>
          </cell>
          <cell r="F180">
            <v>3345000</v>
          </cell>
          <cell r="H180">
            <v>0</v>
          </cell>
          <cell r="I180">
            <v>0.247</v>
          </cell>
          <cell r="J180">
            <v>3705</v>
          </cell>
          <cell r="K180">
            <v>223</v>
          </cell>
          <cell r="L180">
            <v>3345000</v>
          </cell>
          <cell r="M180">
            <v>0</v>
          </cell>
          <cell r="N180">
            <v>0</v>
          </cell>
          <cell r="O180">
            <v>69</v>
          </cell>
          <cell r="P180">
            <v>1035000</v>
          </cell>
        </row>
        <row r="181">
          <cell r="A181">
            <v>11</v>
          </cell>
          <cell r="B181" t="str">
            <v xml:space="preserve">    1/C 325 sq.mm </v>
          </cell>
          <cell r="C181">
            <v>16500</v>
          </cell>
          <cell r="D181" t="str">
            <v>M</v>
          </cell>
          <cell r="E181">
            <v>279</v>
          </cell>
          <cell r="F181">
            <v>4603500</v>
          </cell>
          <cell r="H181">
            <v>0</v>
          </cell>
          <cell r="I181">
            <v>0.27</v>
          </cell>
          <cell r="J181">
            <v>4455</v>
          </cell>
          <cell r="K181">
            <v>279</v>
          </cell>
          <cell r="L181">
            <v>4603500</v>
          </cell>
          <cell r="M181">
            <v>0</v>
          </cell>
          <cell r="N181">
            <v>0</v>
          </cell>
          <cell r="O181">
            <v>76</v>
          </cell>
          <cell r="P181">
            <v>1254000</v>
          </cell>
        </row>
        <row r="182">
          <cell r="A182">
            <v>12</v>
          </cell>
          <cell r="B182" t="str">
            <v xml:space="preserve">    4/C 5.5 sq.mm </v>
          </cell>
          <cell r="C182">
            <v>300</v>
          </cell>
          <cell r="D182" t="str">
            <v>M</v>
          </cell>
          <cell r="E182">
            <v>28</v>
          </cell>
          <cell r="F182">
            <v>8400</v>
          </cell>
          <cell r="H182">
            <v>0</v>
          </cell>
          <cell r="I182">
            <v>0.11700000000000001</v>
          </cell>
          <cell r="J182">
            <v>35</v>
          </cell>
          <cell r="K182">
            <v>28</v>
          </cell>
          <cell r="L182">
            <v>8400</v>
          </cell>
          <cell r="M182">
            <v>0</v>
          </cell>
          <cell r="N182">
            <v>0</v>
          </cell>
          <cell r="O182">
            <v>33</v>
          </cell>
          <cell r="P182">
            <v>9900</v>
          </cell>
        </row>
        <row r="183">
          <cell r="A183">
            <v>13</v>
          </cell>
          <cell r="B183" t="str">
            <v xml:space="preserve">    4/C 60 sq.mm </v>
          </cell>
          <cell r="C183">
            <v>300</v>
          </cell>
          <cell r="D183" t="str">
            <v>M</v>
          </cell>
          <cell r="E183">
            <v>232</v>
          </cell>
          <cell r="F183">
            <v>69600</v>
          </cell>
          <cell r="H183">
            <v>0</v>
          </cell>
          <cell r="I183">
            <v>0.32500000000000001</v>
          </cell>
          <cell r="J183">
            <v>98</v>
          </cell>
          <cell r="K183">
            <v>232</v>
          </cell>
          <cell r="L183">
            <v>69600</v>
          </cell>
          <cell r="M183">
            <v>0</v>
          </cell>
          <cell r="N183">
            <v>0</v>
          </cell>
          <cell r="O183">
            <v>91</v>
          </cell>
          <cell r="P183">
            <v>27300</v>
          </cell>
        </row>
        <row r="184">
          <cell r="E184">
            <v>0</v>
          </cell>
          <cell r="F184">
            <v>0</v>
          </cell>
          <cell r="H184">
            <v>0</v>
          </cell>
          <cell r="I184">
            <v>0</v>
          </cell>
          <cell r="J184">
            <v>0</v>
          </cell>
          <cell r="K184">
            <v>0</v>
          </cell>
          <cell r="L184">
            <v>0</v>
          </cell>
          <cell r="M184">
            <v>0</v>
          </cell>
          <cell r="N184">
            <v>0</v>
          </cell>
          <cell r="O184">
            <v>0</v>
          </cell>
          <cell r="P184">
            <v>0</v>
          </cell>
        </row>
        <row r="185">
          <cell r="B185" t="str">
            <v xml:space="preserve"> 600V CONTROL CABLE, PVC INSU. PVC JACKET</v>
          </cell>
          <cell r="E185">
            <v>0</v>
          </cell>
          <cell r="F185">
            <v>0</v>
          </cell>
          <cell r="H185">
            <v>0</v>
          </cell>
          <cell r="I185">
            <v>0</v>
          </cell>
          <cell r="J185">
            <v>0</v>
          </cell>
          <cell r="K185">
            <v>0</v>
          </cell>
          <cell r="L185">
            <v>0</v>
          </cell>
          <cell r="M185">
            <v>0</v>
          </cell>
          <cell r="N185">
            <v>0</v>
          </cell>
          <cell r="O185">
            <v>0</v>
          </cell>
          <cell r="P185">
            <v>0</v>
          </cell>
        </row>
        <row r="186">
          <cell r="A186">
            <v>14</v>
          </cell>
          <cell r="B186" t="str">
            <v xml:space="preserve">    4/C 2.0 sq.mm </v>
          </cell>
          <cell r="C186">
            <v>13000</v>
          </cell>
          <cell r="D186" t="str">
            <v>M</v>
          </cell>
          <cell r="E186">
            <v>11</v>
          </cell>
          <cell r="F186">
            <v>143000</v>
          </cell>
          <cell r="H186">
            <v>0</v>
          </cell>
          <cell r="I186">
            <v>0.08</v>
          </cell>
          <cell r="J186">
            <v>1040</v>
          </cell>
          <cell r="K186">
            <v>11</v>
          </cell>
          <cell r="L186">
            <v>143000</v>
          </cell>
          <cell r="M186">
            <v>0</v>
          </cell>
          <cell r="N186">
            <v>0</v>
          </cell>
          <cell r="O186">
            <v>22</v>
          </cell>
          <cell r="P186">
            <v>286000</v>
          </cell>
        </row>
        <row r="187">
          <cell r="A187">
            <v>15</v>
          </cell>
          <cell r="B187" t="str">
            <v xml:space="preserve">    7/C 2.0 sq.mm </v>
          </cell>
          <cell r="C187">
            <v>6400</v>
          </cell>
          <cell r="D187" t="str">
            <v>M</v>
          </cell>
          <cell r="E187">
            <v>24</v>
          </cell>
          <cell r="F187">
            <v>153600</v>
          </cell>
          <cell r="H187">
            <v>0</v>
          </cell>
          <cell r="I187">
            <v>0.105</v>
          </cell>
          <cell r="J187">
            <v>672</v>
          </cell>
          <cell r="K187">
            <v>24</v>
          </cell>
          <cell r="L187">
            <v>153600</v>
          </cell>
          <cell r="M187">
            <v>0</v>
          </cell>
          <cell r="N187">
            <v>0</v>
          </cell>
          <cell r="O187">
            <v>29</v>
          </cell>
          <cell r="P187">
            <v>185600</v>
          </cell>
        </row>
        <row r="188">
          <cell r="A188">
            <v>16</v>
          </cell>
          <cell r="B188" t="str">
            <v xml:space="preserve">    9/C 2.0 sq.mm </v>
          </cell>
          <cell r="C188">
            <v>4000</v>
          </cell>
          <cell r="D188" t="str">
            <v>M</v>
          </cell>
          <cell r="E188">
            <v>30</v>
          </cell>
          <cell r="F188">
            <v>120000</v>
          </cell>
          <cell r="H188">
            <v>0</v>
          </cell>
          <cell r="I188">
            <v>0.12</v>
          </cell>
          <cell r="J188">
            <v>480</v>
          </cell>
          <cell r="K188">
            <v>30</v>
          </cell>
          <cell r="L188">
            <v>120000</v>
          </cell>
          <cell r="M188">
            <v>0</v>
          </cell>
          <cell r="N188">
            <v>0</v>
          </cell>
          <cell r="O188">
            <v>34</v>
          </cell>
          <cell r="P188">
            <v>136000</v>
          </cell>
        </row>
        <row r="189">
          <cell r="A189">
            <v>17</v>
          </cell>
          <cell r="B189" t="str">
            <v xml:space="preserve">   12/C 2.0 sq.mm </v>
          </cell>
          <cell r="C189">
            <v>2500</v>
          </cell>
          <cell r="D189" t="str">
            <v>M</v>
          </cell>
          <cell r="E189">
            <v>38</v>
          </cell>
          <cell r="F189">
            <v>95000</v>
          </cell>
          <cell r="H189">
            <v>0</v>
          </cell>
          <cell r="I189">
            <v>0.13800000000000001</v>
          </cell>
          <cell r="J189">
            <v>345</v>
          </cell>
          <cell r="K189">
            <v>38</v>
          </cell>
          <cell r="L189">
            <v>95000</v>
          </cell>
          <cell r="M189">
            <v>0</v>
          </cell>
          <cell r="N189">
            <v>0</v>
          </cell>
          <cell r="O189">
            <v>39</v>
          </cell>
          <cell r="P189">
            <v>97500</v>
          </cell>
        </row>
        <row r="190">
          <cell r="A190">
            <v>18</v>
          </cell>
          <cell r="B190" t="str">
            <v xml:space="preserve">   19/C 2.0 sq.mm </v>
          </cell>
          <cell r="C190">
            <v>1950</v>
          </cell>
          <cell r="D190" t="str">
            <v>M</v>
          </cell>
          <cell r="E190">
            <v>57</v>
          </cell>
          <cell r="F190">
            <v>111150</v>
          </cell>
          <cell r="H190">
            <v>0</v>
          </cell>
          <cell r="I190">
            <v>0.17399999999999999</v>
          </cell>
          <cell r="J190">
            <v>339</v>
          </cell>
          <cell r="K190">
            <v>57</v>
          </cell>
          <cell r="L190">
            <v>111150</v>
          </cell>
          <cell r="M190">
            <v>0</v>
          </cell>
          <cell r="N190">
            <v>0</v>
          </cell>
          <cell r="O190">
            <v>49</v>
          </cell>
          <cell r="P190">
            <v>95550</v>
          </cell>
        </row>
        <row r="191">
          <cell r="A191">
            <v>19</v>
          </cell>
          <cell r="B191" t="str">
            <v xml:space="preserve">   30/C 2.0 sq.mm </v>
          </cell>
          <cell r="C191">
            <v>1900</v>
          </cell>
          <cell r="D191" t="str">
            <v>M</v>
          </cell>
          <cell r="E191">
            <v>92</v>
          </cell>
          <cell r="F191">
            <v>174800</v>
          </cell>
          <cell r="H191">
            <v>0</v>
          </cell>
          <cell r="I191">
            <v>0.21199999999999999</v>
          </cell>
          <cell r="J191">
            <v>403</v>
          </cell>
          <cell r="K191">
            <v>92</v>
          </cell>
          <cell r="L191">
            <v>174800</v>
          </cell>
          <cell r="M191">
            <v>0</v>
          </cell>
          <cell r="N191">
            <v>0</v>
          </cell>
          <cell r="O191">
            <v>59</v>
          </cell>
          <cell r="P191">
            <v>112100</v>
          </cell>
        </row>
        <row r="192">
          <cell r="A192">
            <v>20</v>
          </cell>
          <cell r="B192" t="str">
            <v>600V SHIELDED CABLE, 8P-#14AWG</v>
          </cell>
          <cell r="C192">
            <v>300</v>
          </cell>
          <cell r="D192" t="str">
            <v>M</v>
          </cell>
          <cell r="E192">
            <v>83</v>
          </cell>
          <cell r="F192">
            <v>24900</v>
          </cell>
          <cell r="H192">
            <v>0</v>
          </cell>
          <cell r="I192">
            <v>0.16</v>
          </cell>
          <cell r="J192">
            <v>48</v>
          </cell>
          <cell r="K192">
            <v>83</v>
          </cell>
          <cell r="L192">
            <v>24900</v>
          </cell>
          <cell r="M192">
            <v>0</v>
          </cell>
          <cell r="N192">
            <v>0</v>
          </cell>
          <cell r="O192">
            <v>45</v>
          </cell>
          <cell r="P192">
            <v>13500</v>
          </cell>
        </row>
        <row r="193">
          <cell r="E193">
            <v>0</v>
          </cell>
          <cell r="F193">
            <v>0</v>
          </cell>
          <cell r="H193">
            <v>0</v>
          </cell>
          <cell r="I193">
            <v>0</v>
          </cell>
          <cell r="J193">
            <v>0</v>
          </cell>
          <cell r="K193">
            <v>0</v>
          </cell>
          <cell r="L193">
            <v>0</v>
          </cell>
          <cell r="M193">
            <v>0</v>
          </cell>
          <cell r="N193">
            <v>0</v>
          </cell>
          <cell r="O193">
            <v>0</v>
          </cell>
          <cell r="P193">
            <v>0</v>
          </cell>
        </row>
        <row r="194">
          <cell r="B194" t="str">
            <v>8KV POWER CABLE, XLPE INSU. PVC JACKET</v>
          </cell>
          <cell r="E194">
            <v>0</v>
          </cell>
          <cell r="F194">
            <v>0</v>
          </cell>
          <cell r="H194">
            <v>0</v>
          </cell>
          <cell r="I194">
            <v>0</v>
          </cell>
          <cell r="J194">
            <v>0</v>
          </cell>
          <cell r="K194">
            <v>0</v>
          </cell>
          <cell r="L194">
            <v>0</v>
          </cell>
          <cell r="M194">
            <v>0</v>
          </cell>
          <cell r="N194">
            <v>0</v>
          </cell>
          <cell r="O194">
            <v>0</v>
          </cell>
          <cell r="P194">
            <v>0</v>
          </cell>
        </row>
        <row r="195">
          <cell r="A195">
            <v>21</v>
          </cell>
          <cell r="B195" t="str">
            <v xml:space="preserve">    3/C  38 sq.mm </v>
          </cell>
          <cell r="C195">
            <v>880</v>
          </cell>
          <cell r="D195" t="str">
            <v>M</v>
          </cell>
          <cell r="E195">
            <v>268</v>
          </cell>
          <cell r="F195">
            <v>235840</v>
          </cell>
          <cell r="H195">
            <v>0</v>
          </cell>
          <cell r="I195">
            <v>0.32100000000000001</v>
          </cell>
          <cell r="J195">
            <v>282</v>
          </cell>
          <cell r="K195">
            <v>268</v>
          </cell>
          <cell r="L195">
            <v>235840</v>
          </cell>
          <cell r="M195">
            <v>0</v>
          </cell>
          <cell r="N195">
            <v>0</v>
          </cell>
          <cell r="O195">
            <v>90</v>
          </cell>
          <cell r="P195">
            <v>79200</v>
          </cell>
        </row>
        <row r="196">
          <cell r="A196">
            <v>22</v>
          </cell>
          <cell r="B196" t="str">
            <v xml:space="preserve">    3/C  60 sq.mm </v>
          </cell>
          <cell r="C196">
            <v>200</v>
          </cell>
          <cell r="D196" t="str">
            <v>M</v>
          </cell>
          <cell r="E196">
            <v>367</v>
          </cell>
          <cell r="F196">
            <v>73400</v>
          </cell>
          <cell r="H196">
            <v>0</v>
          </cell>
          <cell r="I196">
            <v>0.38800000000000001</v>
          </cell>
          <cell r="J196">
            <v>78</v>
          </cell>
          <cell r="K196">
            <v>367</v>
          </cell>
          <cell r="L196">
            <v>73400</v>
          </cell>
          <cell r="M196">
            <v>0</v>
          </cell>
          <cell r="N196">
            <v>0</v>
          </cell>
          <cell r="O196">
            <v>109</v>
          </cell>
          <cell r="P196">
            <v>21800</v>
          </cell>
        </row>
        <row r="197">
          <cell r="A197">
            <v>23</v>
          </cell>
          <cell r="B197" t="str">
            <v xml:space="preserve">    1/C 100 sq.mm </v>
          </cell>
          <cell r="C197">
            <v>4800</v>
          </cell>
          <cell r="D197" t="str">
            <v>M</v>
          </cell>
          <cell r="E197">
            <v>148</v>
          </cell>
          <cell r="F197">
            <v>710400</v>
          </cell>
          <cell r="H197">
            <v>0</v>
          </cell>
          <cell r="I197">
            <v>0.22500000000000001</v>
          </cell>
          <cell r="J197">
            <v>1080</v>
          </cell>
          <cell r="K197">
            <v>148</v>
          </cell>
          <cell r="L197">
            <v>710400</v>
          </cell>
          <cell r="M197">
            <v>0</v>
          </cell>
          <cell r="N197">
            <v>0</v>
          </cell>
          <cell r="O197">
            <v>63</v>
          </cell>
          <cell r="P197">
            <v>302400</v>
          </cell>
        </row>
        <row r="198">
          <cell r="A198">
            <v>24</v>
          </cell>
          <cell r="B198" t="str">
            <v xml:space="preserve">    1/C 200 sq.mm </v>
          </cell>
          <cell r="C198">
            <v>1000</v>
          </cell>
          <cell r="D198" t="str">
            <v>M</v>
          </cell>
          <cell r="E198">
            <v>246</v>
          </cell>
          <cell r="F198">
            <v>246000</v>
          </cell>
          <cell r="H198">
            <v>0</v>
          </cell>
          <cell r="I198">
            <v>0.28699999999999998</v>
          </cell>
          <cell r="J198">
            <v>287</v>
          </cell>
          <cell r="K198">
            <v>246</v>
          </cell>
          <cell r="L198">
            <v>246000</v>
          </cell>
          <cell r="M198">
            <v>0</v>
          </cell>
          <cell r="N198">
            <v>0</v>
          </cell>
          <cell r="O198">
            <v>80</v>
          </cell>
          <cell r="P198">
            <v>80000</v>
          </cell>
        </row>
        <row r="199">
          <cell r="A199">
            <v>25</v>
          </cell>
          <cell r="B199" t="str">
            <v xml:space="preserve">    1/C 250 sq.mm </v>
          </cell>
          <cell r="C199">
            <v>17500</v>
          </cell>
          <cell r="D199" t="str">
            <v>M</v>
          </cell>
          <cell r="E199">
            <v>306</v>
          </cell>
          <cell r="F199">
            <v>5355000</v>
          </cell>
          <cell r="H199">
            <v>0</v>
          </cell>
          <cell r="I199">
            <v>0.27400000000000002</v>
          </cell>
          <cell r="J199">
            <v>4795</v>
          </cell>
          <cell r="K199">
            <v>306</v>
          </cell>
          <cell r="L199">
            <v>5355000</v>
          </cell>
          <cell r="M199">
            <v>0</v>
          </cell>
          <cell r="N199">
            <v>0</v>
          </cell>
          <cell r="O199">
            <v>77</v>
          </cell>
          <cell r="P199">
            <v>1347500</v>
          </cell>
        </row>
        <row r="200">
          <cell r="F200">
            <v>0</v>
          </cell>
          <cell r="H200">
            <v>0</v>
          </cell>
          <cell r="J200">
            <v>0</v>
          </cell>
          <cell r="K200">
            <v>0</v>
          </cell>
          <cell r="L200">
            <v>0</v>
          </cell>
          <cell r="M200">
            <v>0</v>
          </cell>
          <cell r="N200">
            <v>0</v>
          </cell>
          <cell r="O200">
            <v>0</v>
          </cell>
          <cell r="P200">
            <v>0</v>
          </cell>
        </row>
        <row r="201">
          <cell r="B201" t="str">
            <v>8KV TERMINATION KIT, HEAT SHRINKABLE TYPE</v>
          </cell>
          <cell r="F201">
            <v>0</v>
          </cell>
          <cell r="H201">
            <v>0</v>
          </cell>
          <cell r="J201">
            <v>0</v>
          </cell>
          <cell r="K201">
            <v>0</v>
          </cell>
          <cell r="L201">
            <v>0</v>
          </cell>
          <cell r="M201">
            <v>0</v>
          </cell>
          <cell r="N201">
            <v>0</v>
          </cell>
          <cell r="O201">
            <v>0</v>
          </cell>
          <cell r="P201">
            <v>0</v>
          </cell>
        </row>
        <row r="202">
          <cell r="A202">
            <v>26</v>
          </cell>
          <cell r="B202" t="str">
            <v xml:space="preserve">    3/C  38 sq.mm </v>
          </cell>
          <cell r="C202">
            <v>8</v>
          </cell>
          <cell r="D202" t="str">
            <v>SET</v>
          </cell>
          <cell r="E202">
            <v>4330</v>
          </cell>
          <cell r="F202">
            <v>34640</v>
          </cell>
          <cell r="H202">
            <v>0</v>
          </cell>
          <cell r="I202">
            <v>5</v>
          </cell>
          <cell r="J202">
            <v>40</v>
          </cell>
          <cell r="K202">
            <v>4330</v>
          </cell>
          <cell r="L202">
            <v>34640</v>
          </cell>
          <cell r="M202">
            <v>0</v>
          </cell>
          <cell r="N202">
            <v>0</v>
          </cell>
          <cell r="O202">
            <v>1400</v>
          </cell>
          <cell r="P202">
            <v>11200</v>
          </cell>
        </row>
        <row r="203">
          <cell r="A203">
            <v>27</v>
          </cell>
          <cell r="B203" t="str">
            <v xml:space="preserve">    3/C  60 sq.mm </v>
          </cell>
          <cell r="C203">
            <v>10</v>
          </cell>
          <cell r="D203" t="str">
            <v>SET</v>
          </cell>
          <cell r="E203">
            <v>4330</v>
          </cell>
          <cell r="F203">
            <v>43300</v>
          </cell>
          <cell r="H203">
            <v>0</v>
          </cell>
          <cell r="I203">
            <v>6</v>
          </cell>
          <cell r="J203">
            <v>60</v>
          </cell>
          <cell r="K203">
            <v>4330</v>
          </cell>
          <cell r="L203">
            <v>43300</v>
          </cell>
          <cell r="M203">
            <v>0</v>
          </cell>
          <cell r="N203">
            <v>0</v>
          </cell>
          <cell r="O203">
            <v>1680</v>
          </cell>
          <cell r="P203">
            <v>16800</v>
          </cell>
        </row>
        <row r="204">
          <cell r="A204">
            <v>28</v>
          </cell>
          <cell r="B204" t="str">
            <v xml:space="preserve">   1/C 100 sq.mm </v>
          </cell>
          <cell r="C204">
            <v>30</v>
          </cell>
          <cell r="D204" t="str">
            <v>SET</v>
          </cell>
          <cell r="E204">
            <v>1170</v>
          </cell>
          <cell r="F204">
            <v>35100</v>
          </cell>
          <cell r="H204">
            <v>0</v>
          </cell>
          <cell r="I204">
            <v>3.5</v>
          </cell>
          <cell r="J204">
            <v>105</v>
          </cell>
          <cell r="K204">
            <v>1170</v>
          </cell>
          <cell r="L204">
            <v>35100</v>
          </cell>
          <cell r="M204">
            <v>0</v>
          </cell>
          <cell r="N204">
            <v>0</v>
          </cell>
          <cell r="O204">
            <v>980</v>
          </cell>
          <cell r="P204">
            <v>29400</v>
          </cell>
        </row>
        <row r="205">
          <cell r="A205">
            <v>29</v>
          </cell>
          <cell r="B205" t="str">
            <v xml:space="preserve">    1/C 200 sq.mm </v>
          </cell>
          <cell r="C205">
            <v>9</v>
          </cell>
          <cell r="D205" t="str">
            <v>SET</v>
          </cell>
          <cell r="E205">
            <v>1550</v>
          </cell>
          <cell r="F205">
            <v>13950</v>
          </cell>
          <cell r="H205">
            <v>0</v>
          </cell>
          <cell r="I205">
            <v>4.5</v>
          </cell>
          <cell r="J205">
            <v>41</v>
          </cell>
          <cell r="K205">
            <v>1550</v>
          </cell>
          <cell r="L205">
            <v>13950</v>
          </cell>
          <cell r="M205">
            <v>0</v>
          </cell>
          <cell r="N205">
            <v>0</v>
          </cell>
          <cell r="O205">
            <v>1260</v>
          </cell>
          <cell r="P205">
            <v>11340</v>
          </cell>
        </row>
        <row r="206">
          <cell r="A206">
            <v>30</v>
          </cell>
          <cell r="B206" t="str">
            <v xml:space="preserve">    1/C 250 sq.mm </v>
          </cell>
          <cell r="C206">
            <v>40</v>
          </cell>
          <cell r="D206" t="str">
            <v>SET</v>
          </cell>
          <cell r="E206">
            <v>1585</v>
          </cell>
          <cell r="F206">
            <v>63400</v>
          </cell>
          <cell r="H206">
            <v>0</v>
          </cell>
          <cell r="I206">
            <v>4.5</v>
          </cell>
          <cell r="J206">
            <v>180</v>
          </cell>
          <cell r="K206">
            <v>1585</v>
          </cell>
          <cell r="L206">
            <v>63400</v>
          </cell>
          <cell r="M206">
            <v>0</v>
          </cell>
          <cell r="N206">
            <v>0</v>
          </cell>
          <cell r="O206">
            <v>1260</v>
          </cell>
          <cell r="P206">
            <v>50400</v>
          </cell>
        </row>
        <row r="207">
          <cell r="F207">
            <v>0</v>
          </cell>
          <cell r="H207">
            <v>0</v>
          </cell>
          <cell r="J207">
            <v>0</v>
          </cell>
          <cell r="K207">
            <v>0</v>
          </cell>
          <cell r="L207">
            <v>0</v>
          </cell>
          <cell r="M207">
            <v>0</v>
          </cell>
          <cell r="N207">
            <v>0</v>
          </cell>
          <cell r="O207">
            <v>0</v>
          </cell>
          <cell r="P207">
            <v>0</v>
          </cell>
        </row>
        <row r="208">
          <cell r="B208" t="str">
            <v xml:space="preserve"> RSG CONDUIT WITH COUPLING, THICK WALL</v>
          </cell>
          <cell r="F208">
            <v>0</v>
          </cell>
          <cell r="H208">
            <v>0</v>
          </cell>
          <cell r="J208">
            <v>0</v>
          </cell>
          <cell r="K208">
            <v>0</v>
          </cell>
          <cell r="L208">
            <v>0</v>
          </cell>
          <cell r="M208">
            <v>0</v>
          </cell>
          <cell r="N208">
            <v>0</v>
          </cell>
          <cell r="O208">
            <v>0</v>
          </cell>
          <cell r="P208">
            <v>0</v>
          </cell>
        </row>
        <row r="209">
          <cell r="B209" t="str">
            <v xml:space="preserve"> (ANSI C80.1 NPT THREADED)</v>
          </cell>
          <cell r="F209">
            <v>0</v>
          </cell>
          <cell r="H209">
            <v>0</v>
          </cell>
          <cell r="J209">
            <v>0</v>
          </cell>
          <cell r="K209">
            <v>0</v>
          </cell>
          <cell r="L209">
            <v>0</v>
          </cell>
          <cell r="M209">
            <v>0</v>
          </cell>
          <cell r="N209">
            <v>0</v>
          </cell>
          <cell r="O209">
            <v>0</v>
          </cell>
          <cell r="P209">
            <v>0</v>
          </cell>
        </row>
        <row r="210">
          <cell r="A210">
            <v>31</v>
          </cell>
          <cell r="B210" t="str">
            <v xml:space="preserve">     1"</v>
          </cell>
          <cell r="C210">
            <v>800</v>
          </cell>
          <cell r="D210" t="str">
            <v>M</v>
          </cell>
          <cell r="E210">
            <v>49</v>
          </cell>
          <cell r="F210">
            <v>39200</v>
          </cell>
          <cell r="H210">
            <v>0</v>
          </cell>
          <cell r="I210">
            <v>0.54</v>
          </cell>
          <cell r="J210">
            <v>432</v>
          </cell>
          <cell r="K210">
            <v>49</v>
          </cell>
          <cell r="L210">
            <v>39200</v>
          </cell>
          <cell r="M210">
            <v>0</v>
          </cell>
          <cell r="N210">
            <v>0</v>
          </cell>
          <cell r="O210">
            <v>151</v>
          </cell>
          <cell r="P210">
            <v>120800</v>
          </cell>
        </row>
        <row r="211">
          <cell r="A211">
            <v>32</v>
          </cell>
          <cell r="B211" t="str">
            <v xml:space="preserve">     2"</v>
          </cell>
          <cell r="C211">
            <v>1000</v>
          </cell>
          <cell r="D211" t="str">
            <v>M</v>
          </cell>
          <cell r="E211">
            <v>105</v>
          </cell>
          <cell r="F211">
            <v>105000</v>
          </cell>
          <cell r="H211">
            <v>0</v>
          </cell>
          <cell r="I211">
            <v>0.98</v>
          </cell>
          <cell r="J211">
            <v>980</v>
          </cell>
          <cell r="K211">
            <v>105</v>
          </cell>
          <cell r="L211">
            <v>105000</v>
          </cell>
          <cell r="M211">
            <v>0</v>
          </cell>
          <cell r="N211">
            <v>0</v>
          </cell>
          <cell r="O211">
            <v>274</v>
          </cell>
          <cell r="P211">
            <v>274000</v>
          </cell>
        </row>
        <row r="212">
          <cell r="A212">
            <v>33</v>
          </cell>
          <cell r="B212" t="str">
            <v xml:space="preserve">     4"</v>
          </cell>
          <cell r="C212">
            <v>350</v>
          </cell>
          <cell r="D212" t="str">
            <v>M</v>
          </cell>
          <cell r="E212">
            <v>343</v>
          </cell>
          <cell r="F212">
            <v>120050</v>
          </cell>
          <cell r="H212">
            <v>0</v>
          </cell>
          <cell r="I212">
            <v>1.85</v>
          </cell>
          <cell r="J212">
            <v>648</v>
          </cell>
          <cell r="K212">
            <v>343</v>
          </cell>
          <cell r="L212">
            <v>120050</v>
          </cell>
          <cell r="M212">
            <v>0</v>
          </cell>
          <cell r="N212">
            <v>0</v>
          </cell>
          <cell r="O212">
            <v>518</v>
          </cell>
          <cell r="P212">
            <v>181300</v>
          </cell>
        </row>
        <row r="213">
          <cell r="A213">
            <v>34</v>
          </cell>
          <cell r="B213" t="str">
            <v xml:space="preserve">     6"</v>
          </cell>
          <cell r="C213">
            <v>50</v>
          </cell>
          <cell r="D213" t="str">
            <v>M</v>
          </cell>
          <cell r="E213">
            <v>840</v>
          </cell>
          <cell r="F213">
            <v>42000</v>
          </cell>
          <cell r="H213">
            <v>0</v>
          </cell>
          <cell r="I213">
            <v>2.72</v>
          </cell>
          <cell r="J213">
            <v>136</v>
          </cell>
          <cell r="K213">
            <v>840</v>
          </cell>
          <cell r="L213">
            <v>42000</v>
          </cell>
          <cell r="M213">
            <v>0</v>
          </cell>
          <cell r="N213">
            <v>0</v>
          </cell>
          <cell r="O213">
            <v>762</v>
          </cell>
          <cell r="P213">
            <v>38100</v>
          </cell>
        </row>
        <row r="214">
          <cell r="E214">
            <v>0</v>
          </cell>
          <cell r="F214">
            <v>0</v>
          </cell>
          <cell r="H214">
            <v>0</v>
          </cell>
          <cell r="J214">
            <v>0</v>
          </cell>
          <cell r="K214">
            <v>0</v>
          </cell>
          <cell r="L214">
            <v>0</v>
          </cell>
          <cell r="M214">
            <v>0</v>
          </cell>
          <cell r="N214">
            <v>0</v>
          </cell>
          <cell r="O214">
            <v>0</v>
          </cell>
          <cell r="P214">
            <v>0</v>
          </cell>
        </row>
        <row r="215">
          <cell r="B215" t="str">
            <v xml:space="preserve"> FLEXIBLE CONDUIT, LIQUID-TIGHT, UA TYPE</v>
          </cell>
          <cell r="F215">
            <v>0</v>
          </cell>
          <cell r="H215">
            <v>0</v>
          </cell>
          <cell r="J215">
            <v>0</v>
          </cell>
          <cell r="K215">
            <v>0</v>
          </cell>
          <cell r="L215">
            <v>0</v>
          </cell>
          <cell r="M215">
            <v>0</v>
          </cell>
          <cell r="N215">
            <v>0</v>
          </cell>
          <cell r="O215">
            <v>0</v>
          </cell>
          <cell r="P215">
            <v>0</v>
          </cell>
        </row>
        <row r="216">
          <cell r="A216">
            <v>35</v>
          </cell>
          <cell r="B216" t="str">
            <v xml:space="preserve">     1", 0.6M LG., W/TWO CONNECTORS</v>
          </cell>
          <cell r="C216">
            <v>20</v>
          </cell>
          <cell r="D216" t="str">
            <v>M</v>
          </cell>
          <cell r="E216">
            <v>191</v>
          </cell>
          <cell r="F216">
            <v>3820</v>
          </cell>
          <cell r="H216">
            <v>0</v>
          </cell>
          <cell r="I216">
            <v>0.64</v>
          </cell>
          <cell r="J216">
            <v>13</v>
          </cell>
          <cell r="K216">
            <v>191</v>
          </cell>
          <cell r="L216">
            <v>3820</v>
          </cell>
          <cell r="M216">
            <v>0</v>
          </cell>
          <cell r="N216">
            <v>0</v>
          </cell>
          <cell r="O216">
            <v>179</v>
          </cell>
          <cell r="P216">
            <v>3580</v>
          </cell>
        </row>
        <row r="217">
          <cell r="A217">
            <v>36</v>
          </cell>
          <cell r="B217" t="str">
            <v xml:space="preserve">    2", 0.6M LG., W/TWO CONNECTORS</v>
          </cell>
          <cell r="C217">
            <v>25</v>
          </cell>
          <cell r="D217" t="str">
            <v>M</v>
          </cell>
          <cell r="E217">
            <v>446</v>
          </cell>
          <cell r="F217">
            <v>11150</v>
          </cell>
          <cell r="H217">
            <v>0</v>
          </cell>
          <cell r="I217">
            <v>1.1599999999999999</v>
          </cell>
          <cell r="J217">
            <v>29</v>
          </cell>
          <cell r="K217">
            <v>446</v>
          </cell>
          <cell r="L217">
            <v>11150</v>
          </cell>
          <cell r="M217">
            <v>0</v>
          </cell>
          <cell r="N217">
            <v>0</v>
          </cell>
          <cell r="O217">
            <v>325</v>
          </cell>
          <cell r="P217">
            <v>8125</v>
          </cell>
        </row>
        <row r="218">
          <cell r="A218">
            <v>37</v>
          </cell>
          <cell r="B218" t="str">
            <v xml:space="preserve">    4", 0.6M LG., W/TWO CONNECTORS</v>
          </cell>
          <cell r="C218">
            <v>20</v>
          </cell>
          <cell r="D218" t="str">
            <v>M</v>
          </cell>
          <cell r="E218">
            <v>1307</v>
          </cell>
          <cell r="F218">
            <v>26140</v>
          </cell>
          <cell r="H218">
            <v>0</v>
          </cell>
          <cell r="I218">
            <v>2.08</v>
          </cell>
          <cell r="J218">
            <v>42</v>
          </cell>
          <cell r="K218">
            <v>1307</v>
          </cell>
          <cell r="L218">
            <v>26140</v>
          </cell>
          <cell r="M218">
            <v>0</v>
          </cell>
          <cell r="N218">
            <v>0</v>
          </cell>
          <cell r="O218">
            <v>582</v>
          </cell>
          <cell r="P218">
            <v>11640</v>
          </cell>
        </row>
        <row r="219">
          <cell r="F219">
            <v>0</v>
          </cell>
          <cell r="H219">
            <v>0</v>
          </cell>
          <cell r="J219">
            <v>0</v>
          </cell>
          <cell r="K219">
            <v>0</v>
          </cell>
          <cell r="L219">
            <v>0</v>
          </cell>
          <cell r="M219">
            <v>0</v>
          </cell>
          <cell r="N219">
            <v>0</v>
          </cell>
          <cell r="O219">
            <v>0</v>
          </cell>
          <cell r="P219">
            <v>0</v>
          </cell>
        </row>
        <row r="220">
          <cell r="A220">
            <v>38</v>
          </cell>
          <cell r="B220" t="str">
            <v xml:space="preserve"> HOT DIPPED GALVANIZED CONDUIT FITTING</v>
          </cell>
          <cell r="C220">
            <v>1</v>
          </cell>
          <cell r="D220" t="str">
            <v>LOT</v>
          </cell>
          <cell r="E220">
            <v>612500</v>
          </cell>
          <cell r="F220">
            <v>612500</v>
          </cell>
          <cell r="H220">
            <v>0</v>
          </cell>
          <cell r="I220">
            <v>658.8</v>
          </cell>
          <cell r="J220">
            <v>659</v>
          </cell>
          <cell r="K220">
            <v>612500</v>
          </cell>
          <cell r="L220">
            <v>612500</v>
          </cell>
          <cell r="M220">
            <v>0</v>
          </cell>
          <cell r="N220">
            <v>0</v>
          </cell>
          <cell r="O220">
            <v>184464</v>
          </cell>
          <cell r="P220">
            <v>184464</v>
          </cell>
        </row>
        <row r="221">
          <cell r="B221" t="str">
            <v xml:space="preserve"> SEALING FITTING, UNION, CLAMP….</v>
          </cell>
          <cell r="F221">
            <v>0</v>
          </cell>
          <cell r="H221">
            <v>0</v>
          </cell>
          <cell r="J221">
            <v>0</v>
          </cell>
          <cell r="K221">
            <v>0</v>
          </cell>
          <cell r="L221">
            <v>0</v>
          </cell>
          <cell r="M221">
            <v>0</v>
          </cell>
          <cell r="N221">
            <v>0</v>
          </cell>
          <cell r="O221">
            <v>0</v>
          </cell>
          <cell r="P221">
            <v>0</v>
          </cell>
        </row>
        <row r="222">
          <cell r="F222">
            <v>0</v>
          </cell>
          <cell r="H222">
            <v>0</v>
          </cell>
          <cell r="J222">
            <v>0</v>
          </cell>
          <cell r="K222">
            <v>0</v>
          </cell>
          <cell r="L222">
            <v>0</v>
          </cell>
          <cell r="M222">
            <v>0</v>
          </cell>
          <cell r="N222">
            <v>0</v>
          </cell>
          <cell r="O222">
            <v>0</v>
          </cell>
          <cell r="P222">
            <v>0</v>
          </cell>
        </row>
        <row r="223">
          <cell r="A223">
            <v>39</v>
          </cell>
          <cell r="B223" t="str">
            <v xml:space="preserve"> HOT DIPPED GALVANIZED STEEL SUPPORT, FOR CONDUIT</v>
          </cell>
          <cell r="C223">
            <v>1100</v>
          </cell>
          <cell r="D223" t="str">
            <v>KG</v>
          </cell>
          <cell r="E223">
            <v>20</v>
          </cell>
          <cell r="F223">
            <v>22000</v>
          </cell>
          <cell r="H223">
            <v>0</v>
          </cell>
          <cell r="I223">
            <v>0.15</v>
          </cell>
          <cell r="J223">
            <v>165</v>
          </cell>
          <cell r="K223">
            <v>20</v>
          </cell>
          <cell r="L223">
            <v>22000</v>
          </cell>
          <cell r="M223">
            <v>0</v>
          </cell>
          <cell r="N223">
            <v>0</v>
          </cell>
          <cell r="O223">
            <v>42</v>
          </cell>
          <cell r="P223">
            <v>46200</v>
          </cell>
        </row>
        <row r="224">
          <cell r="F224">
            <v>0</v>
          </cell>
          <cell r="H224">
            <v>0</v>
          </cell>
          <cell r="J224">
            <v>0</v>
          </cell>
          <cell r="K224">
            <v>0</v>
          </cell>
          <cell r="L224">
            <v>0</v>
          </cell>
          <cell r="M224">
            <v>0</v>
          </cell>
          <cell r="N224">
            <v>0</v>
          </cell>
          <cell r="O224">
            <v>0</v>
          </cell>
          <cell r="P224">
            <v>0</v>
          </cell>
        </row>
        <row r="225">
          <cell r="A225">
            <v>40</v>
          </cell>
          <cell r="B225" t="str">
            <v xml:space="preserve"> PUSH BUTTON  STATION, "START-STOP" TYPE,</v>
          </cell>
          <cell r="C225">
            <v>20</v>
          </cell>
          <cell r="D225" t="str">
            <v>SET</v>
          </cell>
          <cell r="E225">
            <v>3600</v>
          </cell>
          <cell r="F225">
            <v>72000</v>
          </cell>
          <cell r="H225">
            <v>0</v>
          </cell>
          <cell r="I225">
            <v>6</v>
          </cell>
          <cell r="J225">
            <v>120</v>
          </cell>
          <cell r="K225">
            <v>3600</v>
          </cell>
          <cell r="L225">
            <v>72000</v>
          </cell>
          <cell r="M225">
            <v>0</v>
          </cell>
          <cell r="N225">
            <v>0</v>
          </cell>
          <cell r="O225">
            <v>1680</v>
          </cell>
          <cell r="P225">
            <v>33600</v>
          </cell>
        </row>
        <row r="226">
          <cell r="B226" t="str">
            <v xml:space="preserve"> FOR CLASS 1, DIV. 2 GROUP D, NEMA-4X</v>
          </cell>
          <cell r="F226">
            <v>0</v>
          </cell>
          <cell r="H226">
            <v>0</v>
          </cell>
          <cell r="J226">
            <v>0</v>
          </cell>
          <cell r="K226">
            <v>0</v>
          </cell>
          <cell r="L226">
            <v>0</v>
          </cell>
          <cell r="M226">
            <v>0</v>
          </cell>
          <cell r="N226">
            <v>0</v>
          </cell>
          <cell r="O226">
            <v>0</v>
          </cell>
          <cell r="P226">
            <v>0</v>
          </cell>
        </row>
        <row r="227">
          <cell r="F227">
            <v>0</v>
          </cell>
          <cell r="H227">
            <v>0</v>
          </cell>
          <cell r="J227">
            <v>0</v>
          </cell>
          <cell r="K227">
            <v>0</v>
          </cell>
          <cell r="L227">
            <v>0</v>
          </cell>
          <cell r="M227">
            <v>0</v>
          </cell>
          <cell r="N227">
            <v>0</v>
          </cell>
          <cell r="O227">
            <v>0</v>
          </cell>
          <cell r="P227">
            <v>0</v>
          </cell>
        </row>
        <row r="228">
          <cell r="A228">
            <v>41</v>
          </cell>
          <cell r="B228" t="str">
            <v xml:space="preserve"> PUSH BUTTON  STATION, "START-STOP" TYPE, WITH LAMP x 1PC</v>
          </cell>
          <cell r="C228">
            <v>12</v>
          </cell>
          <cell r="D228" t="str">
            <v>SET</v>
          </cell>
          <cell r="E228">
            <v>6800</v>
          </cell>
          <cell r="F228">
            <v>81600</v>
          </cell>
          <cell r="H228">
            <v>0</v>
          </cell>
          <cell r="I228">
            <v>7</v>
          </cell>
          <cell r="J228">
            <v>84</v>
          </cell>
          <cell r="K228">
            <v>6800</v>
          </cell>
          <cell r="L228">
            <v>81600</v>
          </cell>
          <cell r="M228">
            <v>0</v>
          </cell>
          <cell r="N228">
            <v>0</v>
          </cell>
          <cell r="O228">
            <v>1960</v>
          </cell>
          <cell r="P228">
            <v>23520</v>
          </cell>
        </row>
        <row r="229">
          <cell r="B229" t="str">
            <v xml:space="preserve"> FOR CLASS 1, DIV. 2 GROUP D, NEMA-4X</v>
          </cell>
          <cell r="F229">
            <v>0</v>
          </cell>
          <cell r="H229">
            <v>0</v>
          </cell>
          <cell r="J229">
            <v>0</v>
          </cell>
          <cell r="K229">
            <v>0</v>
          </cell>
          <cell r="L229">
            <v>0</v>
          </cell>
          <cell r="M229">
            <v>0</v>
          </cell>
          <cell r="N229">
            <v>0</v>
          </cell>
          <cell r="O229">
            <v>0</v>
          </cell>
          <cell r="P229">
            <v>0</v>
          </cell>
        </row>
        <row r="230">
          <cell r="F230">
            <v>0</v>
          </cell>
          <cell r="H230">
            <v>0</v>
          </cell>
          <cell r="J230">
            <v>0</v>
          </cell>
          <cell r="K230">
            <v>0</v>
          </cell>
          <cell r="L230">
            <v>0</v>
          </cell>
          <cell r="M230">
            <v>0</v>
          </cell>
          <cell r="N230">
            <v>0</v>
          </cell>
          <cell r="O230">
            <v>0</v>
          </cell>
          <cell r="P230">
            <v>0</v>
          </cell>
        </row>
        <row r="231">
          <cell r="A231">
            <v>42</v>
          </cell>
          <cell r="B231" t="str">
            <v xml:space="preserve"> PUSH BUTTON  STATION, "START-STOP" TYPE,</v>
          </cell>
          <cell r="C231">
            <v>20</v>
          </cell>
          <cell r="D231" t="str">
            <v>SET</v>
          </cell>
          <cell r="E231">
            <v>2800</v>
          </cell>
          <cell r="F231">
            <v>56000</v>
          </cell>
          <cell r="H231">
            <v>0</v>
          </cell>
          <cell r="I231">
            <v>5</v>
          </cell>
          <cell r="J231">
            <v>100</v>
          </cell>
          <cell r="K231">
            <v>2800</v>
          </cell>
          <cell r="L231">
            <v>56000</v>
          </cell>
          <cell r="M231">
            <v>0</v>
          </cell>
          <cell r="N231">
            <v>0</v>
          </cell>
          <cell r="O231">
            <v>1400</v>
          </cell>
          <cell r="P231">
            <v>28000</v>
          </cell>
        </row>
        <row r="232">
          <cell r="B232" t="str">
            <v xml:space="preserve"> WEATHER PROOF, NEMA-4X</v>
          </cell>
          <cell r="F232">
            <v>0</v>
          </cell>
          <cell r="H232">
            <v>0</v>
          </cell>
          <cell r="J232">
            <v>0</v>
          </cell>
          <cell r="K232">
            <v>0</v>
          </cell>
          <cell r="L232">
            <v>0</v>
          </cell>
          <cell r="M232">
            <v>0</v>
          </cell>
          <cell r="N232">
            <v>0</v>
          </cell>
          <cell r="O232">
            <v>0</v>
          </cell>
          <cell r="P232">
            <v>0</v>
          </cell>
        </row>
        <row r="233">
          <cell r="F233">
            <v>0</v>
          </cell>
          <cell r="H233">
            <v>0</v>
          </cell>
          <cell r="J233">
            <v>0</v>
          </cell>
          <cell r="K233">
            <v>0</v>
          </cell>
          <cell r="L233">
            <v>0</v>
          </cell>
          <cell r="M233">
            <v>0</v>
          </cell>
          <cell r="N233">
            <v>0</v>
          </cell>
          <cell r="O233">
            <v>0</v>
          </cell>
          <cell r="P233">
            <v>0</v>
          </cell>
        </row>
        <row r="234">
          <cell r="A234">
            <v>43</v>
          </cell>
          <cell r="B234" t="str">
            <v xml:space="preserve"> HOT DIPPED GALVANIZED STEEL SUPPORT, </v>
          </cell>
          <cell r="C234">
            <v>780</v>
          </cell>
          <cell r="D234" t="str">
            <v>KG</v>
          </cell>
          <cell r="E234">
            <v>20</v>
          </cell>
          <cell r="F234">
            <v>15600</v>
          </cell>
          <cell r="H234">
            <v>0</v>
          </cell>
          <cell r="I234">
            <v>0.15</v>
          </cell>
          <cell r="J234">
            <v>117</v>
          </cell>
          <cell r="K234">
            <v>20</v>
          </cell>
          <cell r="L234">
            <v>15600</v>
          </cell>
          <cell r="M234">
            <v>0</v>
          </cell>
          <cell r="N234">
            <v>0</v>
          </cell>
          <cell r="O234">
            <v>42</v>
          </cell>
          <cell r="P234">
            <v>32760</v>
          </cell>
        </row>
        <row r="235">
          <cell r="B235" t="str">
            <v xml:space="preserve"> 1.5M(H) X 52SET FOR PUSH BUTTON STATION</v>
          </cell>
          <cell r="F235">
            <v>0</v>
          </cell>
          <cell r="H235">
            <v>0</v>
          </cell>
          <cell r="J235">
            <v>0</v>
          </cell>
          <cell r="K235">
            <v>0</v>
          </cell>
          <cell r="L235">
            <v>0</v>
          </cell>
          <cell r="M235">
            <v>0</v>
          </cell>
          <cell r="N235">
            <v>0</v>
          </cell>
          <cell r="O235">
            <v>0</v>
          </cell>
          <cell r="P235">
            <v>0</v>
          </cell>
        </row>
        <row r="236">
          <cell r="F236">
            <v>0</v>
          </cell>
          <cell r="H236">
            <v>0</v>
          </cell>
          <cell r="J236">
            <v>0</v>
          </cell>
          <cell r="K236">
            <v>0</v>
          </cell>
          <cell r="L236">
            <v>0</v>
          </cell>
          <cell r="M236">
            <v>0</v>
          </cell>
          <cell r="N236">
            <v>0</v>
          </cell>
          <cell r="O236">
            <v>0</v>
          </cell>
          <cell r="P236">
            <v>0</v>
          </cell>
        </row>
        <row r="237">
          <cell r="A237">
            <v>44</v>
          </cell>
          <cell r="B237" t="str">
            <v>SMALL FOUNDATION FOR PUSH BUTTON STATION</v>
          </cell>
          <cell r="C237">
            <v>52</v>
          </cell>
          <cell r="D237" t="str">
            <v>SET</v>
          </cell>
          <cell r="E237">
            <v>1000</v>
          </cell>
          <cell r="F237">
            <v>52000</v>
          </cell>
          <cell r="H237">
            <v>0</v>
          </cell>
          <cell r="J237">
            <v>0</v>
          </cell>
          <cell r="K237">
            <v>1000</v>
          </cell>
          <cell r="L237">
            <v>52000</v>
          </cell>
          <cell r="M237">
            <v>0</v>
          </cell>
          <cell r="N237">
            <v>0</v>
          </cell>
          <cell r="O237">
            <v>0</v>
          </cell>
          <cell r="P237">
            <v>0</v>
          </cell>
        </row>
        <row r="238">
          <cell r="F238">
            <v>0</v>
          </cell>
          <cell r="H238">
            <v>0</v>
          </cell>
          <cell r="J238">
            <v>0</v>
          </cell>
          <cell r="K238">
            <v>0</v>
          </cell>
          <cell r="L238">
            <v>0</v>
          </cell>
          <cell r="M238">
            <v>0</v>
          </cell>
          <cell r="N238">
            <v>0</v>
          </cell>
          <cell r="O238">
            <v>0</v>
          </cell>
          <cell r="P238">
            <v>0</v>
          </cell>
        </row>
        <row r="239">
          <cell r="B239" t="str">
            <v xml:space="preserve"> CABLE TRAY, LADDER TYPE H.D. GALV. STEEL</v>
          </cell>
          <cell r="F239">
            <v>0</v>
          </cell>
          <cell r="H239">
            <v>0</v>
          </cell>
          <cell r="J239">
            <v>0</v>
          </cell>
          <cell r="K239">
            <v>0</v>
          </cell>
          <cell r="L239">
            <v>0</v>
          </cell>
          <cell r="M239">
            <v>0</v>
          </cell>
          <cell r="N239">
            <v>0</v>
          </cell>
          <cell r="O239">
            <v>0</v>
          </cell>
          <cell r="P239">
            <v>0</v>
          </cell>
        </row>
        <row r="240">
          <cell r="B240" t="str">
            <v xml:space="preserve"> W/ ANODIC TREATMENT &amp; EXPOSY COATING(50u)</v>
          </cell>
          <cell r="F240">
            <v>0</v>
          </cell>
          <cell r="H240">
            <v>0</v>
          </cell>
          <cell r="J240">
            <v>0</v>
          </cell>
          <cell r="K240">
            <v>0</v>
          </cell>
          <cell r="L240">
            <v>0</v>
          </cell>
          <cell r="M240">
            <v>0</v>
          </cell>
          <cell r="N240">
            <v>0</v>
          </cell>
          <cell r="O240">
            <v>0</v>
          </cell>
          <cell r="P240">
            <v>0</v>
          </cell>
        </row>
        <row r="241">
          <cell r="B241" t="str">
            <v xml:space="preserve"> STRAIGHT SECTION, </v>
          </cell>
          <cell r="F241">
            <v>0</v>
          </cell>
          <cell r="H241">
            <v>0</v>
          </cell>
          <cell r="J241">
            <v>0</v>
          </cell>
          <cell r="K241">
            <v>0</v>
          </cell>
          <cell r="L241">
            <v>0</v>
          </cell>
          <cell r="M241">
            <v>0</v>
          </cell>
          <cell r="N241">
            <v>0</v>
          </cell>
          <cell r="O241">
            <v>0</v>
          </cell>
          <cell r="P241">
            <v>0</v>
          </cell>
        </row>
        <row r="242">
          <cell r="A242">
            <v>45</v>
          </cell>
          <cell r="B242" t="str">
            <v xml:space="preserve"> 300 mm  WIDE x 100 mm H</v>
          </cell>
          <cell r="C242">
            <v>230</v>
          </cell>
          <cell r="D242" t="str">
            <v>M</v>
          </cell>
          <cell r="E242">
            <v>328</v>
          </cell>
          <cell r="F242">
            <v>75440</v>
          </cell>
          <cell r="H242">
            <v>0</v>
          </cell>
          <cell r="I242">
            <v>0.74</v>
          </cell>
          <cell r="J242">
            <v>170</v>
          </cell>
          <cell r="K242">
            <v>328</v>
          </cell>
          <cell r="L242">
            <v>75440</v>
          </cell>
          <cell r="M242">
            <v>0</v>
          </cell>
          <cell r="N242">
            <v>0</v>
          </cell>
          <cell r="O242">
            <v>207</v>
          </cell>
          <cell r="P242">
            <v>47610</v>
          </cell>
        </row>
        <row r="243">
          <cell r="A243">
            <v>46</v>
          </cell>
          <cell r="B243" t="str">
            <v xml:space="preserve"> 600 mm WIDE x 100 mm HIGH</v>
          </cell>
          <cell r="C243">
            <v>400</v>
          </cell>
          <cell r="D243" t="str">
            <v>M</v>
          </cell>
          <cell r="E243">
            <v>380</v>
          </cell>
          <cell r="F243">
            <v>152000</v>
          </cell>
          <cell r="H243">
            <v>0</v>
          </cell>
          <cell r="I243">
            <v>0.84</v>
          </cell>
          <cell r="J243">
            <v>336</v>
          </cell>
          <cell r="K243">
            <v>380</v>
          </cell>
          <cell r="L243">
            <v>152000</v>
          </cell>
          <cell r="M243">
            <v>0</v>
          </cell>
          <cell r="N243">
            <v>0</v>
          </cell>
          <cell r="O243">
            <v>235</v>
          </cell>
          <cell r="P243">
            <v>94000</v>
          </cell>
        </row>
        <row r="244">
          <cell r="A244">
            <v>47</v>
          </cell>
          <cell r="B244" t="str">
            <v xml:space="preserve"> 1000 mm WIDE x 100 mm HIGH</v>
          </cell>
          <cell r="C244">
            <v>160</v>
          </cell>
          <cell r="D244" t="str">
            <v>M</v>
          </cell>
          <cell r="E244">
            <v>450</v>
          </cell>
          <cell r="F244">
            <v>72000</v>
          </cell>
          <cell r="H244">
            <v>0</v>
          </cell>
          <cell r="I244">
            <v>1</v>
          </cell>
          <cell r="J244">
            <v>160</v>
          </cell>
          <cell r="K244">
            <v>450</v>
          </cell>
          <cell r="L244">
            <v>72000</v>
          </cell>
          <cell r="M244">
            <v>0</v>
          </cell>
          <cell r="N244">
            <v>0</v>
          </cell>
          <cell r="O244">
            <v>280</v>
          </cell>
          <cell r="P244">
            <v>44800</v>
          </cell>
        </row>
        <row r="245">
          <cell r="F245">
            <v>0</v>
          </cell>
          <cell r="H245">
            <v>0</v>
          </cell>
          <cell r="J245">
            <v>0</v>
          </cell>
          <cell r="K245">
            <v>0</v>
          </cell>
          <cell r="L245">
            <v>0</v>
          </cell>
          <cell r="M245">
            <v>0</v>
          </cell>
          <cell r="N245">
            <v>0</v>
          </cell>
          <cell r="O245">
            <v>0</v>
          </cell>
          <cell r="P245">
            <v>0</v>
          </cell>
        </row>
        <row r="246">
          <cell r="A246">
            <v>48</v>
          </cell>
          <cell r="B246" t="str">
            <v xml:space="preserve"> CABLE TRAY COVER, H.D. GALV. STEEL</v>
          </cell>
          <cell r="C246">
            <v>150</v>
          </cell>
          <cell r="D246" t="str">
            <v>M</v>
          </cell>
          <cell r="E246">
            <v>328</v>
          </cell>
          <cell r="F246">
            <v>49200</v>
          </cell>
          <cell r="H246">
            <v>0</v>
          </cell>
          <cell r="I246">
            <v>0.6</v>
          </cell>
          <cell r="J246">
            <v>90</v>
          </cell>
          <cell r="K246">
            <v>328</v>
          </cell>
          <cell r="L246">
            <v>49200</v>
          </cell>
          <cell r="M246">
            <v>0</v>
          </cell>
          <cell r="N246">
            <v>0</v>
          </cell>
          <cell r="O246">
            <v>168</v>
          </cell>
          <cell r="P246">
            <v>25200</v>
          </cell>
        </row>
        <row r="247">
          <cell r="B247" t="str">
            <v xml:space="preserve"> W/ ANODIC TREATMENT &amp; EXPOSY COATING(50u)</v>
          </cell>
          <cell r="F247">
            <v>0</v>
          </cell>
          <cell r="H247">
            <v>0</v>
          </cell>
          <cell r="J247">
            <v>0</v>
          </cell>
          <cell r="K247">
            <v>0</v>
          </cell>
          <cell r="L247">
            <v>0</v>
          </cell>
          <cell r="M247">
            <v>0</v>
          </cell>
          <cell r="N247">
            <v>0</v>
          </cell>
          <cell r="O247">
            <v>0</v>
          </cell>
          <cell r="P247">
            <v>0</v>
          </cell>
        </row>
        <row r="248">
          <cell r="B248" t="str">
            <v xml:space="preserve"> STRAIGHT SECTION, 600 mm WIDE</v>
          </cell>
          <cell r="F248">
            <v>0</v>
          </cell>
          <cell r="H248">
            <v>0</v>
          </cell>
          <cell r="J248">
            <v>0</v>
          </cell>
          <cell r="K248">
            <v>0</v>
          </cell>
          <cell r="L248">
            <v>0</v>
          </cell>
          <cell r="M248">
            <v>0</v>
          </cell>
          <cell r="N248">
            <v>0</v>
          </cell>
          <cell r="O248">
            <v>0</v>
          </cell>
          <cell r="P248">
            <v>0</v>
          </cell>
        </row>
        <row r="249">
          <cell r="F249">
            <v>0</v>
          </cell>
          <cell r="H249">
            <v>0</v>
          </cell>
          <cell r="J249">
            <v>0</v>
          </cell>
          <cell r="K249">
            <v>0</v>
          </cell>
          <cell r="L249">
            <v>0</v>
          </cell>
          <cell r="M249">
            <v>0</v>
          </cell>
          <cell r="N249">
            <v>0</v>
          </cell>
          <cell r="O249">
            <v>0</v>
          </cell>
          <cell r="P249">
            <v>0</v>
          </cell>
        </row>
        <row r="250">
          <cell r="A250">
            <v>49</v>
          </cell>
          <cell r="B250" t="str">
            <v xml:space="preserve"> CABLE TRAY FITTINGS &amp; ACCESSORIES</v>
          </cell>
          <cell r="C250">
            <v>1</v>
          </cell>
          <cell r="D250" t="str">
            <v>LOT</v>
          </cell>
          <cell r="E250">
            <v>174320</v>
          </cell>
          <cell r="F250">
            <v>174320</v>
          </cell>
          <cell r="H250">
            <v>0</v>
          </cell>
          <cell r="I250">
            <v>113.39999999999999</v>
          </cell>
          <cell r="J250">
            <v>113</v>
          </cell>
          <cell r="K250">
            <v>174320</v>
          </cell>
          <cell r="L250">
            <v>174320</v>
          </cell>
          <cell r="M250">
            <v>0</v>
          </cell>
          <cell r="N250">
            <v>0</v>
          </cell>
          <cell r="O250">
            <v>31752</v>
          </cell>
          <cell r="P250">
            <v>31752</v>
          </cell>
        </row>
        <row r="251">
          <cell r="F251">
            <v>0</v>
          </cell>
          <cell r="H251">
            <v>0</v>
          </cell>
          <cell r="J251">
            <v>0</v>
          </cell>
          <cell r="K251">
            <v>0</v>
          </cell>
          <cell r="L251">
            <v>0</v>
          </cell>
          <cell r="M251">
            <v>0</v>
          </cell>
          <cell r="N251">
            <v>0</v>
          </cell>
          <cell r="O251">
            <v>0</v>
          </cell>
          <cell r="P251">
            <v>0</v>
          </cell>
        </row>
        <row r="252">
          <cell r="A252">
            <v>50</v>
          </cell>
          <cell r="B252" t="str">
            <v xml:space="preserve"> CABLE TRAY SUPPORT(IN TRENCH), HOT DIPPED GALVAN.</v>
          </cell>
          <cell r="C252">
            <v>3950</v>
          </cell>
          <cell r="D252" t="str">
            <v>KG</v>
          </cell>
          <cell r="E252">
            <v>20</v>
          </cell>
          <cell r="F252">
            <v>79000</v>
          </cell>
          <cell r="H252">
            <v>0</v>
          </cell>
          <cell r="I252">
            <v>0.15</v>
          </cell>
          <cell r="J252">
            <v>593</v>
          </cell>
          <cell r="K252">
            <v>20</v>
          </cell>
          <cell r="L252">
            <v>79000</v>
          </cell>
          <cell r="M252">
            <v>0</v>
          </cell>
          <cell r="N252">
            <v>0</v>
          </cell>
          <cell r="O252">
            <v>42</v>
          </cell>
          <cell r="P252">
            <v>165900</v>
          </cell>
        </row>
        <row r="253">
          <cell r="F253">
            <v>0</v>
          </cell>
          <cell r="H253">
            <v>0</v>
          </cell>
          <cell r="J253">
            <v>0</v>
          </cell>
          <cell r="K253">
            <v>0</v>
          </cell>
          <cell r="L253">
            <v>0</v>
          </cell>
          <cell r="M253">
            <v>0</v>
          </cell>
          <cell r="N253">
            <v>0</v>
          </cell>
          <cell r="O253">
            <v>0</v>
          </cell>
          <cell r="P253">
            <v>0</v>
          </cell>
        </row>
        <row r="254">
          <cell r="A254">
            <v>51</v>
          </cell>
          <cell r="B254" t="str">
            <v>POOLING BOX, OUTDOOR TYPE</v>
          </cell>
          <cell r="C254">
            <v>6</v>
          </cell>
          <cell r="D254" t="str">
            <v>SET</v>
          </cell>
          <cell r="E254">
            <v>80000</v>
          </cell>
          <cell r="F254">
            <v>480000</v>
          </cell>
          <cell r="H254">
            <v>0</v>
          </cell>
          <cell r="I254">
            <v>50</v>
          </cell>
          <cell r="J254">
            <v>300</v>
          </cell>
          <cell r="K254">
            <v>80000</v>
          </cell>
          <cell r="L254">
            <v>480000</v>
          </cell>
          <cell r="M254">
            <v>0</v>
          </cell>
          <cell r="N254">
            <v>0</v>
          </cell>
          <cell r="O254">
            <v>14000</v>
          </cell>
          <cell r="P254">
            <v>84000</v>
          </cell>
        </row>
        <row r="255">
          <cell r="B255" t="str">
            <v>HOT DIPPED GALVANIZED STEEL, W/ PAINTING</v>
          </cell>
          <cell r="F255">
            <v>0</v>
          </cell>
          <cell r="H255">
            <v>0</v>
          </cell>
          <cell r="J255">
            <v>0</v>
          </cell>
          <cell r="K255">
            <v>0</v>
          </cell>
          <cell r="L255">
            <v>0</v>
          </cell>
          <cell r="M255">
            <v>0</v>
          </cell>
          <cell r="N255">
            <v>0</v>
          </cell>
          <cell r="O255">
            <v>0</v>
          </cell>
          <cell r="P255">
            <v>0</v>
          </cell>
        </row>
        <row r="256">
          <cell r="B256" t="str">
            <v xml:space="preserve"> 3000(L)x1600(D)x2200(H)MM., W/ DOORS</v>
          </cell>
          <cell r="F256">
            <v>0</v>
          </cell>
          <cell r="H256">
            <v>0</v>
          </cell>
          <cell r="J256">
            <v>0</v>
          </cell>
          <cell r="K256">
            <v>0</v>
          </cell>
          <cell r="L256">
            <v>0</v>
          </cell>
          <cell r="M256">
            <v>0</v>
          </cell>
          <cell r="N256">
            <v>0</v>
          </cell>
          <cell r="O256">
            <v>0</v>
          </cell>
          <cell r="P256">
            <v>0</v>
          </cell>
        </row>
        <row r="257">
          <cell r="F257">
            <v>0</v>
          </cell>
          <cell r="H257">
            <v>0</v>
          </cell>
          <cell r="J257">
            <v>0</v>
          </cell>
          <cell r="K257">
            <v>0</v>
          </cell>
          <cell r="L257">
            <v>0</v>
          </cell>
          <cell r="M257">
            <v>0</v>
          </cell>
          <cell r="N257">
            <v>0</v>
          </cell>
          <cell r="O257">
            <v>0</v>
          </cell>
          <cell r="P257">
            <v>0</v>
          </cell>
        </row>
        <row r="258">
          <cell r="A258">
            <v>52</v>
          </cell>
          <cell r="B258" t="str">
            <v xml:space="preserve">JUNCTION BOX, INDOOR TYPE, </v>
          </cell>
          <cell r="C258">
            <v>3</v>
          </cell>
          <cell r="D258" t="str">
            <v>SET</v>
          </cell>
          <cell r="E258">
            <v>16000</v>
          </cell>
          <cell r="F258">
            <v>48000</v>
          </cell>
          <cell r="H258">
            <v>0</v>
          </cell>
          <cell r="I258">
            <v>15</v>
          </cell>
          <cell r="J258">
            <v>45</v>
          </cell>
          <cell r="K258">
            <v>16000</v>
          </cell>
          <cell r="L258">
            <v>48000</v>
          </cell>
          <cell r="M258">
            <v>0</v>
          </cell>
          <cell r="N258">
            <v>0</v>
          </cell>
          <cell r="O258">
            <v>4200</v>
          </cell>
          <cell r="P258">
            <v>12600</v>
          </cell>
        </row>
        <row r="259">
          <cell r="B259" t="str">
            <v>W/ TB.(FOR 2.0MM. WIRE) X 200P</v>
          </cell>
          <cell r="F259">
            <v>0</v>
          </cell>
          <cell r="H259">
            <v>0</v>
          </cell>
          <cell r="J259">
            <v>0</v>
          </cell>
          <cell r="K259">
            <v>0</v>
          </cell>
          <cell r="L259">
            <v>0</v>
          </cell>
          <cell r="M259">
            <v>0</v>
          </cell>
          <cell r="N259">
            <v>0</v>
          </cell>
          <cell r="O259">
            <v>0</v>
          </cell>
          <cell r="P259">
            <v>0</v>
          </cell>
        </row>
        <row r="260">
          <cell r="F260">
            <v>0</v>
          </cell>
          <cell r="H260">
            <v>0</v>
          </cell>
          <cell r="J260">
            <v>0</v>
          </cell>
          <cell r="K260">
            <v>0</v>
          </cell>
          <cell r="L260">
            <v>0</v>
          </cell>
          <cell r="M260">
            <v>0</v>
          </cell>
          <cell r="N260">
            <v>0</v>
          </cell>
          <cell r="O260">
            <v>0</v>
          </cell>
          <cell r="P260">
            <v>0</v>
          </cell>
        </row>
        <row r="261">
          <cell r="A261">
            <v>53</v>
          </cell>
          <cell r="B261" t="str">
            <v xml:space="preserve"> MISCELLANEOUS MATERIALS</v>
          </cell>
          <cell r="C261">
            <v>1</v>
          </cell>
          <cell r="D261" t="str">
            <v>LOT</v>
          </cell>
          <cell r="E261">
            <v>677772</v>
          </cell>
          <cell r="F261">
            <v>677772</v>
          </cell>
          <cell r="H261">
            <v>0</v>
          </cell>
          <cell r="I261">
            <v>963.71999999999991</v>
          </cell>
          <cell r="J261">
            <v>964</v>
          </cell>
          <cell r="K261">
            <v>677772</v>
          </cell>
          <cell r="L261">
            <v>677772</v>
          </cell>
          <cell r="M261">
            <v>0</v>
          </cell>
          <cell r="N261">
            <v>0</v>
          </cell>
          <cell r="O261">
            <v>269842</v>
          </cell>
          <cell r="P261">
            <v>269842</v>
          </cell>
        </row>
        <row r="262">
          <cell r="F262">
            <v>0</v>
          </cell>
          <cell r="H262">
            <v>0</v>
          </cell>
          <cell r="J262">
            <v>0</v>
          </cell>
          <cell r="K262">
            <v>0</v>
          </cell>
          <cell r="L262">
            <v>0</v>
          </cell>
          <cell r="M262">
            <v>0</v>
          </cell>
          <cell r="N262">
            <v>0</v>
          </cell>
          <cell r="O262">
            <v>0</v>
          </cell>
          <cell r="P262">
            <v>0</v>
          </cell>
        </row>
        <row r="263">
          <cell r="B263" t="str">
            <v>SUB-TOTAL : (B)</v>
          </cell>
          <cell r="F263">
            <v>23270172</v>
          </cell>
          <cell r="H263">
            <v>0</v>
          </cell>
          <cell r="J263">
            <v>33088</v>
          </cell>
          <cell r="K263">
            <v>0</v>
          </cell>
          <cell r="L263">
            <v>23270172</v>
          </cell>
          <cell r="M263">
            <v>0</v>
          </cell>
          <cell r="N263">
            <v>0</v>
          </cell>
          <cell r="O263">
            <v>0</v>
          </cell>
          <cell r="P263">
            <v>9262383</v>
          </cell>
        </row>
        <row r="264">
          <cell r="F264">
            <v>0</v>
          </cell>
          <cell r="H264">
            <v>0</v>
          </cell>
          <cell r="J264">
            <v>0</v>
          </cell>
          <cell r="K264">
            <v>0</v>
          </cell>
          <cell r="L264">
            <v>0</v>
          </cell>
          <cell r="M264">
            <v>0</v>
          </cell>
          <cell r="N264">
            <v>0</v>
          </cell>
          <cell r="O264">
            <v>0</v>
          </cell>
          <cell r="P264">
            <v>0</v>
          </cell>
        </row>
        <row r="265">
          <cell r="F265">
            <v>0</v>
          </cell>
          <cell r="H265">
            <v>0</v>
          </cell>
          <cell r="J265">
            <v>0</v>
          </cell>
          <cell r="K265">
            <v>0</v>
          </cell>
          <cell r="L265">
            <v>0</v>
          </cell>
          <cell r="M265">
            <v>0</v>
          </cell>
          <cell r="N265">
            <v>0</v>
          </cell>
          <cell r="O265">
            <v>0</v>
          </cell>
          <cell r="P265">
            <v>0</v>
          </cell>
        </row>
        <row r="266">
          <cell r="F266">
            <v>0</v>
          </cell>
          <cell r="H266">
            <v>0</v>
          </cell>
          <cell r="J266">
            <v>0</v>
          </cell>
          <cell r="K266">
            <v>0</v>
          </cell>
          <cell r="L266">
            <v>0</v>
          </cell>
          <cell r="M266">
            <v>0</v>
          </cell>
          <cell r="N266">
            <v>0</v>
          </cell>
          <cell r="O266">
            <v>0</v>
          </cell>
          <cell r="P266">
            <v>0</v>
          </cell>
        </row>
        <row r="267">
          <cell r="A267" t="str">
            <v xml:space="preserve">  C.</v>
          </cell>
          <cell r="B267" t="str">
            <v xml:space="preserve"> LIGHTING SYSTEM(所有燈具皆包括燈管或燈泡)</v>
          </cell>
          <cell r="F267">
            <v>0</v>
          </cell>
          <cell r="H267">
            <v>0</v>
          </cell>
          <cell r="J267">
            <v>0</v>
          </cell>
          <cell r="K267">
            <v>0</v>
          </cell>
          <cell r="L267">
            <v>0</v>
          </cell>
          <cell r="M267">
            <v>0</v>
          </cell>
          <cell r="N267">
            <v>0</v>
          </cell>
          <cell r="O267">
            <v>0</v>
          </cell>
          <cell r="P267">
            <v>0</v>
          </cell>
        </row>
        <row r="268">
          <cell r="A268">
            <v>1</v>
          </cell>
          <cell r="B268" t="str">
            <v xml:space="preserve"> LIGHTING PANEL FOR CLASS 1 DIV.2  GROUP D</v>
          </cell>
          <cell r="C268">
            <v>1</v>
          </cell>
          <cell r="D268" t="str">
            <v>SET</v>
          </cell>
          <cell r="E268">
            <v>144000</v>
          </cell>
          <cell r="F268">
            <v>144000</v>
          </cell>
          <cell r="H268">
            <v>0</v>
          </cell>
          <cell r="I268">
            <v>10</v>
          </cell>
          <cell r="J268">
            <v>10</v>
          </cell>
          <cell r="K268">
            <v>144000</v>
          </cell>
          <cell r="L268">
            <v>144000</v>
          </cell>
          <cell r="M268">
            <v>0</v>
          </cell>
          <cell r="N268">
            <v>0</v>
          </cell>
          <cell r="O268">
            <v>2800</v>
          </cell>
          <cell r="P268">
            <v>2800</v>
          </cell>
        </row>
        <row r="269">
          <cell r="B269" t="str">
            <v xml:space="preserve"> , 3 PHASE 3 WIRE 240V, MAIN 3P30A,BRANCH 2P 20A 6CKT</v>
          </cell>
          <cell r="F269">
            <v>0</v>
          </cell>
          <cell r="H269">
            <v>0</v>
          </cell>
          <cell r="J269">
            <v>0</v>
          </cell>
          <cell r="K269">
            <v>0</v>
          </cell>
          <cell r="L269">
            <v>0</v>
          </cell>
          <cell r="M269">
            <v>0</v>
          </cell>
          <cell r="N269">
            <v>0</v>
          </cell>
          <cell r="O269">
            <v>0</v>
          </cell>
          <cell r="P269">
            <v>0</v>
          </cell>
        </row>
        <row r="270">
          <cell r="A270">
            <v>2</v>
          </cell>
          <cell r="B270" t="str">
            <v xml:space="preserve">LTG. PNL FOR WEATHER-PROOF, 3PHASE 3 WIRE 240V </v>
          </cell>
          <cell r="C270">
            <v>1</v>
          </cell>
          <cell r="D270" t="str">
            <v>SET</v>
          </cell>
          <cell r="E270">
            <v>13000</v>
          </cell>
          <cell r="F270">
            <v>13000</v>
          </cell>
          <cell r="H270">
            <v>0</v>
          </cell>
          <cell r="I270">
            <v>10</v>
          </cell>
          <cell r="J270">
            <v>10</v>
          </cell>
          <cell r="K270">
            <v>13000</v>
          </cell>
          <cell r="L270">
            <v>13000</v>
          </cell>
          <cell r="M270">
            <v>0</v>
          </cell>
          <cell r="N270">
            <v>0</v>
          </cell>
          <cell r="O270">
            <v>2800</v>
          </cell>
          <cell r="P270">
            <v>2800</v>
          </cell>
        </row>
        <row r="271">
          <cell r="B271" t="str">
            <v>MAIN 3P30A,BRANCH 2P 20A 8 CKT</v>
          </cell>
          <cell r="F271">
            <v>0</v>
          </cell>
          <cell r="H271">
            <v>0</v>
          </cell>
          <cell r="J271">
            <v>0</v>
          </cell>
          <cell r="K271">
            <v>0</v>
          </cell>
          <cell r="L271">
            <v>0</v>
          </cell>
          <cell r="M271">
            <v>0</v>
          </cell>
          <cell r="N271">
            <v>0</v>
          </cell>
          <cell r="O271">
            <v>0</v>
          </cell>
          <cell r="P271">
            <v>0</v>
          </cell>
        </row>
        <row r="272">
          <cell r="A272">
            <v>3</v>
          </cell>
          <cell r="B272" t="str">
            <v>LTG. PNL. FOR CLASS 1, DIV.2 GROUP D , 3PHASE 3WIRE</v>
          </cell>
          <cell r="C272">
            <v>1</v>
          </cell>
          <cell r="D272" t="str">
            <v>SET</v>
          </cell>
          <cell r="E272">
            <v>157500</v>
          </cell>
          <cell r="F272">
            <v>157500</v>
          </cell>
          <cell r="H272">
            <v>0</v>
          </cell>
          <cell r="I272">
            <v>10</v>
          </cell>
          <cell r="J272">
            <v>10</v>
          </cell>
          <cell r="K272">
            <v>157500</v>
          </cell>
          <cell r="L272">
            <v>157500</v>
          </cell>
          <cell r="M272">
            <v>0</v>
          </cell>
          <cell r="N272">
            <v>0</v>
          </cell>
          <cell r="O272">
            <v>2800</v>
          </cell>
          <cell r="P272">
            <v>2800</v>
          </cell>
        </row>
        <row r="273">
          <cell r="B273" t="str">
            <v>240V, MAIN 3P50A,BRANCH 2P 20A 10CKT</v>
          </cell>
          <cell r="F273">
            <v>0</v>
          </cell>
          <cell r="H273">
            <v>0</v>
          </cell>
          <cell r="J273">
            <v>0</v>
          </cell>
          <cell r="K273">
            <v>0</v>
          </cell>
          <cell r="L273">
            <v>0</v>
          </cell>
          <cell r="M273">
            <v>0</v>
          </cell>
          <cell r="N273">
            <v>0</v>
          </cell>
          <cell r="O273">
            <v>0</v>
          </cell>
          <cell r="P273">
            <v>0</v>
          </cell>
        </row>
        <row r="274">
          <cell r="A274">
            <v>4</v>
          </cell>
          <cell r="B274" t="str">
            <v>LTG. PNL. FOR WEATHER-PROOF , 3PHASE 3WIRE</v>
          </cell>
          <cell r="C274">
            <v>1</v>
          </cell>
          <cell r="D274" t="str">
            <v>SET</v>
          </cell>
          <cell r="E274">
            <v>11000</v>
          </cell>
          <cell r="F274">
            <v>11000</v>
          </cell>
          <cell r="H274">
            <v>0</v>
          </cell>
          <cell r="I274">
            <v>8</v>
          </cell>
          <cell r="J274">
            <v>8</v>
          </cell>
          <cell r="K274">
            <v>11000</v>
          </cell>
          <cell r="L274">
            <v>11000</v>
          </cell>
          <cell r="M274">
            <v>0</v>
          </cell>
          <cell r="N274">
            <v>0</v>
          </cell>
          <cell r="O274">
            <v>2240</v>
          </cell>
          <cell r="P274">
            <v>2240</v>
          </cell>
        </row>
        <row r="275">
          <cell r="B275" t="str">
            <v>240V, MAIN 3P30A,BRANCH2P 20A 6CKT</v>
          </cell>
          <cell r="F275">
            <v>0</v>
          </cell>
          <cell r="H275">
            <v>0</v>
          </cell>
          <cell r="J275">
            <v>0</v>
          </cell>
          <cell r="K275">
            <v>0</v>
          </cell>
          <cell r="L275">
            <v>0</v>
          </cell>
          <cell r="M275">
            <v>0</v>
          </cell>
          <cell r="N275">
            <v>0</v>
          </cell>
          <cell r="O275">
            <v>0</v>
          </cell>
          <cell r="P275">
            <v>0</v>
          </cell>
        </row>
        <row r="276">
          <cell r="A276">
            <v>5</v>
          </cell>
          <cell r="B276" t="str">
            <v>LTG. PNL. FOR CLASS 1, DIV.2 GROUP D 3 PHASE 3 WIRE</v>
          </cell>
          <cell r="C276">
            <v>1</v>
          </cell>
          <cell r="D276" t="str">
            <v>SET</v>
          </cell>
          <cell r="E276">
            <v>164700</v>
          </cell>
          <cell r="F276">
            <v>164700</v>
          </cell>
          <cell r="H276">
            <v>0</v>
          </cell>
          <cell r="I276">
            <v>8</v>
          </cell>
          <cell r="J276">
            <v>8</v>
          </cell>
          <cell r="K276">
            <v>164700</v>
          </cell>
          <cell r="L276">
            <v>164700</v>
          </cell>
          <cell r="M276">
            <v>0</v>
          </cell>
          <cell r="N276">
            <v>0</v>
          </cell>
          <cell r="O276">
            <v>2240</v>
          </cell>
          <cell r="P276">
            <v>2240</v>
          </cell>
        </row>
        <row r="277">
          <cell r="B277" t="str">
            <v>240V 2P50A 12CKT</v>
          </cell>
          <cell r="F277">
            <v>0</v>
          </cell>
          <cell r="H277">
            <v>0</v>
          </cell>
          <cell r="J277">
            <v>0</v>
          </cell>
          <cell r="K277">
            <v>0</v>
          </cell>
          <cell r="L277">
            <v>0</v>
          </cell>
          <cell r="M277">
            <v>0</v>
          </cell>
          <cell r="N277">
            <v>0</v>
          </cell>
          <cell r="O277">
            <v>0</v>
          </cell>
          <cell r="P277">
            <v>0</v>
          </cell>
        </row>
        <row r="278">
          <cell r="A278">
            <v>6</v>
          </cell>
          <cell r="B278" t="str">
            <v>LTG. PNL. FOR GENERAL PURPOSE 3 PHASE 3 WIRE</v>
          </cell>
          <cell r="C278">
            <v>2</v>
          </cell>
          <cell r="D278" t="str">
            <v>SET</v>
          </cell>
          <cell r="E278">
            <v>12500</v>
          </cell>
          <cell r="F278">
            <v>25000</v>
          </cell>
          <cell r="H278">
            <v>0</v>
          </cell>
          <cell r="I278">
            <v>8</v>
          </cell>
          <cell r="J278">
            <v>16</v>
          </cell>
          <cell r="K278">
            <v>12500</v>
          </cell>
          <cell r="L278">
            <v>25000</v>
          </cell>
          <cell r="M278">
            <v>0</v>
          </cell>
          <cell r="N278">
            <v>0</v>
          </cell>
          <cell r="O278">
            <v>2240</v>
          </cell>
          <cell r="P278">
            <v>4480</v>
          </cell>
        </row>
        <row r="279">
          <cell r="B279" t="str">
            <v>240V MAIN 3P50A,BRANCH 3P20A 6CKT</v>
          </cell>
          <cell r="F279">
            <v>0</v>
          </cell>
          <cell r="H279">
            <v>0</v>
          </cell>
          <cell r="J279">
            <v>0</v>
          </cell>
          <cell r="K279">
            <v>0</v>
          </cell>
          <cell r="L279">
            <v>0</v>
          </cell>
          <cell r="M279">
            <v>0</v>
          </cell>
          <cell r="N279">
            <v>0</v>
          </cell>
          <cell r="O279">
            <v>0</v>
          </cell>
          <cell r="P279">
            <v>0</v>
          </cell>
        </row>
        <row r="280">
          <cell r="A280">
            <v>7</v>
          </cell>
          <cell r="B280" t="str">
            <v>LTG. PNL. FOR GENERAL PURPOSE 3 PHASE 3 WIRE</v>
          </cell>
          <cell r="C280">
            <v>1</v>
          </cell>
          <cell r="D280" t="str">
            <v>SET</v>
          </cell>
          <cell r="E280">
            <v>14500</v>
          </cell>
          <cell r="F280">
            <v>14500</v>
          </cell>
          <cell r="H280">
            <v>0</v>
          </cell>
          <cell r="I280">
            <v>8</v>
          </cell>
          <cell r="J280">
            <v>8</v>
          </cell>
          <cell r="K280">
            <v>14500</v>
          </cell>
          <cell r="L280">
            <v>14500</v>
          </cell>
          <cell r="M280">
            <v>0</v>
          </cell>
          <cell r="N280">
            <v>0</v>
          </cell>
          <cell r="O280">
            <v>2240</v>
          </cell>
          <cell r="P280">
            <v>2240</v>
          </cell>
        </row>
        <row r="281">
          <cell r="B281" t="str">
            <v>240V MAIN 3P70A,BRANCH 3P20A 8CKT</v>
          </cell>
          <cell r="F281">
            <v>0</v>
          </cell>
          <cell r="H281">
            <v>0</v>
          </cell>
          <cell r="J281">
            <v>0</v>
          </cell>
          <cell r="K281">
            <v>0</v>
          </cell>
          <cell r="L281">
            <v>0</v>
          </cell>
          <cell r="M281">
            <v>0</v>
          </cell>
          <cell r="N281">
            <v>0</v>
          </cell>
          <cell r="O281">
            <v>0</v>
          </cell>
          <cell r="P281">
            <v>0</v>
          </cell>
        </row>
        <row r="282">
          <cell r="A282">
            <v>8</v>
          </cell>
          <cell r="B282" t="str">
            <v>CIRCUIT BREAKER AND ENCLOSURE FOR CLASS 1 DIV.2</v>
          </cell>
          <cell r="C282">
            <v>5</v>
          </cell>
          <cell r="D282" t="str">
            <v>SET</v>
          </cell>
          <cell r="E282">
            <v>37800</v>
          </cell>
          <cell r="F282">
            <v>189000</v>
          </cell>
          <cell r="H282">
            <v>0</v>
          </cell>
          <cell r="I282">
            <v>4</v>
          </cell>
          <cell r="J282">
            <v>20</v>
          </cell>
          <cell r="K282">
            <v>37800</v>
          </cell>
          <cell r="L282">
            <v>189000</v>
          </cell>
          <cell r="M282">
            <v>0</v>
          </cell>
          <cell r="N282">
            <v>0</v>
          </cell>
          <cell r="O282">
            <v>1120</v>
          </cell>
          <cell r="P282">
            <v>5600</v>
          </cell>
        </row>
        <row r="283">
          <cell r="B283" t="str">
            <v>GROUP D, 3-POLE 20AMP</v>
          </cell>
          <cell r="F283">
            <v>0</v>
          </cell>
          <cell r="H283">
            <v>0</v>
          </cell>
          <cell r="J283">
            <v>0</v>
          </cell>
          <cell r="K283">
            <v>0</v>
          </cell>
          <cell r="L283">
            <v>0</v>
          </cell>
          <cell r="M283">
            <v>0</v>
          </cell>
          <cell r="N283">
            <v>0</v>
          </cell>
          <cell r="O283">
            <v>0</v>
          </cell>
          <cell r="P283">
            <v>0</v>
          </cell>
        </row>
        <row r="284">
          <cell r="A284">
            <v>9</v>
          </cell>
          <cell r="B284" t="str">
            <v xml:space="preserve">CIRCUIT BREAKER AND ENCLOSURE FOR CLASS 1 DIV.2 </v>
          </cell>
          <cell r="C284">
            <v>1</v>
          </cell>
          <cell r="D284" t="str">
            <v>SET</v>
          </cell>
          <cell r="E284">
            <v>37800</v>
          </cell>
          <cell r="F284">
            <v>37800</v>
          </cell>
          <cell r="H284">
            <v>0</v>
          </cell>
          <cell r="I284">
            <v>4</v>
          </cell>
          <cell r="J284">
            <v>4</v>
          </cell>
          <cell r="K284">
            <v>37800</v>
          </cell>
          <cell r="L284">
            <v>37800</v>
          </cell>
          <cell r="M284">
            <v>0</v>
          </cell>
          <cell r="N284">
            <v>0</v>
          </cell>
          <cell r="O284">
            <v>1120</v>
          </cell>
          <cell r="P284">
            <v>1120</v>
          </cell>
        </row>
        <row r="285">
          <cell r="B285" t="str">
            <v>GROUP D 3-POLE 30AMP</v>
          </cell>
          <cell r="F285">
            <v>0</v>
          </cell>
          <cell r="H285">
            <v>0</v>
          </cell>
          <cell r="J285">
            <v>0</v>
          </cell>
          <cell r="K285">
            <v>0</v>
          </cell>
          <cell r="L285">
            <v>0</v>
          </cell>
          <cell r="M285">
            <v>0</v>
          </cell>
          <cell r="N285">
            <v>0</v>
          </cell>
          <cell r="O285">
            <v>0</v>
          </cell>
          <cell r="P285">
            <v>0</v>
          </cell>
        </row>
        <row r="286">
          <cell r="A286">
            <v>10</v>
          </cell>
          <cell r="B286" t="str">
            <v xml:space="preserve">DRY TYPE TRANSFORMER WITH ENCLOSURE </v>
          </cell>
          <cell r="C286">
            <v>4</v>
          </cell>
          <cell r="D286" t="str">
            <v>SET</v>
          </cell>
          <cell r="E286">
            <v>25000</v>
          </cell>
          <cell r="F286">
            <v>100000</v>
          </cell>
          <cell r="H286">
            <v>0</v>
          </cell>
          <cell r="I286">
            <v>12</v>
          </cell>
          <cell r="J286">
            <v>48</v>
          </cell>
          <cell r="K286">
            <v>25000</v>
          </cell>
          <cell r="L286">
            <v>100000</v>
          </cell>
          <cell r="M286">
            <v>0</v>
          </cell>
          <cell r="N286">
            <v>0</v>
          </cell>
          <cell r="O286">
            <v>3360</v>
          </cell>
          <cell r="P286">
            <v>13440</v>
          </cell>
        </row>
        <row r="287">
          <cell r="B287" t="str">
            <v>3PH 480/240V 15KVA</v>
          </cell>
          <cell r="F287">
            <v>0</v>
          </cell>
          <cell r="H287">
            <v>0</v>
          </cell>
          <cell r="J287">
            <v>0</v>
          </cell>
          <cell r="K287">
            <v>0</v>
          </cell>
          <cell r="L287">
            <v>0</v>
          </cell>
          <cell r="M287">
            <v>0</v>
          </cell>
          <cell r="N287">
            <v>0</v>
          </cell>
          <cell r="O287">
            <v>0</v>
          </cell>
          <cell r="P287">
            <v>0</v>
          </cell>
        </row>
        <row r="288">
          <cell r="A288">
            <v>11</v>
          </cell>
          <cell r="B288" t="str">
            <v xml:space="preserve">DRY TYPE TRANSFORMER WITH ENCLOSURE  </v>
          </cell>
          <cell r="C288">
            <v>1</v>
          </cell>
          <cell r="D288" t="str">
            <v>SET</v>
          </cell>
          <cell r="E288">
            <v>33000</v>
          </cell>
          <cell r="F288">
            <v>33000</v>
          </cell>
          <cell r="H288">
            <v>0</v>
          </cell>
          <cell r="I288">
            <v>16</v>
          </cell>
          <cell r="J288">
            <v>16</v>
          </cell>
          <cell r="K288">
            <v>33000</v>
          </cell>
          <cell r="L288">
            <v>33000</v>
          </cell>
          <cell r="M288">
            <v>0</v>
          </cell>
          <cell r="N288">
            <v>0</v>
          </cell>
          <cell r="O288">
            <v>4480</v>
          </cell>
          <cell r="P288">
            <v>4480</v>
          </cell>
        </row>
        <row r="289">
          <cell r="B289" t="str">
            <v xml:space="preserve"> 3PH 480/240V 25KVA</v>
          </cell>
          <cell r="F289">
            <v>0</v>
          </cell>
          <cell r="H289">
            <v>0</v>
          </cell>
          <cell r="J289">
            <v>0</v>
          </cell>
          <cell r="K289">
            <v>0</v>
          </cell>
          <cell r="L289">
            <v>0</v>
          </cell>
          <cell r="M289">
            <v>0</v>
          </cell>
          <cell r="N289">
            <v>0</v>
          </cell>
          <cell r="O289">
            <v>0</v>
          </cell>
          <cell r="P289">
            <v>0</v>
          </cell>
        </row>
        <row r="290">
          <cell r="A290">
            <v>12</v>
          </cell>
          <cell r="B290" t="str">
            <v xml:space="preserve">DRY TYPE TRANSFORMER WITH ENCLOSURE  </v>
          </cell>
          <cell r="C290">
            <v>1</v>
          </cell>
          <cell r="D290" t="str">
            <v>SET</v>
          </cell>
          <cell r="E290">
            <v>18000</v>
          </cell>
          <cell r="F290">
            <v>18000</v>
          </cell>
          <cell r="H290">
            <v>0</v>
          </cell>
          <cell r="I290">
            <v>6</v>
          </cell>
          <cell r="J290">
            <v>6</v>
          </cell>
          <cell r="K290">
            <v>18000</v>
          </cell>
          <cell r="L290">
            <v>18000</v>
          </cell>
          <cell r="M290">
            <v>0</v>
          </cell>
          <cell r="N290">
            <v>0</v>
          </cell>
          <cell r="O290">
            <v>1680</v>
          </cell>
          <cell r="P290">
            <v>1680</v>
          </cell>
        </row>
        <row r="291">
          <cell r="B291" t="str">
            <v xml:space="preserve"> 3PH 480/240-120V 5KVA</v>
          </cell>
          <cell r="F291">
            <v>0</v>
          </cell>
          <cell r="H291">
            <v>0</v>
          </cell>
          <cell r="J291">
            <v>0</v>
          </cell>
          <cell r="K291">
            <v>0</v>
          </cell>
          <cell r="L291">
            <v>0</v>
          </cell>
          <cell r="M291">
            <v>0</v>
          </cell>
          <cell r="N291">
            <v>0</v>
          </cell>
          <cell r="O291">
            <v>0</v>
          </cell>
          <cell r="P291">
            <v>0</v>
          </cell>
        </row>
        <row r="292">
          <cell r="A292">
            <v>13</v>
          </cell>
          <cell r="B292" t="str">
            <v xml:space="preserve"> MER. VAP. LTG. FIX. VAPOR-TIGHT PENDANT</v>
          </cell>
          <cell r="C292">
            <v>21</v>
          </cell>
          <cell r="D292" t="str">
            <v>SET</v>
          </cell>
          <cell r="E292">
            <v>9500</v>
          </cell>
          <cell r="F292">
            <v>199500</v>
          </cell>
          <cell r="H292">
            <v>0</v>
          </cell>
          <cell r="I292">
            <v>7</v>
          </cell>
          <cell r="J292">
            <v>147</v>
          </cell>
          <cell r="K292">
            <v>9500</v>
          </cell>
          <cell r="L292">
            <v>199500</v>
          </cell>
          <cell r="M292">
            <v>0</v>
          </cell>
          <cell r="N292">
            <v>0</v>
          </cell>
          <cell r="O292">
            <v>1960</v>
          </cell>
          <cell r="P292">
            <v>41160</v>
          </cell>
        </row>
        <row r="293">
          <cell r="B293" t="str">
            <v xml:space="preserve"> MTG,. INTEGRAL CONST. WATT. BALLAST C/W </v>
          </cell>
          <cell r="F293">
            <v>0</v>
          </cell>
          <cell r="H293">
            <v>0</v>
          </cell>
          <cell r="J293">
            <v>0</v>
          </cell>
          <cell r="K293">
            <v>0</v>
          </cell>
          <cell r="L293">
            <v>0</v>
          </cell>
          <cell r="M293">
            <v>0</v>
          </cell>
          <cell r="N293">
            <v>0</v>
          </cell>
          <cell r="O293">
            <v>0</v>
          </cell>
          <cell r="P293">
            <v>0</v>
          </cell>
        </row>
        <row r="294">
          <cell r="B294" t="str">
            <v xml:space="preserve"> GUARD AND DOME REFL. 3/4" HUB 400W 240V</v>
          </cell>
          <cell r="F294">
            <v>0</v>
          </cell>
          <cell r="H294">
            <v>0</v>
          </cell>
          <cell r="J294">
            <v>0</v>
          </cell>
          <cell r="K294">
            <v>0</v>
          </cell>
          <cell r="L294">
            <v>0</v>
          </cell>
          <cell r="M294">
            <v>0</v>
          </cell>
          <cell r="N294">
            <v>0</v>
          </cell>
          <cell r="O294">
            <v>0</v>
          </cell>
          <cell r="P294">
            <v>0</v>
          </cell>
        </row>
        <row r="295">
          <cell r="B295" t="str">
            <v>CLASS 1, DIV.2 GROPU D</v>
          </cell>
          <cell r="F295">
            <v>0</v>
          </cell>
          <cell r="H295">
            <v>0</v>
          </cell>
          <cell r="J295">
            <v>0</v>
          </cell>
          <cell r="K295">
            <v>0</v>
          </cell>
          <cell r="L295">
            <v>0</v>
          </cell>
          <cell r="M295">
            <v>0</v>
          </cell>
          <cell r="N295">
            <v>0</v>
          </cell>
          <cell r="O295">
            <v>0</v>
          </cell>
          <cell r="P295">
            <v>0</v>
          </cell>
        </row>
        <row r="296">
          <cell r="A296">
            <v>14</v>
          </cell>
          <cell r="B296" t="str">
            <v xml:space="preserve">MER. VAP. LTG. FIX. VAPOR-TIGHT STANCHION MTG. </v>
          </cell>
          <cell r="C296">
            <v>122</v>
          </cell>
          <cell r="D296" t="str">
            <v>SET</v>
          </cell>
          <cell r="E296">
            <v>6000</v>
          </cell>
          <cell r="F296">
            <v>732000</v>
          </cell>
          <cell r="H296">
            <v>0</v>
          </cell>
          <cell r="I296">
            <v>8</v>
          </cell>
          <cell r="J296">
            <v>976</v>
          </cell>
          <cell r="K296">
            <v>6000</v>
          </cell>
          <cell r="L296">
            <v>732000</v>
          </cell>
          <cell r="M296">
            <v>0</v>
          </cell>
          <cell r="N296">
            <v>0</v>
          </cell>
          <cell r="O296">
            <v>2240</v>
          </cell>
          <cell r="P296">
            <v>273280</v>
          </cell>
        </row>
        <row r="297">
          <cell r="B297" t="str">
            <v>INTEGRAL CONST. WATT. BALLAST C/W GLOBE GUARD &amp;</v>
          </cell>
          <cell r="F297">
            <v>0</v>
          </cell>
          <cell r="H297">
            <v>0</v>
          </cell>
          <cell r="J297">
            <v>0</v>
          </cell>
          <cell r="K297">
            <v>0</v>
          </cell>
          <cell r="L297">
            <v>0</v>
          </cell>
          <cell r="M297">
            <v>0</v>
          </cell>
          <cell r="N297">
            <v>0</v>
          </cell>
          <cell r="O297">
            <v>0</v>
          </cell>
          <cell r="P297">
            <v>0</v>
          </cell>
        </row>
        <row r="298">
          <cell r="B298" t="str">
            <v xml:space="preserve">DOME REFL. 1-1/2 IN HUB 175W 240V CLASS 1, DIV 2 </v>
          </cell>
          <cell r="F298">
            <v>0</v>
          </cell>
          <cell r="H298">
            <v>0</v>
          </cell>
          <cell r="J298">
            <v>0</v>
          </cell>
          <cell r="K298">
            <v>0</v>
          </cell>
          <cell r="L298">
            <v>0</v>
          </cell>
          <cell r="M298">
            <v>0</v>
          </cell>
          <cell r="N298">
            <v>0</v>
          </cell>
          <cell r="O298">
            <v>0</v>
          </cell>
          <cell r="P298">
            <v>0</v>
          </cell>
        </row>
        <row r="299">
          <cell r="B299" t="str">
            <v>GROUP D</v>
          </cell>
          <cell r="F299">
            <v>0</v>
          </cell>
          <cell r="H299">
            <v>0</v>
          </cell>
          <cell r="J299">
            <v>0</v>
          </cell>
          <cell r="K299">
            <v>0</v>
          </cell>
          <cell r="L299">
            <v>0</v>
          </cell>
          <cell r="M299">
            <v>0</v>
          </cell>
          <cell r="N299">
            <v>0</v>
          </cell>
          <cell r="O299">
            <v>0</v>
          </cell>
          <cell r="P299">
            <v>0</v>
          </cell>
        </row>
        <row r="300">
          <cell r="A300">
            <v>15</v>
          </cell>
          <cell r="B300" t="str">
            <v>MER. VAP. LTG. FIX. VAPOR-TIGHT PENDANT MTG.</v>
          </cell>
          <cell r="C300">
            <v>52</v>
          </cell>
          <cell r="D300" t="str">
            <v>SET</v>
          </cell>
          <cell r="E300">
            <v>5600</v>
          </cell>
          <cell r="F300">
            <v>291200</v>
          </cell>
          <cell r="H300">
            <v>0</v>
          </cell>
          <cell r="I300">
            <v>7</v>
          </cell>
          <cell r="J300">
            <v>364</v>
          </cell>
          <cell r="K300">
            <v>5600</v>
          </cell>
          <cell r="L300">
            <v>291200</v>
          </cell>
          <cell r="M300">
            <v>0</v>
          </cell>
          <cell r="N300">
            <v>0</v>
          </cell>
          <cell r="O300">
            <v>1960</v>
          </cell>
          <cell r="P300">
            <v>101920</v>
          </cell>
        </row>
        <row r="301">
          <cell r="B301" t="str">
            <v xml:space="preserve">INTEGRAL CONST. WATT. BALLAST C/W GUARD AND </v>
          </cell>
          <cell r="F301">
            <v>0</v>
          </cell>
          <cell r="H301">
            <v>0</v>
          </cell>
          <cell r="J301">
            <v>0</v>
          </cell>
          <cell r="K301">
            <v>0</v>
          </cell>
          <cell r="L301">
            <v>0</v>
          </cell>
          <cell r="M301">
            <v>0</v>
          </cell>
          <cell r="N301">
            <v>0</v>
          </cell>
          <cell r="O301">
            <v>0</v>
          </cell>
          <cell r="P301">
            <v>0</v>
          </cell>
        </row>
        <row r="302">
          <cell r="B302" t="str">
            <v>DOME REFL. 3/4" HUB 175W 240V CLASS 1 DIV.2 GROUP D</v>
          </cell>
          <cell r="F302">
            <v>0</v>
          </cell>
          <cell r="H302">
            <v>0</v>
          </cell>
          <cell r="J302">
            <v>0</v>
          </cell>
          <cell r="K302">
            <v>0</v>
          </cell>
          <cell r="L302">
            <v>0</v>
          </cell>
          <cell r="M302">
            <v>0</v>
          </cell>
          <cell r="N302">
            <v>0</v>
          </cell>
          <cell r="O302">
            <v>0</v>
          </cell>
          <cell r="P302">
            <v>0</v>
          </cell>
        </row>
        <row r="303">
          <cell r="A303">
            <v>16</v>
          </cell>
          <cell r="B303" t="str">
            <v xml:space="preserve"> FLOOD FLOODING MER. VAP. 250W WEATHER-PROOF</v>
          </cell>
          <cell r="C303">
            <v>45</v>
          </cell>
          <cell r="D303" t="str">
            <v>SET</v>
          </cell>
          <cell r="E303">
            <v>1900</v>
          </cell>
          <cell r="F303">
            <v>85500</v>
          </cell>
          <cell r="H303">
            <v>0</v>
          </cell>
          <cell r="I303">
            <v>7</v>
          </cell>
          <cell r="J303">
            <v>315</v>
          </cell>
          <cell r="K303">
            <v>1900</v>
          </cell>
          <cell r="L303">
            <v>85500</v>
          </cell>
          <cell r="M303">
            <v>0</v>
          </cell>
          <cell r="N303">
            <v>0</v>
          </cell>
          <cell r="O303">
            <v>1960</v>
          </cell>
          <cell r="P303">
            <v>88200</v>
          </cell>
        </row>
        <row r="304">
          <cell r="A304">
            <v>17</v>
          </cell>
          <cell r="B304" t="str">
            <v xml:space="preserve">MER. VAP. STREET LTG FIX. 250W 240V </v>
          </cell>
          <cell r="C304">
            <v>209</v>
          </cell>
          <cell r="D304" t="str">
            <v>SET</v>
          </cell>
          <cell r="E304">
            <v>1650</v>
          </cell>
          <cell r="F304">
            <v>344850</v>
          </cell>
          <cell r="H304">
            <v>0</v>
          </cell>
          <cell r="I304">
            <v>2</v>
          </cell>
          <cell r="J304">
            <v>418</v>
          </cell>
          <cell r="K304">
            <v>1650</v>
          </cell>
          <cell r="L304">
            <v>344850</v>
          </cell>
          <cell r="M304">
            <v>0</v>
          </cell>
          <cell r="N304">
            <v>0</v>
          </cell>
          <cell r="O304">
            <v>560</v>
          </cell>
          <cell r="P304">
            <v>117040</v>
          </cell>
        </row>
        <row r="305">
          <cell r="A305">
            <v>18</v>
          </cell>
          <cell r="B305" t="str">
            <v>STREET LIGHT PLOE 7M SINGLE ARM WITH FOUNDATION</v>
          </cell>
          <cell r="C305">
            <v>95</v>
          </cell>
          <cell r="D305" t="str">
            <v>SET</v>
          </cell>
          <cell r="E305">
            <v>11600</v>
          </cell>
          <cell r="F305">
            <v>1102000</v>
          </cell>
          <cell r="H305">
            <v>0</v>
          </cell>
          <cell r="I305">
            <v>9</v>
          </cell>
          <cell r="J305">
            <v>855</v>
          </cell>
          <cell r="K305">
            <v>11600</v>
          </cell>
          <cell r="L305">
            <v>1102000</v>
          </cell>
          <cell r="M305">
            <v>0</v>
          </cell>
          <cell r="N305">
            <v>0</v>
          </cell>
          <cell r="O305">
            <v>2520</v>
          </cell>
          <cell r="P305">
            <v>239400</v>
          </cell>
        </row>
        <row r="306">
          <cell r="A306">
            <v>19</v>
          </cell>
          <cell r="B306" t="str">
            <v>STREET LIGHT PLOE 7M TWINS ARMS WITH FOUNDATION</v>
          </cell>
          <cell r="C306">
            <v>57</v>
          </cell>
          <cell r="D306" t="str">
            <v>SET</v>
          </cell>
          <cell r="E306">
            <v>13300</v>
          </cell>
          <cell r="F306">
            <v>758100</v>
          </cell>
          <cell r="H306">
            <v>0</v>
          </cell>
          <cell r="I306">
            <v>10</v>
          </cell>
          <cell r="J306">
            <v>570</v>
          </cell>
          <cell r="K306">
            <v>13300</v>
          </cell>
          <cell r="L306">
            <v>758100</v>
          </cell>
          <cell r="M306">
            <v>0</v>
          </cell>
          <cell r="N306">
            <v>0</v>
          </cell>
          <cell r="O306">
            <v>2800</v>
          </cell>
          <cell r="P306">
            <v>159600</v>
          </cell>
        </row>
        <row r="307">
          <cell r="A307">
            <v>20</v>
          </cell>
          <cell r="B307" t="str">
            <v xml:space="preserve"> PHOTOELECTRIC CONTROL UNIT, 240V 15A, </v>
          </cell>
          <cell r="C307">
            <v>1</v>
          </cell>
          <cell r="D307" t="str">
            <v>PCS</v>
          </cell>
          <cell r="E307">
            <v>6000</v>
          </cell>
          <cell r="F307">
            <v>6000</v>
          </cell>
          <cell r="H307">
            <v>0</v>
          </cell>
          <cell r="I307">
            <v>4</v>
          </cell>
          <cell r="J307">
            <v>4</v>
          </cell>
          <cell r="K307">
            <v>6000</v>
          </cell>
          <cell r="L307">
            <v>6000</v>
          </cell>
          <cell r="M307">
            <v>0</v>
          </cell>
          <cell r="N307">
            <v>0</v>
          </cell>
          <cell r="O307">
            <v>1120</v>
          </cell>
          <cell r="P307">
            <v>1120</v>
          </cell>
        </row>
        <row r="308">
          <cell r="A308">
            <v>21</v>
          </cell>
          <cell r="B308" t="str">
            <v>FLUORESCENT LTG. FIX. WITH BATTERY 2x40W 240V</v>
          </cell>
          <cell r="C308">
            <v>46</v>
          </cell>
          <cell r="D308" t="str">
            <v>SET</v>
          </cell>
          <cell r="E308">
            <v>27000</v>
          </cell>
          <cell r="F308">
            <v>1242000</v>
          </cell>
          <cell r="H308">
            <v>0</v>
          </cell>
          <cell r="I308">
            <v>6</v>
          </cell>
          <cell r="J308">
            <v>276</v>
          </cell>
          <cell r="K308">
            <v>27000</v>
          </cell>
          <cell r="L308">
            <v>1242000</v>
          </cell>
          <cell r="M308">
            <v>0</v>
          </cell>
          <cell r="N308">
            <v>0</v>
          </cell>
          <cell r="O308">
            <v>1680</v>
          </cell>
          <cell r="P308">
            <v>77280</v>
          </cell>
        </row>
        <row r="309">
          <cell r="B309" t="str">
            <v>FOR CLASS 1, DIV.2 GROUP D</v>
          </cell>
          <cell r="F309">
            <v>0</v>
          </cell>
          <cell r="H309">
            <v>0</v>
          </cell>
          <cell r="J309">
            <v>0</v>
          </cell>
          <cell r="K309">
            <v>0</v>
          </cell>
          <cell r="L309">
            <v>0</v>
          </cell>
          <cell r="M309">
            <v>0</v>
          </cell>
          <cell r="N309">
            <v>0</v>
          </cell>
          <cell r="O309">
            <v>0</v>
          </cell>
          <cell r="P309">
            <v>0</v>
          </cell>
        </row>
        <row r="310">
          <cell r="A310">
            <v>22</v>
          </cell>
          <cell r="B310" t="str">
            <v xml:space="preserve"> OBSTRUCTION RED BEACON 120/240V, 3W FEED,</v>
          </cell>
          <cell r="C310">
            <v>2</v>
          </cell>
          <cell r="D310" t="str">
            <v>SET</v>
          </cell>
          <cell r="E310">
            <v>48600</v>
          </cell>
          <cell r="F310">
            <v>97200</v>
          </cell>
          <cell r="H310">
            <v>0</v>
          </cell>
          <cell r="I310">
            <v>40</v>
          </cell>
          <cell r="J310">
            <v>80</v>
          </cell>
          <cell r="K310">
            <v>48600</v>
          </cell>
          <cell r="L310">
            <v>97200</v>
          </cell>
          <cell r="M310">
            <v>0</v>
          </cell>
          <cell r="N310">
            <v>0</v>
          </cell>
          <cell r="O310">
            <v>11200</v>
          </cell>
          <cell r="P310">
            <v>22400</v>
          </cell>
        </row>
        <row r="311">
          <cell r="B311" t="str">
            <v xml:space="preserve"> 620W x 2 FOR CLASS 1, DIV.2 GROUP D</v>
          </cell>
          <cell r="F311">
            <v>0</v>
          </cell>
          <cell r="H311">
            <v>0</v>
          </cell>
          <cell r="J311">
            <v>0</v>
          </cell>
          <cell r="K311">
            <v>0</v>
          </cell>
          <cell r="L311">
            <v>0</v>
          </cell>
          <cell r="M311">
            <v>0</v>
          </cell>
          <cell r="N311">
            <v>0</v>
          </cell>
          <cell r="O311">
            <v>0</v>
          </cell>
          <cell r="P311">
            <v>0</v>
          </cell>
        </row>
        <row r="312">
          <cell r="A312">
            <v>23</v>
          </cell>
          <cell r="B312" t="str">
            <v xml:space="preserve"> OBSTRUCTION MARKER LIGHT, SINGLE FIXTURE</v>
          </cell>
          <cell r="C312">
            <v>3</v>
          </cell>
          <cell r="D312" t="str">
            <v>SET</v>
          </cell>
          <cell r="E312">
            <v>23000</v>
          </cell>
          <cell r="F312">
            <v>69000</v>
          </cell>
          <cell r="H312">
            <v>0</v>
          </cell>
          <cell r="I312">
            <v>15</v>
          </cell>
          <cell r="J312">
            <v>45</v>
          </cell>
          <cell r="K312">
            <v>23000</v>
          </cell>
          <cell r="L312">
            <v>69000</v>
          </cell>
          <cell r="M312">
            <v>0</v>
          </cell>
          <cell r="N312">
            <v>0</v>
          </cell>
          <cell r="O312">
            <v>4200</v>
          </cell>
          <cell r="P312">
            <v>12600</v>
          </cell>
        </row>
        <row r="313">
          <cell r="B313" t="str">
            <v xml:space="preserve"> C/W INSIDE LAMP,120V 116W,FOR CLASS 1, DIV. 2 </v>
          </cell>
          <cell r="F313">
            <v>0</v>
          </cell>
          <cell r="H313">
            <v>0</v>
          </cell>
          <cell r="J313">
            <v>0</v>
          </cell>
          <cell r="K313">
            <v>0</v>
          </cell>
          <cell r="L313">
            <v>0</v>
          </cell>
          <cell r="M313">
            <v>0</v>
          </cell>
          <cell r="N313">
            <v>0</v>
          </cell>
          <cell r="O313">
            <v>0</v>
          </cell>
          <cell r="P313">
            <v>0</v>
          </cell>
        </row>
        <row r="314">
          <cell r="B314" t="str">
            <v>GROUP D</v>
          </cell>
          <cell r="F314">
            <v>0</v>
          </cell>
          <cell r="H314">
            <v>0</v>
          </cell>
          <cell r="J314">
            <v>0</v>
          </cell>
          <cell r="K314">
            <v>0</v>
          </cell>
          <cell r="L314">
            <v>0</v>
          </cell>
          <cell r="M314">
            <v>0</v>
          </cell>
          <cell r="N314">
            <v>0</v>
          </cell>
          <cell r="O314">
            <v>0</v>
          </cell>
          <cell r="P314">
            <v>0</v>
          </cell>
        </row>
        <row r="315">
          <cell r="A315">
            <v>24</v>
          </cell>
          <cell r="B315" t="str">
            <v xml:space="preserve"> FLASHER UNIT, CAST AL. HOUSING 3 CKT</v>
          </cell>
          <cell r="C315">
            <v>1</v>
          </cell>
          <cell r="D315" t="str">
            <v>SET</v>
          </cell>
          <cell r="E315">
            <v>28800</v>
          </cell>
          <cell r="F315">
            <v>28800</v>
          </cell>
          <cell r="H315">
            <v>0</v>
          </cell>
          <cell r="I315">
            <v>4</v>
          </cell>
          <cell r="J315">
            <v>4</v>
          </cell>
          <cell r="K315">
            <v>28800</v>
          </cell>
          <cell r="L315">
            <v>28800</v>
          </cell>
          <cell r="M315">
            <v>0</v>
          </cell>
          <cell r="N315">
            <v>0</v>
          </cell>
          <cell r="O315">
            <v>1120</v>
          </cell>
          <cell r="P315">
            <v>1120</v>
          </cell>
        </row>
        <row r="316">
          <cell r="B316" t="str">
            <v xml:space="preserve"> SIMULTANEOUS FLASH, 115/240V 3 WIRE, 25A</v>
          </cell>
          <cell r="F316">
            <v>0</v>
          </cell>
          <cell r="H316">
            <v>0</v>
          </cell>
          <cell r="J316">
            <v>0</v>
          </cell>
          <cell r="K316">
            <v>0</v>
          </cell>
          <cell r="L316">
            <v>0</v>
          </cell>
          <cell r="M316">
            <v>0</v>
          </cell>
          <cell r="N316">
            <v>0</v>
          </cell>
          <cell r="O316">
            <v>0</v>
          </cell>
          <cell r="P316">
            <v>0</v>
          </cell>
        </row>
        <row r="317">
          <cell r="B317" t="str">
            <v>FOR CLASS 1, DIV.2 GROUP D</v>
          </cell>
          <cell r="F317">
            <v>0</v>
          </cell>
          <cell r="H317">
            <v>0</v>
          </cell>
          <cell r="J317">
            <v>0</v>
          </cell>
          <cell r="K317">
            <v>0</v>
          </cell>
          <cell r="L317">
            <v>0</v>
          </cell>
          <cell r="M317">
            <v>0</v>
          </cell>
          <cell r="N317">
            <v>0</v>
          </cell>
          <cell r="O317">
            <v>0</v>
          </cell>
          <cell r="P317">
            <v>0</v>
          </cell>
        </row>
        <row r="318">
          <cell r="A318">
            <v>25</v>
          </cell>
          <cell r="B318" t="str">
            <v xml:space="preserve"> PHOTOELECTRIC CONTROL UNIT, 120V 15A, </v>
          </cell>
          <cell r="C318">
            <v>1</v>
          </cell>
          <cell r="D318" t="str">
            <v>SET</v>
          </cell>
          <cell r="E318">
            <v>28800</v>
          </cell>
          <cell r="F318">
            <v>28800</v>
          </cell>
          <cell r="H318">
            <v>0</v>
          </cell>
          <cell r="I318">
            <v>6</v>
          </cell>
          <cell r="J318">
            <v>6</v>
          </cell>
          <cell r="K318">
            <v>28800</v>
          </cell>
          <cell r="L318">
            <v>28800</v>
          </cell>
          <cell r="M318">
            <v>0</v>
          </cell>
          <cell r="N318">
            <v>0</v>
          </cell>
          <cell r="O318">
            <v>1680</v>
          </cell>
          <cell r="P318">
            <v>1680</v>
          </cell>
        </row>
        <row r="319">
          <cell r="B319" t="str">
            <v>FOR CLASS 1, DIV.2 GROUP D</v>
          </cell>
          <cell r="F319">
            <v>0</v>
          </cell>
          <cell r="H319">
            <v>0</v>
          </cell>
          <cell r="J319">
            <v>0</v>
          </cell>
          <cell r="K319">
            <v>0</v>
          </cell>
          <cell r="L319">
            <v>0</v>
          </cell>
          <cell r="M319">
            <v>0</v>
          </cell>
          <cell r="N319">
            <v>0</v>
          </cell>
          <cell r="O319">
            <v>0</v>
          </cell>
          <cell r="P319">
            <v>0</v>
          </cell>
        </row>
        <row r="320">
          <cell r="A320">
            <v>26</v>
          </cell>
          <cell r="B320" t="str">
            <v xml:space="preserve"> AIRCRAFT WARNING LIGHTING POWER PANEL,</v>
          </cell>
          <cell r="C320">
            <v>1</v>
          </cell>
          <cell r="D320" t="str">
            <v>SET</v>
          </cell>
          <cell r="E320">
            <v>60000</v>
          </cell>
          <cell r="F320">
            <v>60000</v>
          </cell>
          <cell r="H320">
            <v>0</v>
          </cell>
          <cell r="I320">
            <v>4</v>
          </cell>
          <cell r="J320">
            <v>4</v>
          </cell>
          <cell r="K320">
            <v>60000</v>
          </cell>
          <cell r="L320">
            <v>60000</v>
          </cell>
          <cell r="M320">
            <v>0</v>
          </cell>
          <cell r="N320">
            <v>0</v>
          </cell>
          <cell r="O320">
            <v>1120</v>
          </cell>
          <cell r="P320">
            <v>1120</v>
          </cell>
        </row>
        <row r="321">
          <cell r="B321" t="str">
            <v xml:space="preserve"> OUTDOOR TYPE, 400L x 200W x 200H, 1PH 3W</v>
          </cell>
          <cell r="F321">
            <v>0</v>
          </cell>
          <cell r="H321">
            <v>0</v>
          </cell>
          <cell r="J321">
            <v>0</v>
          </cell>
          <cell r="K321">
            <v>0</v>
          </cell>
          <cell r="L321">
            <v>0</v>
          </cell>
          <cell r="M321">
            <v>0</v>
          </cell>
          <cell r="N321">
            <v>0</v>
          </cell>
          <cell r="O321">
            <v>0</v>
          </cell>
          <cell r="P321">
            <v>0</v>
          </cell>
        </row>
        <row r="322">
          <cell r="B322" t="str">
            <v xml:space="preserve"> 240V 30AT IC 10KA, STAINLESS STEEL</v>
          </cell>
          <cell r="F322">
            <v>0</v>
          </cell>
          <cell r="H322">
            <v>0</v>
          </cell>
          <cell r="J322">
            <v>0</v>
          </cell>
          <cell r="K322">
            <v>0</v>
          </cell>
          <cell r="L322">
            <v>0</v>
          </cell>
          <cell r="M322">
            <v>0</v>
          </cell>
          <cell r="N322">
            <v>0</v>
          </cell>
          <cell r="O322">
            <v>0</v>
          </cell>
          <cell r="P322">
            <v>0</v>
          </cell>
        </row>
        <row r="323">
          <cell r="B323" t="str">
            <v>FOR CLASS 1, DIV.2 GROUP D</v>
          </cell>
          <cell r="F323">
            <v>0</v>
          </cell>
          <cell r="H323">
            <v>0</v>
          </cell>
          <cell r="J323">
            <v>0</v>
          </cell>
          <cell r="K323">
            <v>0</v>
          </cell>
          <cell r="L323">
            <v>0</v>
          </cell>
          <cell r="M323">
            <v>0</v>
          </cell>
          <cell r="N323">
            <v>0</v>
          </cell>
          <cell r="O323">
            <v>0</v>
          </cell>
          <cell r="P323">
            <v>0</v>
          </cell>
        </row>
        <row r="324">
          <cell r="A324">
            <v>27</v>
          </cell>
          <cell r="B324" t="str">
            <v>RECEPTACLE, EXPLOSION-PROOF 20A-3P-2W</v>
          </cell>
          <cell r="C324">
            <v>8</v>
          </cell>
          <cell r="D324" t="str">
            <v>SET</v>
          </cell>
          <cell r="E324">
            <v>5400</v>
          </cell>
          <cell r="F324">
            <v>43200</v>
          </cell>
          <cell r="H324">
            <v>0</v>
          </cell>
          <cell r="I324">
            <v>4</v>
          </cell>
          <cell r="J324">
            <v>32</v>
          </cell>
          <cell r="K324">
            <v>5400</v>
          </cell>
          <cell r="L324">
            <v>43200</v>
          </cell>
          <cell r="M324">
            <v>0</v>
          </cell>
          <cell r="N324">
            <v>0</v>
          </cell>
          <cell r="O324">
            <v>1120</v>
          </cell>
          <cell r="P324">
            <v>8960</v>
          </cell>
        </row>
        <row r="325">
          <cell r="B325" t="str">
            <v>240V, CLASS 1 DIV.2 GROUP D</v>
          </cell>
          <cell r="F325">
            <v>0</v>
          </cell>
          <cell r="H325">
            <v>0</v>
          </cell>
          <cell r="J325">
            <v>0</v>
          </cell>
          <cell r="K325">
            <v>0</v>
          </cell>
          <cell r="L325">
            <v>0</v>
          </cell>
          <cell r="M325">
            <v>0</v>
          </cell>
          <cell r="N325">
            <v>0</v>
          </cell>
          <cell r="O325">
            <v>0</v>
          </cell>
          <cell r="P325">
            <v>0</v>
          </cell>
        </row>
        <row r="326">
          <cell r="A326">
            <v>28</v>
          </cell>
          <cell r="B326" t="str">
            <v>PLUG 20A-3P-2W EXPLOSION-PROOF</v>
          </cell>
          <cell r="C326">
            <v>4</v>
          </cell>
          <cell r="D326" t="str">
            <v>SET</v>
          </cell>
          <cell r="E326">
            <v>1400</v>
          </cell>
          <cell r="F326">
            <v>5600</v>
          </cell>
          <cell r="H326">
            <v>0</v>
          </cell>
          <cell r="J326">
            <v>0</v>
          </cell>
          <cell r="K326">
            <v>1400</v>
          </cell>
          <cell r="L326">
            <v>5600</v>
          </cell>
          <cell r="M326">
            <v>0</v>
          </cell>
          <cell r="N326">
            <v>0</v>
          </cell>
          <cell r="O326">
            <v>0</v>
          </cell>
          <cell r="P326">
            <v>0</v>
          </cell>
        </row>
        <row r="327">
          <cell r="A327">
            <v>29</v>
          </cell>
          <cell r="B327" t="str">
            <v>FIX. WIRE 1/C STRD. COPPER 600V 200 DEGREE 2.0sq.mm</v>
          </cell>
          <cell r="C327">
            <v>4440</v>
          </cell>
          <cell r="D327" t="str">
            <v>M</v>
          </cell>
          <cell r="E327">
            <v>33</v>
          </cell>
          <cell r="F327">
            <v>146520</v>
          </cell>
          <cell r="H327">
            <v>0</v>
          </cell>
          <cell r="I327">
            <v>0.05</v>
          </cell>
          <cell r="J327">
            <v>222</v>
          </cell>
          <cell r="K327">
            <v>33</v>
          </cell>
          <cell r="L327">
            <v>146520</v>
          </cell>
          <cell r="M327">
            <v>0</v>
          </cell>
          <cell r="N327">
            <v>0</v>
          </cell>
          <cell r="O327">
            <v>14</v>
          </cell>
          <cell r="P327">
            <v>62160</v>
          </cell>
        </row>
        <row r="328">
          <cell r="A328">
            <v>30</v>
          </cell>
          <cell r="B328" t="str">
            <v>R.S.G CONDUIT W/COUPLING,  3/4"</v>
          </cell>
          <cell r="C328">
            <v>2180</v>
          </cell>
          <cell r="D328" t="str">
            <v>M</v>
          </cell>
          <cell r="E328">
            <v>32</v>
          </cell>
          <cell r="F328">
            <v>69760</v>
          </cell>
          <cell r="H328">
            <v>0</v>
          </cell>
          <cell r="I328">
            <v>0.47</v>
          </cell>
          <cell r="J328">
            <v>1025</v>
          </cell>
          <cell r="K328">
            <v>32</v>
          </cell>
          <cell r="L328">
            <v>69760</v>
          </cell>
          <cell r="M328">
            <v>0</v>
          </cell>
          <cell r="N328">
            <v>0</v>
          </cell>
          <cell r="O328">
            <v>132</v>
          </cell>
          <cell r="P328">
            <v>287760</v>
          </cell>
        </row>
        <row r="329">
          <cell r="A329">
            <v>31</v>
          </cell>
          <cell r="B329" t="str">
            <v>R.S.G CONDUIT W/COUPLING 1"</v>
          </cell>
          <cell r="C329">
            <v>100</v>
          </cell>
          <cell r="D329" t="str">
            <v>M</v>
          </cell>
          <cell r="E329">
            <v>49</v>
          </cell>
          <cell r="F329">
            <v>4900</v>
          </cell>
          <cell r="H329">
            <v>0</v>
          </cell>
          <cell r="I329">
            <v>0.54</v>
          </cell>
          <cell r="J329">
            <v>54</v>
          </cell>
          <cell r="K329">
            <v>49</v>
          </cell>
          <cell r="L329">
            <v>4900</v>
          </cell>
          <cell r="M329">
            <v>0</v>
          </cell>
          <cell r="N329">
            <v>0</v>
          </cell>
          <cell r="O329">
            <v>151</v>
          </cell>
          <cell r="P329">
            <v>15100</v>
          </cell>
        </row>
        <row r="330">
          <cell r="A330">
            <v>32</v>
          </cell>
          <cell r="B330" t="str">
            <v>R.S.G CONDUIT W/COUPLING 1-1/2"</v>
          </cell>
          <cell r="C330">
            <v>600</v>
          </cell>
          <cell r="D330" t="str">
            <v>M</v>
          </cell>
          <cell r="E330">
            <v>78</v>
          </cell>
          <cell r="F330">
            <v>46800</v>
          </cell>
          <cell r="H330">
            <v>0</v>
          </cell>
          <cell r="I330">
            <v>0.76</v>
          </cell>
          <cell r="J330">
            <v>456</v>
          </cell>
          <cell r="K330">
            <v>78</v>
          </cell>
          <cell r="L330">
            <v>46800</v>
          </cell>
          <cell r="M330">
            <v>0</v>
          </cell>
          <cell r="N330">
            <v>0</v>
          </cell>
          <cell r="O330">
            <v>213</v>
          </cell>
          <cell r="P330">
            <v>127800</v>
          </cell>
        </row>
        <row r="331">
          <cell r="A331">
            <v>33</v>
          </cell>
          <cell r="B331" t="str">
            <v>PVC CONDUIT 1-1/2"</v>
          </cell>
          <cell r="C331">
            <v>350</v>
          </cell>
          <cell r="D331" t="str">
            <v>M</v>
          </cell>
          <cell r="E331">
            <v>26</v>
          </cell>
          <cell r="F331">
            <v>9100</v>
          </cell>
          <cell r="H331">
            <v>0</v>
          </cell>
          <cell r="I331">
            <v>0.26</v>
          </cell>
          <cell r="J331">
            <v>91</v>
          </cell>
          <cell r="K331">
            <v>26</v>
          </cell>
          <cell r="L331">
            <v>9100</v>
          </cell>
          <cell r="M331">
            <v>0</v>
          </cell>
          <cell r="N331">
            <v>0</v>
          </cell>
          <cell r="O331">
            <v>73</v>
          </cell>
          <cell r="P331">
            <v>25550</v>
          </cell>
        </row>
        <row r="332">
          <cell r="A332">
            <v>34</v>
          </cell>
          <cell r="B332" t="str">
            <v>PVC CONDUIT ,  2"</v>
          </cell>
          <cell r="C332">
            <v>10615</v>
          </cell>
          <cell r="D332" t="str">
            <v>M</v>
          </cell>
          <cell r="E332">
            <v>38</v>
          </cell>
          <cell r="F332">
            <v>403370</v>
          </cell>
          <cell r="H332">
            <v>0</v>
          </cell>
          <cell r="I332">
            <v>0.3</v>
          </cell>
          <cell r="J332">
            <v>3185</v>
          </cell>
          <cell r="K332">
            <v>38</v>
          </cell>
          <cell r="L332">
            <v>403370</v>
          </cell>
          <cell r="M332">
            <v>0</v>
          </cell>
          <cell r="N332">
            <v>0</v>
          </cell>
          <cell r="O332">
            <v>84</v>
          </cell>
          <cell r="P332">
            <v>891660</v>
          </cell>
        </row>
        <row r="333">
          <cell r="A333">
            <v>35</v>
          </cell>
          <cell r="B333" t="str">
            <v>CONDUIT FITTINGS &amp; ACCESSORIES</v>
          </cell>
          <cell r="C333">
            <v>1</v>
          </cell>
          <cell r="D333" t="str">
            <v>LOT</v>
          </cell>
          <cell r="E333">
            <v>242920</v>
          </cell>
          <cell r="F333">
            <v>242920</v>
          </cell>
          <cell r="H333">
            <v>0</v>
          </cell>
          <cell r="I333">
            <v>460.5</v>
          </cell>
          <cell r="J333">
            <v>461</v>
          </cell>
          <cell r="K333">
            <v>242920</v>
          </cell>
          <cell r="L333">
            <v>242920</v>
          </cell>
          <cell r="M333">
            <v>0</v>
          </cell>
          <cell r="N333">
            <v>0</v>
          </cell>
          <cell r="O333">
            <v>128940</v>
          </cell>
          <cell r="P333">
            <v>128940</v>
          </cell>
        </row>
        <row r="334">
          <cell r="A334">
            <v>36</v>
          </cell>
          <cell r="B334" t="str">
            <v>600V PVC WIRE 3.5 sq.mm</v>
          </cell>
          <cell r="C334">
            <v>3500</v>
          </cell>
          <cell r="D334" t="str">
            <v>M</v>
          </cell>
          <cell r="E334">
            <v>3</v>
          </cell>
          <cell r="F334">
            <v>10500</v>
          </cell>
          <cell r="H334">
            <v>0</v>
          </cell>
          <cell r="I334">
            <v>4.1000000000000002E-2</v>
          </cell>
          <cell r="J334">
            <v>144</v>
          </cell>
          <cell r="K334">
            <v>3</v>
          </cell>
          <cell r="L334">
            <v>10500</v>
          </cell>
          <cell r="M334">
            <v>0</v>
          </cell>
          <cell r="N334">
            <v>0</v>
          </cell>
          <cell r="O334">
            <v>11</v>
          </cell>
          <cell r="P334">
            <v>38500</v>
          </cell>
        </row>
        <row r="335">
          <cell r="A335">
            <v>37</v>
          </cell>
          <cell r="B335" t="str">
            <v>600V PVC WIRE 5.5sq.mm</v>
          </cell>
          <cell r="C335">
            <v>3240</v>
          </cell>
          <cell r="D335" t="str">
            <v>M</v>
          </cell>
          <cell r="E335">
            <v>4</v>
          </cell>
          <cell r="F335">
            <v>12960</v>
          </cell>
          <cell r="H335">
            <v>0</v>
          </cell>
          <cell r="I335">
            <v>5.1999999999999998E-2</v>
          </cell>
          <cell r="J335">
            <v>168</v>
          </cell>
          <cell r="K335">
            <v>4</v>
          </cell>
          <cell r="L335">
            <v>12960</v>
          </cell>
          <cell r="M335">
            <v>0</v>
          </cell>
          <cell r="N335">
            <v>0</v>
          </cell>
          <cell r="O335">
            <v>15</v>
          </cell>
          <cell r="P335">
            <v>48600</v>
          </cell>
        </row>
        <row r="336">
          <cell r="A336">
            <v>38</v>
          </cell>
          <cell r="B336" t="str">
            <v>600V XLPE 5/C-38sq.mm</v>
          </cell>
          <cell r="C336">
            <v>10615</v>
          </cell>
          <cell r="D336" t="str">
            <v>M</v>
          </cell>
          <cell r="E336">
            <v>200</v>
          </cell>
          <cell r="F336">
            <v>2123000</v>
          </cell>
          <cell r="H336">
            <v>0</v>
          </cell>
          <cell r="I336">
            <v>0.31</v>
          </cell>
          <cell r="J336">
            <v>3291</v>
          </cell>
          <cell r="K336">
            <v>200</v>
          </cell>
          <cell r="L336">
            <v>2123000</v>
          </cell>
          <cell r="M336">
            <v>0</v>
          </cell>
          <cell r="N336">
            <v>0</v>
          </cell>
          <cell r="O336">
            <v>87</v>
          </cell>
          <cell r="P336">
            <v>923505</v>
          </cell>
        </row>
        <row r="337">
          <cell r="A337">
            <v>39</v>
          </cell>
          <cell r="B337" t="str">
            <v>600V XLPE 4/C 14 sq.mm</v>
          </cell>
          <cell r="C337">
            <v>500</v>
          </cell>
          <cell r="D337" t="str">
            <v>M</v>
          </cell>
          <cell r="E337">
            <v>61</v>
          </cell>
          <cell r="F337">
            <v>30500</v>
          </cell>
          <cell r="H337">
            <v>0</v>
          </cell>
          <cell r="I337">
            <v>0.17799999999999999</v>
          </cell>
          <cell r="J337">
            <v>89</v>
          </cell>
          <cell r="K337">
            <v>61</v>
          </cell>
          <cell r="L337">
            <v>30500</v>
          </cell>
          <cell r="M337">
            <v>0</v>
          </cell>
          <cell r="N337">
            <v>0</v>
          </cell>
          <cell r="O337">
            <v>50</v>
          </cell>
          <cell r="P337">
            <v>25000</v>
          </cell>
        </row>
        <row r="338">
          <cell r="A338">
            <v>40</v>
          </cell>
          <cell r="B338" t="str">
            <v>HOT DIPPED GALVALNIZED STEEL U-CHANNEL 41x41x2.0t</v>
          </cell>
          <cell r="C338">
            <v>350</v>
          </cell>
          <cell r="D338" t="str">
            <v>M</v>
          </cell>
          <cell r="E338">
            <v>82</v>
          </cell>
          <cell r="F338">
            <v>28700</v>
          </cell>
          <cell r="H338">
            <v>0</v>
          </cell>
          <cell r="I338">
            <v>0.40699999999999997</v>
          </cell>
          <cell r="J338">
            <v>142</v>
          </cell>
          <cell r="K338">
            <v>82</v>
          </cell>
          <cell r="L338">
            <v>28700</v>
          </cell>
          <cell r="M338">
            <v>0</v>
          </cell>
          <cell r="N338">
            <v>0</v>
          </cell>
          <cell r="O338">
            <v>114</v>
          </cell>
          <cell r="P338">
            <v>39900</v>
          </cell>
        </row>
        <row r="339">
          <cell r="A339">
            <v>41</v>
          </cell>
          <cell r="B339" t="str">
            <v>EXCAVATION</v>
          </cell>
          <cell r="C339">
            <v>1910</v>
          </cell>
          <cell r="D339" t="str">
            <v>M3</v>
          </cell>
          <cell r="E339" t="str">
            <v>M+L</v>
          </cell>
          <cell r="F339" t="str">
            <v>M+L</v>
          </cell>
          <cell r="H339">
            <v>0</v>
          </cell>
          <cell r="J339">
            <v>0</v>
          </cell>
          <cell r="K339" t="str">
            <v>M+L</v>
          </cell>
          <cell r="L339" t="str">
            <v>M+L</v>
          </cell>
          <cell r="M339">
            <v>0</v>
          </cell>
          <cell r="N339">
            <v>0</v>
          </cell>
          <cell r="O339">
            <v>60</v>
          </cell>
          <cell r="P339">
            <v>114600</v>
          </cell>
        </row>
        <row r="340">
          <cell r="A340">
            <v>42</v>
          </cell>
          <cell r="B340" t="str">
            <v>BACKFILL</v>
          </cell>
          <cell r="C340">
            <v>1910</v>
          </cell>
          <cell r="D340" t="str">
            <v>M3</v>
          </cell>
          <cell r="E340" t="str">
            <v>M+L</v>
          </cell>
          <cell r="F340" t="str">
            <v>M+L</v>
          </cell>
          <cell r="H340">
            <v>0</v>
          </cell>
          <cell r="J340">
            <v>0</v>
          </cell>
          <cell r="K340" t="str">
            <v>M+L</v>
          </cell>
          <cell r="L340" t="str">
            <v>M+L</v>
          </cell>
          <cell r="M340">
            <v>0</v>
          </cell>
          <cell r="N340">
            <v>0</v>
          </cell>
          <cell r="O340">
            <v>100</v>
          </cell>
          <cell r="P340">
            <v>191000</v>
          </cell>
        </row>
        <row r="341">
          <cell r="A341">
            <v>43</v>
          </cell>
          <cell r="B341" t="str">
            <v>MISCELLANEOUS MATERIALS</v>
          </cell>
          <cell r="C341">
            <v>1</v>
          </cell>
          <cell r="D341" t="str">
            <v>LOT</v>
          </cell>
          <cell r="E341">
            <v>456514</v>
          </cell>
          <cell r="F341">
            <v>456514</v>
          </cell>
          <cell r="H341">
            <v>0</v>
          </cell>
          <cell r="I341">
            <v>679.40000000000009</v>
          </cell>
          <cell r="J341">
            <v>679</v>
          </cell>
          <cell r="K341">
            <v>456514</v>
          </cell>
          <cell r="L341">
            <v>456514</v>
          </cell>
          <cell r="M341">
            <v>0</v>
          </cell>
          <cell r="N341">
            <v>0</v>
          </cell>
          <cell r="O341">
            <v>190232</v>
          </cell>
          <cell r="P341">
            <v>190232</v>
          </cell>
        </row>
        <row r="342">
          <cell r="B342" t="str">
            <v>SUB-TOTAL : (C)</v>
          </cell>
          <cell r="F342">
            <v>9586794</v>
          </cell>
          <cell r="H342">
            <v>0</v>
          </cell>
          <cell r="J342">
            <v>14267</v>
          </cell>
          <cell r="K342">
            <v>0</v>
          </cell>
          <cell r="L342">
            <v>9586794</v>
          </cell>
          <cell r="M342">
            <v>0</v>
          </cell>
          <cell r="N342">
            <v>0</v>
          </cell>
          <cell r="O342">
            <v>0</v>
          </cell>
          <cell r="P342">
            <v>4303107</v>
          </cell>
        </row>
        <row r="343">
          <cell r="H343">
            <v>0</v>
          </cell>
          <cell r="J343">
            <v>0</v>
          </cell>
          <cell r="K343">
            <v>0</v>
          </cell>
          <cell r="L343">
            <v>0</v>
          </cell>
          <cell r="M343">
            <v>0</v>
          </cell>
          <cell r="N343">
            <v>0</v>
          </cell>
          <cell r="O343">
            <v>0</v>
          </cell>
        </row>
        <row r="344">
          <cell r="F344">
            <v>0</v>
          </cell>
          <cell r="H344">
            <v>0</v>
          </cell>
          <cell r="J344">
            <v>0</v>
          </cell>
          <cell r="K344">
            <v>0</v>
          </cell>
          <cell r="L344">
            <v>0</v>
          </cell>
          <cell r="M344">
            <v>0</v>
          </cell>
          <cell r="N344">
            <v>0</v>
          </cell>
          <cell r="O344">
            <v>0</v>
          </cell>
          <cell r="P344">
            <v>0</v>
          </cell>
        </row>
        <row r="345">
          <cell r="A345" t="str">
            <v xml:space="preserve">  D.</v>
          </cell>
          <cell r="B345" t="str">
            <v>GROUNDING  SYSTEM</v>
          </cell>
          <cell r="F345">
            <v>0</v>
          </cell>
          <cell r="H345">
            <v>0</v>
          </cell>
          <cell r="J345">
            <v>0</v>
          </cell>
          <cell r="K345">
            <v>0</v>
          </cell>
          <cell r="L345">
            <v>0</v>
          </cell>
          <cell r="M345">
            <v>0</v>
          </cell>
          <cell r="N345">
            <v>0</v>
          </cell>
          <cell r="O345">
            <v>0</v>
          </cell>
          <cell r="P345">
            <v>0</v>
          </cell>
        </row>
        <row r="346">
          <cell r="A346">
            <v>1</v>
          </cell>
          <cell r="B346" t="str">
            <v xml:space="preserve"> GROUND WIRE, BARE CONDUCTOR 60 sq.mm</v>
          </cell>
          <cell r="C346">
            <v>8000</v>
          </cell>
          <cell r="D346" t="str">
            <v>M</v>
          </cell>
          <cell r="E346">
            <v>47</v>
          </cell>
          <cell r="F346">
            <v>376000</v>
          </cell>
          <cell r="H346">
            <v>0</v>
          </cell>
          <cell r="I346">
            <v>0.14099999999999999</v>
          </cell>
          <cell r="J346">
            <v>1128</v>
          </cell>
          <cell r="K346">
            <v>47</v>
          </cell>
          <cell r="L346">
            <v>376000</v>
          </cell>
          <cell r="M346">
            <v>0</v>
          </cell>
          <cell r="N346">
            <v>0</v>
          </cell>
          <cell r="O346">
            <v>39</v>
          </cell>
          <cell r="P346">
            <v>312000</v>
          </cell>
        </row>
        <row r="347">
          <cell r="A347">
            <v>2</v>
          </cell>
          <cell r="B347" t="str">
            <v xml:space="preserve"> DITTO, BUT38 sq.mm</v>
          </cell>
          <cell r="C347">
            <v>620</v>
          </cell>
          <cell r="D347" t="str">
            <v>M</v>
          </cell>
          <cell r="E347">
            <v>32</v>
          </cell>
          <cell r="F347">
            <v>19840</v>
          </cell>
          <cell r="H347">
            <v>0</v>
          </cell>
          <cell r="I347">
            <v>0.11700000000000001</v>
          </cell>
          <cell r="J347">
            <v>73</v>
          </cell>
          <cell r="K347">
            <v>32</v>
          </cell>
          <cell r="L347">
            <v>19840</v>
          </cell>
          <cell r="M347">
            <v>0</v>
          </cell>
          <cell r="N347">
            <v>0</v>
          </cell>
          <cell r="O347">
            <v>33</v>
          </cell>
          <cell r="P347">
            <v>20460</v>
          </cell>
        </row>
        <row r="348">
          <cell r="A348">
            <v>3</v>
          </cell>
          <cell r="B348" t="str">
            <v xml:space="preserve"> GROUND ROD, 3/4" x 10 FT</v>
          </cell>
          <cell r="C348">
            <v>208</v>
          </cell>
          <cell r="D348" t="str">
            <v>PCS</v>
          </cell>
          <cell r="E348">
            <v>350</v>
          </cell>
          <cell r="F348">
            <v>72800</v>
          </cell>
          <cell r="H348">
            <v>0</v>
          </cell>
          <cell r="I348">
            <v>5</v>
          </cell>
          <cell r="J348">
            <v>1040</v>
          </cell>
          <cell r="K348">
            <v>350</v>
          </cell>
          <cell r="L348">
            <v>72800</v>
          </cell>
          <cell r="M348">
            <v>0</v>
          </cell>
          <cell r="N348">
            <v>0</v>
          </cell>
          <cell r="O348">
            <v>1400</v>
          </cell>
          <cell r="P348">
            <v>291200</v>
          </cell>
        </row>
        <row r="349">
          <cell r="A349">
            <v>4</v>
          </cell>
          <cell r="B349" t="str">
            <v xml:space="preserve"> CADWELD GROUND POWDER CARTRIDGE SIZE 45</v>
          </cell>
          <cell r="C349">
            <v>170</v>
          </cell>
          <cell r="D349" t="str">
            <v>PCS</v>
          </cell>
          <cell r="E349">
            <v>45</v>
          </cell>
          <cell r="F349">
            <v>7650</v>
          </cell>
          <cell r="H349">
            <v>0</v>
          </cell>
          <cell r="I349">
            <v>0.5</v>
          </cell>
          <cell r="J349">
            <v>85</v>
          </cell>
          <cell r="K349">
            <v>45</v>
          </cell>
          <cell r="L349">
            <v>7650</v>
          </cell>
          <cell r="M349">
            <v>0</v>
          </cell>
          <cell r="N349">
            <v>0</v>
          </cell>
          <cell r="O349">
            <v>140</v>
          </cell>
          <cell r="P349">
            <v>23800</v>
          </cell>
        </row>
        <row r="350">
          <cell r="A350">
            <v>5</v>
          </cell>
          <cell r="B350" t="str">
            <v xml:space="preserve"> CADWELD GROUND POWDER CARTRIDGE SIZE 90</v>
          </cell>
          <cell r="C350">
            <v>93</v>
          </cell>
          <cell r="D350" t="str">
            <v>PCS</v>
          </cell>
          <cell r="E350">
            <v>90</v>
          </cell>
          <cell r="F350">
            <v>8370</v>
          </cell>
          <cell r="H350">
            <v>0</v>
          </cell>
          <cell r="I350">
            <v>0.5</v>
          </cell>
          <cell r="J350">
            <v>47</v>
          </cell>
          <cell r="K350">
            <v>90</v>
          </cell>
          <cell r="L350">
            <v>8370</v>
          </cell>
          <cell r="M350">
            <v>0</v>
          </cell>
          <cell r="N350">
            <v>0</v>
          </cell>
          <cell r="O350">
            <v>140</v>
          </cell>
          <cell r="P350">
            <v>13020</v>
          </cell>
        </row>
        <row r="351">
          <cell r="A351">
            <v>6</v>
          </cell>
          <cell r="B351" t="str">
            <v xml:space="preserve"> CADWELD GROUND POWDER CARTRIDGE SIZE 115</v>
          </cell>
          <cell r="C351">
            <v>159</v>
          </cell>
          <cell r="D351" t="str">
            <v>PCS</v>
          </cell>
          <cell r="E351">
            <v>115</v>
          </cell>
          <cell r="F351">
            <v>18285</v>
          </cell>
          <cell r="H351">
            <v>0</v>
          </cell>
          <cell r="I351">
            <v>0.5</v>
          </cell>
          <cell r="J351">
            <v>80</v>
          </cell>
          <cell r="K351">
            <v>115</v>
          </cell>
          <cell r="L351">
            <v>18285</v>
          </cell>
          <cell r="M351">
            <v>0</v>
          </cell>
          <cell r="N351">
            <v>0</v>
          </cell>
          <cell r="O351">
            <v>140</v>
          </cell>
          <cell r="P351">
            <v>22260</v>
          </cell>
        </row>
        <row r="352">
          <cell r="A352">
            <v>7</v>
          </cell>
          <cell r="B352" t="str">
            <v xml:space="preserve"> CADWELD MOLD, FOR CABLE TO GROUND ROD</v>
          </cell>
          <cell r="C352">
            <v>10</v>
          </cell>
          <cell r="D352" t="str">
            <v>PCS</v>
          </cell>
          <cell r="E352">
            <v>1250</v>
          </cell>
          <cell r="F352">
            <v>12500</v>
          </cell>
          <cell r="H352">
            <v>0</v>
          </cell>
          <cell r="J352">
            <v>0</v>
          </cell>
          <cell r="K352">
            <v>1250</v>
          </cell>
          <cell r="L352">
            <v>12500</v>
          </cell>
          <cell r="M352">
            <v>0</v>
          </cell>
          <cell r="N352">
            <v>0</v>
          </cell>
          <cell r="O352">
            <v>0</v>
          </cell>
          <cell r="P352">
            <v>0</v>
          </cell>
        </row>
        <row r="353">
          <cell r="B353" t="str">
            <v xml:space="preserve"> CADWELD GTC-182G</v>
          </cell>
          <cell r="F353">
            <v>0</v>
          </cell>
          <cell r="H353">
            <v>0</v>
          </cell>
          <cell r="J353">
            <v>0</v>
          </cell>
          <cell r="K353">
            <v>0</v>
          </cell>
          <cell r="L353">
            <v>0</v>
          </cell>
          <cell r="M353">
            <v>0</v>
          </cell>
          <cell r="N353">
            <v>0</v>
          </cell>
          <cell r="O353">
            <v>0</v>
          </cell>
          <cell r="P353">
            <v>0</v>
          </cell>
        </row>
        <row r="354">
          <cell r="A354">
            <v>8</v>
          </cell>
          <cell r="B354" t="str">
            <v xml:space="preserve"> CADWELD MOLD, FOR CABLE TO CABLE</v>
          </cell>
          <cell r="C354">
            <v>5</v>
          </cell>
          <cell r="D354" t="str">
            <v>PCS</v>
          </cell>
          <cell r="E354">
            <v>1250</v>
          </cell>
          <cell r="F354">
            <v>6250</v>
          </cell>
          <cell r="H354">
            <v>0</v>
          </cell>
          <cell r="J354">
            <v>0</v>
          </cell>
          <cell r="K354">
            <v>1250</v>
          </cell>
          <cell r="L354">
            <v>6250</v>
          </cell>
          <cell r="M354">
            <v>0</v>
          </cell>
          <cell r="N354">
            <v>0</v>
          </cell>
          <cell r="O354">
            <v>0</v>
          </cell>
          <cell r="P354">
            <v>0</v>
          </cell>
        </row>
        <row r="355">
          <cell r="B355" t="str">
            <v xml:space="preserve"> CADWELD TAC-2G2G</v>
          </cell>
          <cell r="F355">
            <v>0</v>
          </cell>
          <cell r="H355">
            <v>0</v>
          </cell>
          <cell r="J355">
            <v>0</v>
          </cell>
          <cell r="K355">
            <v>0</v>
          </cell>
          <cell r="L355">
            <v>0</v>
          </cell>
          <cell r="M355">
            <v>0</v>
          </cell>
          <cell r="N355">
            <v>0</v>
          </cell>
          <cell r="O355">
            <v>0</v>
          </cell>
          <cell r="P355">
            <v>0</v>
          </cell>
        </row>
        <row r="356">
          <cell r="A356">
            <v>9</v>
          </cell>
          <cell r="B356" t="str">
            <v xml:space="preserve"> DITTO, BUT CADWELD TAC-2G1V</v>
          </cell>
          <cell r="C356">
            <v>10</v>
          </cell>
          <cell r="D356" t="str">
            <v>PCS</v>
          </cell>
          <cell r="E356">
            <v>1250</v>
          </cell>
          <cell r="F356">
            <v>12500</v>
          </cell>
          <cell r="H356">
            <v>0</v>
          </cell>
          <cell r="J356">
            <v>0</v>
          </cell>
          <cell r="K356">
            <v>1250</v>
          </cell>
          <cell r="L356">
            <v>12500</v>
          </cell>
          <cell r="M356">
            <v>0</v>
          </cell>
          <cell r="N356">
            <v>0</v>
          </cell>
          <cell r="O356">
            <v>0</v>
          </cell>
          <cell r="P356">
            <v>0</v>
          </cell>
        </row>
        <row r="357">
          <cell r="A357">
            <v>10</v>
          </cell>
          <cell r="B357" t="str">
            <v xml:space="preserve"> GROUND CONNECTOR FOR CABLE TO ROD OR PIPE</v>
          </cell>
          <cell r="C357">
            <v>50</v>
          </cell>
          <cell r="D357" t="str">
            <v>PCS</v>
          </cell>
          <cell r="E357">
            <v>650</v>
          </cell>
          <cell r="F357">
            <v>32500</v>
          </cell>
          <cell r="H357">
            <v>0</v>
          </cell>
          <cell r="I357">
            <v>1</v>
          </cell>
          <cell r="J357">
            <v>50</v>
          </cell>
          <cell r="K357">
            <v>650</v>
          </cell>
          <cell r="L357">
            <v>32500</v>
          </cell>
          <cell r="M357">
            <v>0</v>
          </cell>
          <cell r="N357">
            <v>0</v>
          </cell>
          <cell r="O357">
            <v>280</v>
          </cell>
          <cell r="P357">
            <v>14000</v>
          </cell>
        </row>
        <row r="358">
          <cell r="B358" t="str">
            <v xml:space="preserve"> BURNDY GK-6429</v>
          </cell>
          <cell r="F358">
            <v>0</v>
          </cell>
          <cell r="H358">
            <v>0</v>
          </cell>
          <cell r="J358">
            <v>0</v>
          </cell>
          <cell r="K358">
            <v>0</v>
          </cell>
          <cell r="L358">
            <v>0</v>
          </cell>
          <cell r="M358">
            <v>0</v>
          </cell>
          <cell r="N358">
            <v>0</v>
          </cell>
          <cell r="O358">
            <v>0</v>
          </cell>
          <cell r="P358">
            <v>0</v>
          </cell>
        </row>
        <row r="359">
          <cell r="A359">
            <v>11</v>
          </cell>
          <cell r="B359" t="str">
            <v xml:space="preserve"> GROUND TERMINAL BOX, 450MMx300MMx150MMx1.6t WITH</v>
          </cell>
          <cell r="C359">
            <v>25</v>
          </cell>
          <cell r="D359" t="str">
            <v>SET</v>
          </cell>
          <cell r="E359">
            <v>3500</v>
          </cell>
          <cell r="F359">
            <v>87500</v>
          </cell>
          <cell r="H359">
            <v>0</v>
          </cell>
          <cell r="I359">
            <v>6</v>
          </cell>
          <cell r="J359">
            <v>150</v>
          </cell>
          <cell r="K359">
            <v>3500</v>
          </cell>
          <cell r="L359">
            <v>87500</v>
          </cell>
          <cell r="M359">
            <v>0</v>
          </cell>
          <cell r="N359">
            <v>0</v>
          </cell>
          <cell r="O359">
            <v>1680</v>
          </cell>
          <cell r="P359">
            <v>42000</v>
          </cell>
        </row>
        <row r="360">
          <cell r="B360" t="str">
            <v>GROUNDING BUS 300Mx50MMx6t</v>
          </cell>
          <cell r="F360">
            <v>0</v>
          </cell>
          <cell r="H360">
            <v>0</v>
          </cell>
          <cell r="J360">
            <v>0</v>
          </cell>
          <cell r="K360">
            <v>0</v>
          </cell>
          <cell r="L360">
            <v>0</v>
          </cell>
          <cell r="M360">
            <v>0</v>
          </cell>
          <cell r="N360">
            <v>0</v>
          </cell>
          <cell r="O360">
            <v>0</v>
          </cell>
          <cell r="P360">
            <v>0</v>
          </cell>
        </row>
        <row r="361">
          <cell r="A361">
            <v>12</v>
          </cell>
          <cell r="B361" t="str">
            <v xml:space="preserve"> CABLE LUG, COPPER FOR 60 sq.mm</v>
          </cell>
          <cell r="C361">
            <v>92</v>
          </cell>
          <cell r="D361" t="str">
            <v>PCS</v>
          </cell>
          <cell r="E361">
            <v>60</v>
          </cell>
          <cell r="F361">
            <v>5520</v>
          </cell>
          <cell r="H361">
            <v>0</v>
          </cell>
          <cell r="I361">
            <v>0.5</v>
          </cell>
          <cell r="J361">
            <v>46</v>
          </cell>
          <cell r="K361">
            <v>60</v>
          </cell>
          <cell r="L361">
            <v>5520</v>
          </cell>
          <cell r="M361">
            <v>0</v>
          </cell>
          <cell r="N361">
            <v>0</v>
          </cell>
          <cell r="O361">
            <v>140</v>
          </cell>
          <cell r="P361">
            <v>12880</v>
          </cell>
        </row>
        <row r="362">
          <cell r="A362">
            <v>13</v>
          </cell>
          <cell r="B362" t="str">
            <v xml:space="preserve"> DITTO, BUT FOR 38 sq.mm</v>
          </cell>
          <cell r="C362">
            <v>169</v>
          </cell>
          <cell r="D362" t="str">
            <v>PCS</v>
          </cell>
          <cell r="E362">
            <v>38</v>
          </cell>
          <cell r="F362">
            <v>6422</v>
          </cell>
          <cell r="H362">
            <v>0</v>
          </cell>
          <cell r="I362">
            <v>0.5</v>
          </cell>
          <cell r="J362">
            <v>85</v>
          </cell>
          <cell r="K362">
            <v>38</v>
          </cell>
          <cell r="L362">
            <v>6422</v>
          </cell>
          <cell r="M362">
            <v>0</v>
          </cell>
          <cell r="N362">
            <v>0</v>
          </cell>
          <cell r="O362">
            <v>140</v>
          </cell>
          <cell r="P362">
            <v>23660</v>
          </cell>
        </row>
        <row r="363">
          <cell r="A363">
            <v>14</v>
          </cell>
          <cell r="B363" t="str">
            <v xml:space="preserve"> CONCRETE PIPE WITH COVER 12" DIA. 2 FT LG</v>
          </cell>
          <cell r="C363">
            <v>50</v>
          </cell>
          <cell r="D363" t="str">
            <v>PCS</v>
          </cell>
          <cell r="E363">
            <v>2800</v>
          </cell>
          <cell r="F363">
            <v>140000</v>
          </cell>
          <cell r="H363">
            <v>0</v>
          </cell>
          <cell r="I363">
            <v>3</v>
          </cell>
          <cell r="J363">
            <v>150</v>
          </cell>
          <cell r="K363">
            <v>2800</v>
          </cell>
          <cell r="L363">
            <v>140000</v>
          </cell>
          <cell r="M363">
            <v>0</v>
          </cell>
          <cell r="N363">
            <v>0</v>
          </cell>
          <cell r="O363">
            <v>840</v>
          </cell>
          <cell r="P363">
            <v>42000</v>
          </cell>
        </row>
        <row r="364">
          <cell r="A364">
            <v>15</v>
          </cell>
          <cell r="B364" t="str">
            <v xml:space="preserve"> STEEL PLATE, SS41, 1829x6401x6t</v>
          </cell>
          <cell r="C364">
            <v>1</v>
          </cell>
          <cell r="D364" t="str">
            <v>PCS</v>
          </cell>
          <cell r="E364">
            <v>10000</v>
          </cell>
          <cell r="F364">
            <v>10000</v>
          </cell>
          <cell r="H364">
            <v>0</v>
          </cell>
          <cell r="I364">
            <v>20</v>
          </cell>
          <cell r="J364">
            <v>20</v>
          </cell>
          <cell r="K364">
            <v>10000</v>
          </cell>
          <cell r="L364">
            <v>10000</v>
          </cell>
          <cell r="M364">
            <v>0</v>
          </cell>
          <cell r="N364">
            <v>0</v>
          </cell>
          <cell r="O364">
            <v>5600</v>
          </cell>
          <cell r="P364">
            <v>5600</v>
          </cell>
        </row>
        <row r="365">
          <cell r="A365">
            <v>16</v>
          </cell>
          <cell r="B365" t="str">
            <v xml:space="preserve"> CONDUIT CLAMP, ONE-HOLE 3/4"</v>
          </cell>
          <cell r="C365">
            <v>265</v>
          </cell>
          <cell r="D365" t="str">
            <v>PCS</v>
          </cell>
          <cell r="E365">
            <v>4</v>
          </cell>
          <cell r="F365">
            <v>1060</v>
          </cell>
          <cell r="H365">
            <v>0</v>
          </cell>
          <cell r="I365">
            <v>0.5</v>
          </cell>
          <cell r="J365">
            <v>133</v>
          </cell>
          <cell r="K365">
            <v>4</v>
          </cell>
          <cell r="L365">
            <v>1060</v>
          </cell>
          <cell r="M365">
            <v>0</v>
          </cell>
          <cell r="N365">
            <v>0</v>
          </cell>
          <cell r="O365">
            <v>140</v>
          </cell>
          <cell r="P365">
            <v>37100</v>
          </cell>
        </row>
        <row r="366">
          <cell r="A366">
            <v>17</v>
          </cell>
          <cell r="B366" t="str">
            <v xml:space="preserve"> PVC CONDUIT, SCHEDULE B, CNS1302  3/4"</v>
          </cell>
          <cell r="C366">
            <v>265</v>
          </cell>
          <cell r="D366" t="str">
            <v>M</v>
          </cell>
          <cell r="E366">
            <v>12</v>
          </cell>
          <cell r="F366">
            <v>3180</v>
          </cell>
          <cell r="H366">
            <v>0</v>
          </cell>
          <cell r="I366">
            <v>0.28000000000000003</v>
          </cell>
          <cell r="J366">
            <v>74</v>
          </cell>
          <cell r="K366">
            <v>12</v>
          </cell>
          <cell r="L366">
            <v>3180</v>
          </cell>
          <cell r="M366">
            <v>0</v>
          </cell>
          <cell r="N366">
            <v>0</v>
          </cell>
          <cell r="O366">
            <v>78</v>
          </cell>
          <cell r="P366">
            <v>20670</v>
          </cell>
        </row>
        <row r="367">
          <cell r="A367">
            <v>18</v>
          </cell>
          <cell r="B367" t="str">
            <v xml:space="preserve"> EXCAVATION</v>
          </cell>
          <cell r="C367">
            <v>1550</v>
          </cell>
          <cell r="D367" t="str">
            <v>M3</v>
          </cell>
          <cell r="E367" t="str">
            <v>M+L</v>
          </cell>
          <cell r="F367" t="str">
            <v>M+L</v>
          </cell>
          <cell r="H367">
            <v>0</v>
          </cell>
          <cell r="J367">
            <v>0</v>
          </cell>
          <cell r="K367" t="str">
            <v>M+L</v>
          </cell>
          <cell r="L367" t="str">
            <v>M+L</v>
          </cell>
          <cell r="M367">
            <v>0</v>
          </cell>
          <cell r="N367">
            <v>0</v>
          </cell>
          <cell r="O367">
            <v>72</v>
          </cell>
          <cell r="P367">
            <v>111600</v>
          </cell>
        </row>
        <row r="368">
          <cell r="A368">
            <v>19</v>
          </cell>
          <cell r="B368" t="str">
            <v xml:space="preserve"> BACKFILL</v>
          </cell>
          <cell r="C368">
            <v>1550</v>
          </cell>
          <cell r="D368" t="str">
            <v>M3</v>
          </cell>
          <cell r="E368" t="str">
            <v>M+L</v>
          </cell>
          <cell r="F368" t="str">
            <v>M+L</v>
          </cell>
          <cell r="H368">
            <v>0</v>
          </cell>
          <cell r="J368">
            <v>0</v>
          </cell>
          <cell r="K368" t="str">
            <v>M+L</v>
          </cell>
          <cell r="L368" t="str">
            <v>M+L</v>
          </cell>
          <cell r="M368">
            <v>0</v>
          </cell>
          <cell r="N368">
            <v>0</v>
          </cell>
          <cell r="O368">
            <v>120</v>
          </cell>
          <cell r="P368">
            <v>186000</v>
          </cell>
        </row>
        <row r="369">
          <cell r="A369">
            <v>20</v>
          </cell>
          <cell r="B369" t="str">
            <v xml:space="preserve"> MISCELLANEOUS MATERIALS</v>
          </cell>
          <cell r="C369">
            <v>1</v>
          </cell>
          <cell r="D369" t="str">
            <v>LOT</v>
          </cell>
          <cell r="E369">
            <v>82037.700000000012</v>
          </cell>
          <cell r="F369">
            <v>82038</v>
          </cell>
          <cell r="H369">
            <v>0</v>
          </cell>
          <cell r="I369">
            <v>316.10000000000002</v>
          </cell>
          <cell r="J369">
            <v>316</v>
          </cell>
          <cell r="K369">
            <v>82038</v>
          </cell>
          <cell r="L369">
            <v>82038</v>
          </cell>
          <cell r="M369">
            <v>0</v>
          </cell>
          <cell r="N369">
            <v>0</v>
          </cell>
          <cell r="O369">
            <v>88508</v>
          </cell>
          <cell r="P369">
            <v>88508</v>
          </cell>
        </row>
        <row r="370">
          <cell r="B370" t="str">
            <v>SUB-TOTAL : (D)</v>
          </cell>
          <cell r="F370">
            <v>902415</v>
          </cell>
          <cell r="H370">
            <v>0</v>
          </cell>
          <cell r="J370">
            <v>3477</v>
          </cell>
          <cell r="K370">
            <v>0</v>
          </cell>
          <cell r="L370">
            <v>902415</v>
          </cell>
          <cell r="M370">
            <v>0</v>
          </cell>
          <cell r="N370">
            <v>0</v>
          </cell>
          <cell r="O370">
            <v>0</v>
          </cell>
          <cell r="P370">
            <v>1266758</v>
          </cell>
        </row>
        <row r="371">
          <cell r="F371">
            <v>0</v>
          </cell>
          <cell r="H371">
            <v>0</v>
          </cell>
          <cell r="J371">
            <v>0</v>
          </cell>
          <cell r="K371">
            <v>0</v>
          </cell>
          <cell r="L371">
            <v>0</v>
          </cell>
          <cell r="M371">
            <v>0</v>
          </cell>
          <cell r="N371">
            <v>0</v>
          </cell>
          <cell r="O371">
            <v>0</v>
          </cell>
          <cell r="P371">
            <v>0</v>
          </cell>
        </row>
        <row r="372">
          <cell r="F372">
            <v>0</v>
          </cell>
          <cell r="H372">
            <v>0</v>
          </cell>
          <cell r="J372">
            <v>0</v>
          </cell>
          <cell r="K372">
            <v>0</v>
          </cell>
          <cell r="L372">
            <v>0</v>
          </cell>
          <cell r="M372">
            <v>0</v>
          </cell>
          <cell r="N372">
            <v>0</v>
          </cell>
          <cell r="O372">
            <v>0</v>
          </cell>
          <cell r="P372">
            <v>0</v>
          </cell>
        </row>
        <row r="373">
          <cell r="D373">
            <v>0</v>
          </cell>
          <cell r="F373">
            <v>0</v>
          </cell>
          <cell r="H373">
            <v>0</v>
          </cell>
          <cell r="J373">
            <v>0</v>
          </cell>
          <cell r="K373">
            <v>0</v>
          </cell>
          <cell r="L373">
            <v>0</v>
          </cell>
          <cell r="M373">
            <v>0</v>
          </cell>
          <cell r="N373">
            <v>0</v>
          </cell>
          <cell r="O373">
            <v>0</v>
          </cell>
          <cell r="P373">
            <v>0</v>
          </cell>
        </row>
        <row r="374">
          <cell r="A374" t="str">
            <v>E.</v>
          </cell>
          <cell r="B374" t="str">
            <v>TELEPHONE SYSTEM(全廠區建築物間之管線)</v>
          </cell>
          <cell r="F374">
            <v>0</v>
          </cell>
          <cell r="H374">
            <v>0</v>
          </cell>
          <cell r="J374">
            <v>0</v>
          </cell>
          <cell r="K374">
            <v>0</v>
          </cell>
          <cell r="L374">
            <v>0</v>
          </cell>
          <cell r="M374">
            <v>0</v>
          </cell>
          <cell r="N374">
            <v>0</v>
          </cell>
          <cell r="O374">
            <v>0</v>
          </cell>
          <cell r="P374">
            <v>0</v>
          </cell>
        </row>
        <row r="375">
          <cell r="A375">
            <v>1</v>
          </cell>
          <cell r="B375" t="str">
            <v>PABX , W/100 EXTENSION , 10 TRUNK LINE</v>
          </cell>
          <cell r="C375">
            <v>1</v>
          </cell>
          <cell r="D375" t="str">
            <v>SET</v>
          </cell>
          <cell r="E375">
            <v>380000</v>
          </cell>
          <cell r="F375">
            <v>380000</v>
          </cell>
          <cell r="H375">
            <v>0</v>
          </cell>
          <cell r="I375">
            <v>40</v>
          </cell>
          <cell r="J375">
            <v>40</v>
          </cell>
          <cell r="K375">
            <v>380000</v>
          </cell>
          <cell r="L375">
            <v>380000</v>
          </cell>
          <cell r="M375">
            <v>0</v>
          </cell>
          <cell r="N375">
            <v>0</v>
          </cell>
          <cell r="O375">
            <v>11200</v>
          </cell>
          <cell r="P375">
            <v>11200</v>
          </cell>
        </row>
        <row r="376">
          <cell r="A376">
            <v>2</v>
          </cell>
          <cell r="B376" t="str">
            <v xml:space="preserve"> TELEPHONE CABLE, SOLID COPPER PVBC INSU. 5 PAIRS</v>
          </cell>
          <cell r="C376">
            <v>1300</v>
          </cell>
          <cell r="D376" t="str">
            <v>M</v>
          </cell>
          <cell r="E376">
            <v>14</v>
          </cell>
          <cell r="F376">
            <v>18200</v>
          </cell>
          <cell r="H376">
            <v>0</v>
          </cell>
          <cell r="I376">
            <v>8.5999999999999993E-2</v>
          </cell>
          <cell r="J376">
            <v>112</v>
          </cell>
          <cell r="K376">
            <v>14</v>
          </cell>
          <cell r="L376">
            <v>18200</v>
          </cell>
          <cell r="M376">
            <v>0</v>
          </cell>
          <cell r="N376">
            <v>0</v>
          </cell>
          <cell r="O376">
            <v>24</v>
          </cell>
          <cell r="P376">
            <v>31200</v>
          </cell>
        </row>
        <row r="377">
          <cell r="A377">
            <v>3</v>
          </cell>
          <cell r="B377" t="str">
            <v xml:space="preserve"> DITTO, BUT 10 PAIRS</v>
          </cell>
          <cell r="C377">
            <v>250</v>
          </cell>
          <cell r="D377" t="str">
            <v>M</v>
          </cell>
          <cell r="E377">
            <v>30</v>
          </cell>
          <cell r="F377">
            <v>7500</v>
          </cell>
          <cell r="H377">
            <v>0</v>
          </cell>
          <cell r="I377">
            <v>0.122</v>
          </cell>
          <cell r="J377">
            <v>31</v>
          </cell>
          <cell r="K377">
            <v>30</v>
          </cell>
          <cell r="L377">
            <v>7500</v>
          </cell>
          <cell r="M377">
            <v>0</v>
          </cell>
          <cell r="N377">
            <v>0</v>
          </cell>
          <cell r="O377">
            <v>34</v>
          </cell>
          <cell r="P377">
            <v>8500</v>
          </cell>
        </row>
        <row r="378">
          <cell r="A378">
            <v>4</v>
          </cell>
          <cell r="B378" t="str">
            <v xml:space="preserve"> DITTO, BUT 30 PAIRS</v>
          </cell>
          <cell r="C378">
            <v>300</v>
          </cell>
          <cell r="D378" t="str">
            <v>M</v>
          </cell>
          <cell r="E378">
            <v>80</v>
          </cell>
          <cell r="F378">
            <v>24000</v>
          </cell>
          <cell r="H378">
            <v>0</v>
          </cell>
          <cell r="I378">
            <v>0.20599999999999999</v>
          </cell>
          <cell r="J378">
            <v>62</v>
          </cell>
          <cell r="K378">
            <v>80</v>
          </cell>
          <cell r="L378">
            <v>24000</v>
          </cell>
          <cell r="M378">
            <v>0</v>
          </cell>
          <cell r="N378">
            <v>0</v>
          </cell>
          <cell r="O378">
            <v>58</v>
          </cell>
          <cell r="P378">
            <v>17400</v>
          </cell>
        </row>
        <row r="379">
          <cell r="A379">
            <v>4</v>
          </cell>
          <cell r="B379" t="str">
            <v xml:space="preserve"> DITTO, BUT 50 PAIRS</v>
          </cell>
          <cell r="C379">
            <v>400</v>
          </cell>
          <cell r="D379" t="str">
            <v>M</v>
          </cell>
          <cell r="E379">
            <v>133</v>
          </cell>
          <cell r="F379">
            <v>53200</v>
          </cell>
          <cell r="H379">
            <v>0</v>
          </cell>
          <cell r="I379">
            <v>0.25600000000000001</v>
          </cell>
          <cell r="J379">
            <v>102</v>
          </cell>
          <cell r="K379">
            <v>133</v>
          </cell>
          <cell r="L379">
            <v>53200</v>
          </cell>
          <cell r="M379">
            <v>0</v>
          </cell>
          <cell r="N379">
            <v>0</v>
          </cell>
          <cell r="O379">
            <v>72</v>
          </cell>
          <cell r="P379">
            <v>28800</v>
          </cell>
        </row>
        <row r="380">
          <cell r="A380">
            <v>5</v>
          </cell>
          <cell r="B380" t="str">
            <v xml:space="preserve"> MISCELLANEOUS MATERIALS</v>
          </cell>
          <cell r="C380">
            <v>1</v>
          </cell>
          <cell r="D380" t="str">
            <v>LOT</v>
          </cell>
          <cell r="E380">
            <v>10290</v>
          </cell>
          <cell r="F380">
            <v>10290</v>
          </cell>
          <cell r="H380">
            <v>0</v>
          </cell>
          <cell r="I380">
            <v>105</v>
          </cell>
          <cell r="J380">
            <v>105</v>
          </cell>
          <cell r="K380">
            <v>10290</v>
          </cell>
          <cell r="L380">
            <v>10290</v>
          </cell>
          <cell r="M380">
            <v>0</v>
          </cell>
          <cell r="N380">
            <v>0</v>
          </cell>
          <cell r="O380">
            <v>29400</v>
          </cell>
          <cell r="P380">
            <v>29400</v>
          </cell>
        </row>
        <row r="381">
          <cell r="B381" t="str">
            <v>SUB-TOTAL : (E)</v>
          </cell>
          <cell r="F381">
            <v>493190</v>
          </cell>
          <cell r="H381">
            <v>0</v>
          </cell>
          <cell r="J381">
            <v>452</v>
          </cell>
          <cell r="K381">
            <v>0</v>
          </cell>
          <cell r="L381">
            <v>493190</v>
          </cell>
          <cell r="M381">
            <v>0</v>
          </cell>
          <cell r="N381">
            <v>0</v>
          </cell>
          <cell r="O381">
            <v>0</v>
          </cell>
          <cell r="P381">
            <v>126500</v>
          </cell>
        </row>
        <row r="382">
          <cell r="F382">
            <v>0</v>
          </cell>
          <cell r="H382">
            <v>0</v>
          </cell>
          <cell r="J382">
            <v>0</v>
          </cell>
          <cell r="K382">
            <v>0</v>
          </cell>
          <cell r="L382">
            <v>0</v>
          </cell>
          <cell r="M382">
            <v>0</v>
          </cell>
          <cell r="N382">
            <v>0</v>
          </cell>
          <cell r="O382">
            <v>0</v>
          </cell>
          <cell r="P382">
            <v>0</v>
          </cell>
        </row>
        <row r="383">
          <cell r="F383">
            <v>0</v>
          </cell>
          <cell r="H383">
            <v>0</v>
          </cell>
          <cell r="J383">
            <v>0</v>
          </cell>
          <cell r="K383">
            <v>0</v>
          </cell>
          <cell r="L383">
            <v>0</v>
          </cell>
          <cell r="M383">
            <v>0</v>
          </cell>
          <cell r="N383">
            <v>0</v>
          </cell>
          <cell r="O383">
            <v>0</v>
          </cell>
          <cell r="P383">
            <v>0</v>
          </cell>
        </row>
        <row r="384">
          <cell r="A384" t="str">
            <v>F.</v>
          </cell>
          <cell r="B384" t="str">
            <v>PAGE/INTERCOMMUNICATION SYSTEM</v>
          </cell>
          <cell r="D384">
            <v>0</v>
          </cell>
          <cell r="F384">
            <v>0</v>
          </cell>
          <cell r="H384">
            <v>0</v>
          </cell>
          <cell r="J384">
            <v>0</v>
          </cell>
          <cell r="K384">
            <v>0</v>
          </cell>
          <cell r="L384">
            <v>0</v>
          </cell>
          <cell r="M384">
            <v>0</v>
          </cell>
          <cell r="N384">
            <v>0</v>
          </cell>
          <cell r="O384">
            <v>0</v>
          </cell>
          <cell r="P384">
            <v>0</v>
          </cell>
        </row>
        <row r="385">
          <cell r="A385">
            <v>1</v>
          </cell>
          <cell r="B385" t="str">
            <v xml:space="preserve"> PAGE/PARTY STATION, SINGLE PARTY LINE</v>
          </cell>
          <cell r="C385">
            <v>10</v>
          </cell>
          <cell r="D385" t="str">
            <v>SET</v>
          </cell>
          <cell r="E385">
            <v>19700</v>
          </cell>
          <cell r="F385">
            <v>197000</v>
          </cell>
          <cell r="H385">
            <v>0</v>
          </cell>
          <cell r="I385">
            <v>12</v>
          </cell>
          <cell r="J385">
            <v>120</v>
          </cell>
          <cell r="K385">
            <v>19700</v>
          </cell>
          <cell r="L385">
            <v>197000</v>
          </cell>
          <cell r="M385">
            <v>0</v>
          </cell>
          <cell r="N385">
            <v>0</v>
          </cell>
          <cell r="O385">
            <v>3360</v>
          </cell>
          <cell r="P385">
            <v>33600</v>
          </cell>
        </row>
        <row r="386">
          <cell r="B386" t="str">
            <v xml:space="preserve"> CL.1, DIV.2 , G-T #730-104 OR EQUAL</v>
          </cell>
          <cell r="F386">
            <v>0</v>
          </cell>
          <cell r="H386">
            <v>0</v>
          </cell>
          <cell r="J386">
            <v>0</v>
          </cell>
          <cell r="K386">
            <v>0</v>
          </cell>
          <cell r="L386">
            <v>0</v>
          </cell>
          <cell r="M386">
            <v>0</v>
          </cell>
          <cell r="N386">
            <v>0</v>
          </cell>
          <cell r="O386">
            <v>0</v>
          </cell>
          <cell r="P386">
            <v>0</v>
          </cell>
        </row>
        <row r="387">
          <cell r="A387">
            <v>2</v>
          </cell>
          <cell r="B387" t="str">
            <v>DITTO, BUT INDOOR TYPE, G-T #700-102</v>
          </cell>
          <cell r="C387">
            <v>4</v>
          </cell>
          <cell r="D387" t="str">
            <v>SET</v>
          </cell>
          <cell r="E387">
            <v>17800</v>
          </cell>
          <cell r="F387">
            <v>71200</v>
          </cell>
          <cell r="H387">
            <v>0</v>
          </cell>
          <cell r="I387">
            <v>10</v>
          </cell>
          <cell r="J387">
            <v>40</v>
          </cell>
          <cell r="K387">
            <v>17800</v>
          </cell>
          <cell r="L387">
            <v>71200</v>
          </cell>
          <cell r="M387">
            <v>0</v>
          </cell>
          <cell r="N387">
            <v>0</v>
          </cell>
          <cell r="O387">
            <v>2800</v>
          </cell>
          <cell r="P387">
            <v>11200</v>
          </cell>
        </row>
        <row r="388">
          <cell r="A388">
            <v>3</v>
          </cell>
          <cell r="B388" t="str">
            <v>DITTO, BUT DESK MOUNT. TYPE, G-T #726-102</v>
          </cell>
          <cell r="C388">
            <v>1</v>
          </cell>
          <cell r="D388" t="str">
            <v>SET</v>
          </cell>
          <cell r="E388">
            <v>23000</v>
          </cell>
          <cell r="F388">
            <v>23000</v>
          </cell>
          <cell r="H388">
            <v>0</v>
          </cell>
          <cell r="I388">
            <v>12</v>
          </cell>
          <cell r="J388">
            <v>12</v>
          </cell>
          <cell r="K388">
            <v>23000</v>
          </cell>
          <cell r="L388">
            <v>23000</v>
          </cell>
          <cell r="M388">
            <v>0</v>
          </cell>
          <cell r="N388">
            <v>0</v>
          </cell>
          <cell r="O388">
            <v>3360</v>
          </cell>
          <cell r="P388">
            <v>3360</v>
          </cell>
        </row>
        <row r="389">
          <cell r="A389">
            <v>4</v>
          </cell>
          <cell r="B389" t="str">
            <v xml:space="preserve"> HOT DIPPED GALVANIZED STEEL SUPPORT, C100</v>
          </cell>
          <cell r="C389">
            <v>10</v>
          </cell>
          <cell r="D389" t="str">
            <v>SET</v>
          </cell>
          <cell r="E389">
            <v>1500</v>
          </cell>
          <cell r="F389">
            <v>15000</v>
          </cell>
          <cell r="H389">
            <v>0</v>
          </cell>
          <cell r="I389">
            <v>4</v>
          </cell>
          <cell r="J389">
            <v>40</v>
          </cell>
          <cell r="K389">
            <v>1500</v>
          </cell>
          <cell r="L389">
            <v>15000</v>
          </cell>
          <cell r="M389">
            <v>0</v>
          </cell>
          <cell r="N389">
            <v>0</v>
          </cell>
          <cell r="O389">
            <v>1120</v>
          </cell>
          <cell r="P389">
            <v>11200</v>
          </cell>
        </row>
        <row r="390">
          <cell r="B390" t="str">
            <v>3M LG., W/ SMALL FOUNDATION</v>
          </cell>
          <cell r="F390">
            <v>0</v>
          </cell>
          <cell r="H390">
            <v>0</v>
          </cell>
          <cell r="J390">
            <v>0</v>
          </cell>
          <cell r="K390">
            <v>0</v>
          </cell>
          <cell r="L390">
            <v>0</v>
          </cell>
          <cell r="M390">
            <v>0</v>
          </cell>
          <cell r="N390">
            <v>0</v>
          </cell>
          <cell r="O390">
            <v>0</v>
          </cell>
          <cell r="P390">
            <v>0</v>
          </cell>
        </row>
        <row r="391">
          <cell r="A391">
            <v>5</v>
          </cell>
          <cell r="B391" t="str">
            <v xml:space="preserve"> DRIVER, W/MOLDED LEXAN FOR DIV. 2 G-T </v>
          </cell>
          <cell r="C391">
            <v>16</v>
          </cell>
          <cell r="D391" t="str">
            <v>SET</v>
          </cell>
          <cell r="E391">
            <v>3300</v>
          </cell>
          <cell r="F391">
            <v>52800</v>
          </cell>
          <cell r="H391">
            <v>0</v>
          </cell>
          <cell r="I391">
            <v>3</v>
          </cell>
          <cell r="J391">
            <v>48</v>
          </cell>
          <cell r="K391">
            <v>3300</v>
          </cell>
          <cell r="L391">
            <v>52800</v>
          </cell>
          <cell r="M391">
            <v>0</v>
          </cell>
          <cell r="N391">
            <v>0</v>
          </cell>
          <cell r="O391">
            <v>840</v>
          </cell>
          <cell r="P391">
            <v>13440</v>
          </cell>
        </row>
        <row r="392">
          <cell r="B392" t="str">
            <v xml:space="preserve"> 13314-001</v>
          </cell>
          <cell r="F392">
            <v>0</v>
          </cell>
          <cell r="H392">
            <v>0</v>
          </cell>
          <cell r="J392">
            <v>0</v>
          </cell>
          <cell r="K392">
            <v>0</v>
          </cell>
          <cell r="L392">
            <v>0</v>
          </cell>
          <cell r="M392">
            <v>0</v>
          </cell>
          <cell r="N392">
            <v>0</v>
          </cell>
          <cell r="O392">
            <v>0</v>
          </cell>
          <cell r="P392">
            <v>0</v>
          </cell>
        </row>
        <row r="393">
          <cell r="A393">
            <v>6</v>
          </cell>
          <cell r="B393" t="str">
            <v xml:space="preserve"> HORN SPEAKER W/ EPOXY G-T 13304-002</v>
          </cell>
          <cell r="C393">
            <v>16</v>
          </cell>
          <cell r="D393" t="str">
            <v>SET</v>
          </cell>
          <cell r="E393">
            <v>6000</v>
          </cell>
          <cell r="F393">
            <v>96000</v>
          </cell>
          <cell r="H393">
            <v>0</v>
          </cell>
          <cell r="I393">
            <v>5</v>
          </cell>
          <cell r="J393">
            <v>80</v>
          </cell>
          <cell r="K393">
            <v>6000</v>
          </cell>
          <cell r="L393">
            <v>96000</v>
          </cell>
          <cell r="M393">
            <v>0</v>
          </cell>
          <cell r="N393">
            <v>0</v>
          </cell>
          <cell r="O393">
            <v>1400</v>
          </cell>
          <cell r="P393">
            <v>22400</v>
          </cell>
        </row>
        <row r="394">
          <cell r="B394" t="str">
            <v xml:space="preserve"> MOUNTING ASSEMBLY, G-T 411A1SPL</v>
          </cell>
          <cell r="F394">
            <v>0</v>
          </cell>
          <cell r="H394">
            <v>0</v>
          </cell>
          <cell r="J394">
            <v>0</v>
          </cell>
          <cell r="K394">
            <v>0</v>
          </cell>
          <cell r="L394">
            <v>0</v>
          </cell>
          <cell r="M394">
            <v>0</v>
          </cell>
          <cell r="N394">
            <v>0</v>
          </cell>
          <cell r="O394">
            <v>0</v>
          </cell>
          <cell r="P394">
            <v>0</v>
          </cell>
        </row>
        <row r="395">
          <cell r="A395">
            <v>7</v>
          </cell>
          <cell r="B395" t="str">
            <v xml:space="preserve"> LINE BALANCE UNIT G-T 305-001 OR EQUAL</v>
          </cell>
          <cell r="C395">
            <v>1</v>
          </cell>
          <cell r="D395" t="str">
            <v>SET</v>
          </cell>
          <cell r="E395">
            <v>2600</v>
          </cell>
          <cell r="F395">
            <v>2600</v>
          </cell>
          <cell r="H395">
            <v>0</v>
          </cell>
          <cell r="I395">
            <v>4</v>
          </cell>
          <cell r="J395">
            <v>4</v>
          </cell>
          <cell r="K395">
            <v>2600</v>
          </cell>
          <cell r="L395">
            <v>2600</v>
          </cell>
          <cell r="M395">
            <v>0</v>
          </cell>
          <cell r="N395">
            <v>0</v>
          </cell>
          <cell r="O395">
            <v>1120</v>
          </cell>
          <cell r="P395">
            <v>1120</v>
          </cell>
        </row>
        <row r="396">
          <cell r="A396">
            <v>8</v>
          </cell>
          <cell r="B396" t="str">
            <v xml:space="preserve"> CABLE, OVERALL &amp; INDIVIDUAL SHIELDED, 300V 8P-#14AWG</v>
          </cell>
          <cell r="C396">
            <v>2700</v>
          </cell>
          <cell r="D396" t="str">
            <v>M</v>
          </cell>
          <cell r="E396">
            <v>137</v>
          </cell>
          <cell r="F396">
            <v>369900</v>
          </cell>
          <cell r="H396">
            <v>0</v>
          </cell>
          <cell r="I396">
            <v>0.17799999999999999</v>
          </cell>
          <cell r="J396">
            <v>481</v>
          </cell>
          <cell r="K396">
            <v>137</v>
          </cell>
          <cell r="L396">
            <v>369900</v>
          </cell>
          <cell r="M396">
            <v>0</v>
          </cell>
          <cell r="N396">
            <v>0</v>
          </cell>
          <cell r="O396">
            <v>50</v>
          </cell>
          <cell r="P396">
            <v>135000</v>
          </cell>
        </row>
        <row r="397">
          <cell r="A397">
            <v>9</v>
          </cell>
          <cell r="B397" t="str">
            <v>XLPE CABLE 3C-3.5SQ.MM</v>
          </cell>
          <cell r="C397">
            <v>2800</v>
          </cell>
          <cell r="D397" t="str">
            <v>M</v>
          </cell>
          <cell r="E397">
            <v>15</v>
          </cell>
          <cell r="F397">
            <v>42000</v>
          </cell>
          <cell r="H397">
            <v>0</v>
          </cell>
          <cell r="I397">
            <v>7.9000000000000001E-2</v>
          </cell>
          <cell r="J397">
            <v>221</v>
          </cell>
          <cell r="K397">
            <v>15</v>
          </cell>
          <cell r="L397">
            <v>42000</v>
          </cell>
          <cell r="M397">
            <v>0</v>
          </cell>
          <cell r="N397">
            <v>0</v>
          </cell>
          <cell r="O397">
            <v>22</v>
          </cell>
          <cell r="P397">
            <v>61600</v>
          </cell>
        </row>
        <row r="398">
          <cell r="A398">
            <v>10</v>
          </cell>
          <cell r="B398" t="str">
            <v xml:space="preserve"> SPEAKER CABLE, TWISTED PAIR #18 AWG</v>
          </cell>
          <cell r="C398">
            <v>50</v>
          </cell>
          <cell r="D398" t="str">
            <v>M</v>
          </cell>
          <cell r="E398">
            <v>12</v>
          </cell>
          <cell r="F398">
            <v>600</v>
          </cell>
          <cell r="H398">
            <v>0</v>
          </cell>
          <cell r="I398">
            <v>6.2E-2</v>
          </cell>
          <cell r="J398">
            <v>3</v>
          </cell>
          <cell r="K398">
            <v>12</v>
          </cell>
          <cell r="L398">
            <v>600</v>
          </cell>
          <cell r="M398">
            <v>0</v>
          </cell>
          <cell r="N398">
            <v>0</v>
          </cell>
          <cell r="O398">
            <v>17</v>
          </cell>
          <cell r="P398">
            <v>850</v>
          </cell>
        </row>
        <row r="399">
          <cell r="A399">
            <v>11</v>
          </cell>
          <cell r="B399" t="str">
            <v>RSG CONDUIT, 2"</v>
          </cell>
          <cell r="C399">
            <v>100</v>
          </cell>
          <cell r="D399" t="str">
            <v>M</v>
          </cell>
          <cell r="E399">
            <v>105</v>
          </cell>
          <cell r="F399">
            <v>10500</v>
          </cell>
          <cell r="H399">
            <v>0</v>
          </cell>
          <cell r="I399">
            <v>0.98</v>
          </cell>
          <cell r="J399">
            <v>98</v>
          </cell>
          <cell r="K399">
            <v>105</v>
          </cell>
          <cell r="L399">
            <v>10500</v>
          </cell>
          <cell r="M399">
            <v>0</v>
          </cell>
          <cell r="N399">
            <v>0</v>
          </cell>
          <cell r="O399">
            <v>274</v>
          </cell>
          <cell r="P399">
            <v>27400</v>
          </cell>
        </row>
        <row r="400">
          <cell r="A400">
            <v>12</v>
          </cell>
          <cell r="B400" t="str">
            <v>DITTO BUT 3/4"</v>
          </cell>
          <cell r="C400">
            <v>50</v>
          </cell>
          <cell r="D400" t="str">
            <v>M</v>
          </cell>
          <cell r="E400">
            <v>32</v>
          </cell>
          <cell r="F400">
            <v>1600</v>
          </cell>
          <cell r="H400">
            <v>0</v>
          </cell>
          <cell r="I400">
            <v>0.47</v>
          </cell>
          <cell r="J400">
            <v>24</v>
          </cell>
          <cell r="K400">
            <v>32</v>
          </cell>
          <cell r="L400">
            <v>1600</v>
          </cell>
          <cell r="M400">
            <v>0</v>
          </cell>
          <cell r="N400">
            <v>0</v>
          </cell>
          <cell r="O400">
            <v>132</v>
          </cell>
          <cell r="P400">
            <v>6600</v>
          </cell>
        </row>
        <row r="401">
          <cell r="A401">
            <v>13</v>
          </cell>
          <cell r="B401" t="str">
            <v xml:space="preserve"> FLEXIBLE CONDUIT, 3/4", 1M LG, W/ TWO CONNECTOR</v>
          </cell>
          <cell r="C401">
            <v>16</v>
          </cell>
          <cell r="D401" t="str">
            <v>M</v>
          </cell>
          <cell r="E401">
            <v>81</v>
          </cell>
          <cell r="F401">
            <v>1296</v>
          </cell>
          <cell r="H401">
            <v>0</v>
          </cell>
          <cell r="I401">
            <v>0.56000000000000005</v>
          </cell>
          <cell r="J401">
            <v>9</v>
          </cell>
          <cell r="K401">
            <v>81</v>
          </cell>
          <cell r="L401">
            <v>1296</v>
          </cell>
          <cell r="M401">
            <v>0</v>
          </cell>
          <cell r="N401">
            <v>0</v>
          </cell>
          <cell r="O401">
            <v>157</v>
          </cell>
          <cell r="P401">
            <v>2512</v>
          </cell>
        </row>
        <row r="402">
          <cell r="A402">
            <v>14</v>
          </cell>
          <cell r="B402" t="str">
            <v xml:space="preserve"> HOT DIPPED GALVANIZED CONDUIT FITTING, UNION,</v>
          </cell>
          <cell r="C402">
            <v>1</v>
          </cell>
          <cell r="D402" t="str">
            <v>LOT</v>
          </cell>
          <cell r="E402">
            <v>36300</v>
          </cell>
          <cell r="F402">
            <v>36300</v>
          </cell>
          <cell r="H402">
            <v>0</v>
          </cell>
          <cell r="I402">
            <v>61</v>
          </cell>
          <cell r="J402">
            <v>61</v>
          </cell>
          <cell r="K402">
            <v>36300</v>
          </cell>
          <cell r="L402">
            <v>36300</v>
          </cell>
          <cell r="M402">
            <v>0</v>
          </cell>
          <cell r="N402">
            <v>0</v>
          </cell>
          <cell r="O402">
            <v>17080</v>
          </cell>
          <cell r="P402">
            <v>17080</v>
          </cell>
        </row>
        <row r="403">
          <cell r="B403" t="str">
            <v>SEALING FITTING</v>
          </cell>
          <cell r="F403">
            <v>0</v>
          </cell>
          <cell r="H403">
            <v>0</v>
          </cell>
          <cell r="J403">
            <v>0</v>
          </cell>
          <cell r="K403">
            <v>0</v>
          </cell>
          <cell r="L403">
            <v>0</v>
          </cell>
          <cell r="M403">
            <v>0</v>
          </cell>
          <cell r="N403">
            <v>0</v>
          </cell>
          <cell r="O403">
            <v>0</v>
          </cell>
          <cell r="P403">
            <v>0</v>
          </cell>
        </row>
        <row r="404">
          <cell r="A404">
            <v>15</v>
          </cell>
          <cell r="B404" t="str">
            <v>HOT DIPPED GALVALNIZED STEEL U-CHANNEL 41x41x2.0t</v>
          </cell>
          <cell r="C404">
            <v>15</v>
          </cell>
          <cell r="D404" t="str">
            <v>M</v>
          </cell>
          <cell r="E404">
            <v>82</v>
          </cell>
          <cell r="F404">
            <v>1230</v>
          </cell>
          <cell r="H404">
            <v>0</v>
          </cell>
          <cell r="I404">
            <v>0.40699999999999997</v>
          </cell>
          <cell r="J404">
            <v>6</v>
          </cell>
          <cell r="K404">
            <v>82</v>
          </cell>
          <cell r="L404">
            <v>1230</v>
          </cell>
          <cell r="M404">
            <v>0</v>
          </cell>
          <cell r="N404">
            <v>0</v>
          </cell>
          <cell r="O404">
            <v>114</v>
          </cell>
          <cell r="P404">
            <v>1710</v>
          </cell>
        </row>
        <row r="405">
          <cell r="A405">
            <v>16</v>
          </cell>
          <cell r="B405" t="str">
            <v>VHF PORTABLE MARINE BAND EXP-PROOF WALKY-TALKY</v>
          </cell>
          <cell r="C405">
            <v>2</v>
          </cell>
          <cell r="D405" t="str">
            <v>SET</v>
          </cell>
          <cell r="E405">
            <v>20000</v>
          </cell>
          <cell r="F405">
            <v>40000</v>
          </cell>
          <cell r="H405">
            <v>0</v>
          </cell>
          <cell r="J405">
            <v>0</v>
          </cell>
          <cell r="K405">
            <v>20000</v>
          </cell>
          <cell r="L405">
            <v>40000</v>
          </cell>
          <cell r="M405">
            <v>0</v>
          </cell>
          <cell r="N405">
            <v>0</v>
          </cell>
          <cell r="O405">
            <v>0</v>
          </cell>
          <cell r="P405">
            <v>0</v>
          </cell>
        </row>
        <row r="406">
          <cell r="A406">
            <v>17</v>
          </cell>
          <cell r="B406" t="str">
            <v xml:space="preserve"> MISCELLANEOUS MATERIALS </v>
          </cell>
          <cell r="C406">
            <v>1</v>
          </cell>
          <cell r="D406" t="str">
            <v>LOT</v>
          </cell>
          <cell r="E406">
            <v>48051.3</v>
          </cell>
          <cell r="F406">
            <v>48051</v>
          </cell>
          <cell r="H406">
            <v>0</v>
          </cell>
          <cell r="I406">
            <v>62.35</v>
          </cell>
          <cell r="J406">
            <v>62</v>
          </cell>
          <cell r="K406">
            <v>48051</v>
          </cell>
          <cell r="L406">
            <v>48051</v>
          </cell>
          <cell r="M406">
            <v>0</v>
          </cell>
          <cell r="N406">
            <v>0</v>
          </cell>
          <cell r="O406">
            <v>17458</v>
          </cell>
          <cell r="P406">
            <v>17458</v>
          </cell>
        </row>
        <row r="407">
          <cell r="B407" t="str">
            <v>SUB-TOTAL : (F)</v>
          </cell>
          <cell r="F407">
            <v>1009077</v>
          </cell>
          <cell r="H407">
            <v>0</v>
          </cell>
          <cell r="J407">
            <v>1309</v>
          </cell>
          <cell r="K407">
            <v>0</v>
          </cell>
          <cell r="L407">
            <v>1009077</v>
          </cell>
          <cell r="M407">
            <v>0</v>
          </cell>
          <cell r="N407">
            <v>0</v>
          </cell>
          <cell r="O407">
            <v>0</v>
          </cell>
          <cell r="P407">
            <v>366530</v>
          </cell>
        </row>
        <row r="408">
          <cell r="F408">
            <v>0</v>
          </cell>
          <cell r="H408">
            <v>0</v>
          </cell>
          <cell r="J408">
            <v>0</v>
          </cell>
          <cell r="K408">
            <v>0</v>
          </cell>
          <cell r="L408">
            <v>0</v>
          </cell>
          <cell r="M408">
            <v>0</v>
          </cell>
          <cell r="N408">
            <v>0</v>
          </cell>
          <cell r="O408">
            <v>0</v>
          </cell>
          <cell r="P408">
            <v>0</v>
          </cell>
        </row>
        <row r="409">
          <cell r="F409">
            <v>0</v>
          </cell>
          <cell r="H409">
            <v>0</v>
          </cell>
          <cell r="J409">
            <v>0</v>
          </cell>
          <cell r="K409">
            <v>0</v>
          </cell>
          <cell r="L409">
            <v>0</v>
          </cell>
          <cell r="M409">
            <v>0</v>
          </cell>
          <cell r="N409">
            <v>0</v>
          </cell>
          <cell r="O409">
            <v>0</v>
          </cell>
          <cell r="P409">
            <v>0</v>
          </cell>
        </row>
        <row r="410">
          <cell r="A410" t="str">
            <v>G.</v>
          </cell>
          <cell r="B410" t="str">
            <v>CCTV SYSTEM</v>
          </cell>
          <cell r="D410">
            <v>0</v>
          </cell>
          <cell r="F410">
            <v>0</v>
          </cell>
          <cell r="H410">
            <v>0</v>
          </cell>
          <cell r="J410">
            <v>0</v>
          </cell>
          <cell r="K410">
            <v>0</v>
          </cell>
          <cell r="L410">
            <v>0</v>
          </cell>
          <cell r="M410">
            <v>0</v>
          </cell>
          <cell r="N410">
            <v>0</v>
          </cell>
          <cell r="O410">
            <v>0</v>
          </cell>
          <cell r="P410">
            <v>0</v>
          </cell>
        </row>
        <row r="411">
          <cell r="A411">
            <v>1</v>
          </cell>
          <cell r="B411" t="str">
            <v xml:space="preserve"> 20" BLACK-AND-WHITE VEDIO MONITOR,  </v>
          </cell>
          <cell r="C411">
            <v>1</v>
          </cell>
          <cell r="D411" t="str">
            <v>SET</v>
          </cell>
          <cell r="E411">
            <v>9450</v>
          </cell>
          <cell r="F411">
            <v>9450</v>
          </cell>
          <cell r="H411">
            <v>0</v>
          </cell>
          <cell r="I411">
            <v>4</v>
          </cell>
          <cell r="J411">
            <v>4</v>
          </cell>
          <cell r="K411">
            <v>9450</v>
          </cell>
          <cell r="L411">
            <v>9450</v>
          </cell>
          <cell r="M411">
            <v>0</v>
          </cell>
          <cell r="N411">
            <v>0</v>
          </cell>
          <cell r="O411">
            <v>1120</v>
          </cell>
          <cell r="P411">
            <v>1120</v>
          </cell>
        </row>
        <row r="412">
          <cell r="A412">
            <v>2</v>
          </cell>
          <cell r="B412" t="str">
            <v xml:space="preserve"> BLACK-AND-WHITE CAMERA,1/2 CCD</v>
          </cell>
          <cell r="C412">
            <v>6</v>
          </cell>
          <cell r="D412" t="str">
            <v>SET</v>
          </cell>
          <cell r="E412">
            <v>8100</v>
          </cell>
          <cell r="F412">
            <v>48600</v>
          </cell>
          <cell r="H412">
            <v>0</v>
          </cell>
          <cell r="I412">
            <v>8</v>
          </cell>
          <cell r="J412">
            <v>48</v>
          </cell>
          <cell r="K412">
            <v>8100</v>
          </cell>
          <cell r="L412">
            <v>48600</v>
          </cell>
          <cell r="M412">
            <v>0</v>
          </cell>
          <cell r="N412">
            <v>0</v>
          </cell>
          <cell r="O412">
            <v>2240</v>
          </cell>
          <cell r="P412">
            <v>13440</v>
          </cell>
        </row>
        <row r="413">
          <cell r="A413">
            <v>3</v>
          </cell>
          <cell r="B413" t="str">
            <v xml:space="preserve"> MOTORIZED LENS, 10X, AUTO IRIS/FOCUS</v>
          </cell>
          <cell r="C413">
            <v>2</v>
          </cell>
          <cell r="D413" t="str">
            <v>PCS</v>
          </cell>
          <cell r="E413">
            <v>18900</v>
          </cell>
          <cell r="F413">
            <v>37800</v>
          </cell>
          <cell r="H413">
            <v>0</v>
          </cell>
          <cell r="I413">
            <v>2</v>
          </cell>
          <cell r="J413">
            <v>4</v>
          </cell>
          <cell r="K413">
            <v>18900</v>
          </cell>
          <cell r="L413">
            <v>37800</v>
          </cell>
          <cell r="M413">
            <v>0</v>
          </cell>
          <cell r="N413">
            <v>0</v>
          </cell>
          <cell r="O413">
            <v>560</v>
          </cell>
          <cell r="P413">
            <v>1120</v>
          </cell>
        </row>
        <row r="414">
          <cell r="A414">
            <v>4</v>
          </cell>
          <cell r="B414" t="str">
            <v xml:space="preserve"> FIXED LENS, AUTO IRIS 16 mm, </v>
          </cell>
          <cell r="C414">
            <v>4</v>
          </cell>
          <cell r="D414" t="str">
            <v>PCS</v>
          </cell>
          <cell r="E414">
            <v>4050</v>
          </cell>
          <cell r="F414">
            <v>16200</v>
          </cell>
          <cell r="H414">
            <v>0</v>
          </cell>
          <cell r="I414">
            <v>2</v>
          </cell>
          <cell r="J414">
            <v>8</v>
          </cell>
          <cell r="K414">
            <v>4050</v>
          </cell>
          <cell r="L414">
            <v>16200</v>
          </cell>
          <cell r="M414">
            <v>0</v>
          </cell>
          <cell r="N414">
            <v>0</v>
          </cell>
          <cell r="O414">
            <v>560</v>
          </cell>
          <cell r="P414">
            <v>2240</v>
          </cell>
        </row>
        <row r="415">
          <cell r="A415">
            <v>5</v>
          </cell>
          <cell r="B415" t="str">
            <v xml:space="preserve"> EXPLOSION ROOF HOUSING</v>
          </cell>
          <cell r="C415">
            <v>4</v>
          </cell>
          <cell r="D415" t="str">
            <v>SET</v>
          </cell>
          <cell r="E415">
            <v>148500</v>
          </cell>
          <cell r="F415">
            <v>594000</v>
          </cell>
          <cell r="H415">
            <v>0</v>
          </cell>
          <cell r="I415">
            <v>8</v>
          </cell>
          <cell r="J415">
            <v>32</v>
          </cell>
          <cell r="K415">
            <v>148500</v>
          </cell>
          <cell r="L415">
            <v>594000</v>
          </cell>
          <cell r="M415">
            <v>0</v>
          </cell>
          <cell r="N415">
            <v>0</v>
          </cell>
          <cell r="O415">
            <v>2240</v>
          </cell>
          <cell r="P415">
            <v>8960</v>
          </cell>
        </row>
        <row r="416">
          <cell r="A416">
            <v>6</v>
          </cell>
          <cell r="B416" t="str">
            <v>WEATHER PROOF HOUSING</v>
          </cell>
          <cell r="C416">
            <v>2</v>
          </cell>
          <cell r="D416" t="str">
            <v>SET</v>
          </cell>
          <cell r="E416">
            <v>49500</v>
          </cell>
          <cell r="F416">
            <v>99000</v>
          </cell>
          <cell r="H416">
            <v>0</v>
          </cell>
          <cell r="I416">
            <v>6</v>
          </cell>
          <cell r="J416">
            <v>12</v>
          </cell>
          <cell r="K416">
            <v>49500</v>
          </cell>
          <cell r="L416">
            <v>99000</v>
          </cell>
          <cell r="M416">
            <v>0</v>
          </cell>
          <cell r="N416">
            <v>0</v>
          </cell>
          <cell r="O416">
            <v>1680</v>
          </cell>
          <cell r="P416">
            <v>3360</v>
          </cell>
        </row>
        <row r="417">
          <cell r="A417">
            <v>7</v>
          </cell>
          <cell r="B417" t="str">
            <v xml:space="preserve"> PAN-AND-TILT DRIVER, CL.1 DIV.2</v>
          </cell>
          <cell r="C417">
            <v>2</v>
          </cell>
          <cell r="D417" t="str">
            <v>SET</v>
          </cell>
          <cell r="E417">
            <v>148500</v>
          </cell>
          <cell r="F417">
            <v>297000</v>
          </cell>
          <cell r="H417">
            <v>0</v>
          </cell>
          <cell r="I417">
            <v>8</v>
          </cell>
          <cell r="J417">
            <v>16</v>
          </cell>
          <cell r="K417">
            <v>148500</v>
          </cell>
          <cell r="L417">
            <v>297000</v>
          </cell>
          <cell r="M417">
            <v>0</v>
          </cell>
          <cell r="N417">
            <v>0</v>
          </cell>
          <cell r="O417">
            <v>2240</v>
          </cell>
          <cell r="P417">
            <v>4480</v>
          </cell>
        </row>
        <row r="418">
          <cell r="A418">
            <v>8</v>
          </cell>
          <cell r="B418" t="str">
            <v>24 hr  VCR</v>
          </cell>
          <cell r="C418">
            <v>1</v>
          </cell>
          <cell r="D418" t="str">
            <v>SET</v>
          </cell>
          <cell r="E418">
            <v>45000</v>
          </cell>
          <cell r="F418">
            <v>45000</v>
          </cell>
          <cell r="H418">
            <v>0</v>
          </cell>
          <cell r="I418">
            <v>8</v>
          </cell>
          <cell r="J418">
            <v>8</v>
          </cell>
          <cell r="K418">
            <v>45000</v>
          </cell>
          <cell r="L418">
            <v>45000</v>
          </cell>
          <cell r="M418">
            <v>0</v>
          </cell>
          <cell r="N418">
            <v>0</v>
          </cell>
          <cell r="O418">
            <v>2240</v>
          </cell>
          <cell r="P418">
            <v>2240</v>
          </cell>
        </row>
        <row r="419">
          <cell r="A419">
            <v>9</v>
          </cell>
          <cell r="B419" t="str">
            <v>CONTROL SIGNAL DISTRIBUTION UNIT, 5 CHANNEL</v>
          </cell>
          <cell r="C419">
            <v>1</v>
          </cell>
          <cell r="D419" t="str">
            <v>SET</v>
          </cell>
          <cell r="E419">
            <v>45000</v>
          </cell>
          <cell r="F419">
            <v>45000</v>
          </cell>
          <cell r="H419">
            <v>0</v>
          </cell>
          <cell r="I419">
            <v>8</v>
          </cell>
          <cell r="J419">
            <v>8</v>
          </cell>
          <cell r="K419">
            <v>45000</v>
          </cell>
          <cell r="L419">
            <v>45000</v>
          </cell>
          <cell r="M419">
            <v>0</v>
          </cell>
          <cell r="N419">
            <v>0</v>
          </cell>
          <cell r="O419">
            <v>2240</v>
          </cell>
          <cell r="P419">
            <v>2240</v>
          </cell>
        </row>
        <row r="420">
          <cell r="A420">
            <v>10</v>
          </cell>
          <cell r="B420" t="str">
            <v>VEDIO MULTIPLEXER, 9-CHANNEL</v>
          </cell>
          <cell r="C420">
            <v>1</v>
          </cell>
          <cell r="D420" t="str">
            <v>SET</v>
          </cell>
          <cell r="E420">
            <v>32000</v>
          </cell>
          <cell r="F420">
            <v>32000</v>
          </cell>
          <cell r="H420">
            <v>0</v>
          </cell>
          <cell r="I420">
            <v>20</v>
          </cell>
          <cell r="J420">
            <v>20</v>
          </cell>
          <cell r="K420">
            <v>32000</v>
          </cell>
          <cell r="L420">
            <v>32000</v>
          </cell>
          <cell r="M420">
            <v>0</v>
          </cell>
          <cell r="N420">
            <v>0</v>
          </cell>
          <cell r="O420">
            <v>5600</v>
          </cell>
          <cell r="P420">
            <v>5600</v>
          </cell>
        </row>
        <row r="421">
          <cell r="A421">
            <v>11</v>
          </cell>
          <cell r="B421" t="str">
            <v xml:space="preserve"> VIDEO COXIAL CABLE, PWC 7C2V OR EQUAL</v>
          </cell>
          <cell r="C421">
            <v>2000</v>
          </cell>
          <cell r="D421" t="str">
            <v>M</v>
          </cell>
          <cell r="E421">
            <v>16</v>
          </cell>
          <cell r="F421">
            <v>32000</v>
          </cell>
          <cell r="H421">
            <v>0</v>
          </cell>
          <cell r="I421">
            <v>0.1</v>
          </cell>
          <cell r="J421">
            <v>200</v>
          </cell>
          <cell r="K421">
            <v>16</v>
          </cell>
          <cell r="L421">
            <v>32000</v>
          </cell>
          <cell r="M421">
            <v>0</v>
          </cell>
          <cell r="N421">
            <v>0</v>
          </cell>
          <cell r="O421">
            <v>28</v>
          </cell>
          <cell r="P421">
            <v>56000</v>
          </cell>
        </row>
        <row r="422">
          <cell r="A422">
            <v>12</v>
          </cell>
          <cell r="B422" t="str">
            <v>SHIELDED CABLE, 8C-1.25 SQ.MM</v>
          </cell>
          <cell r="C422">
            <v>1600</v>
          </cell>
          <cell r="D422" t="str">
            <v>M</v>
          </cell>
          <cell r="E422">
            <v>32</v>
          </cell>
          <cell r="F422">
            <v>51200</v>
          </cell>
          <cell r="H422">
            <v>0</v>
          </cell>
          <cell r="I422">
            <v>7.0000000000000007E-2</v>
          </cell>
          <cell r="J422">
            <v>112</v>
          </cell>
          <cell r="K422">
            <v>32</v>
          </cell>
          <cell r="L422">
            <v>51200</v>
          </cell>
          <cell r="M422">
            <v>0</v>
          </cell>
          <cell r="N422">
            <v>0</v>
          </cell>
          <cell r="O422">
            <v>20</v>
          </cell>
          <cell r="P422">
            <v>32000</v>
          </cell>
        </row>
        <row r="423">
          <cell r="A423">
            <v>13</v>
          </cell>
          <cell r="B423" t="str">
            <v>600V XLPE CABLE, 3C-5.5 SQ.MM</v>
          </cell>
          <cell r="C423">
            <v>1500</v>
          </cell>
          <cell r="D423" t="str">
            <v>M</v>
          </cell>
          <cell r="E423">
            <v>20</v>
          </cell>
          <cell r="F423">
            <v>30000</v>
          </cell>
          <cell r="H423">
            <v>0</v>
          </cell>
          <cell r="I423">
            <v>0.1</v>
          </cell>
          <cell r="J423">
            <v>150</v>
          </cell>
          <cell r="K423">
            <v>20</v>
          </cell>
          <cell r="L423">
            <v>30000</v>
          </cell>
          <cell r="M423">
            <v>0</v>
          </cell>
          <cell r="N423">
            <v>0</v>
          </cell>
          <cell r="O423">
            <v>28</v>
          </cell>
          <cell r="P423">
            <v>42000</v>
          </cell>
        </row>
        <row r="424">
          <cell r="A424">
            <v>14</v>
          </cell>
          <cell r="B424" t="str">
            <v xml:space="preserve">JUNCTION BOX CL.1 DIV.2 GROUP D 250L x 250W x 150D </v>
          </cell>
          <cell r="C424">
            <v>4</v>
          </cell>
          <cell r="D424" t="str">
            <v>SET</v>
          </cell>
          <cell r="E424">
            <v>8000</v>
          </cell>
          <cell r="F424">
            <v>32000</v>
          </cell>
          <cell r="H424">
            <v>0</v>
          </cell>
          <cell r="I424">
            <v>4</v>
          </cell>
          <cell r="J424">
            <v>16</v>
          </cell>
          <cell r="K424">
            <v>8000</v>
          </cell>
          <cell r="L424">
            <v>32000</v>
          </cell>
          <cell r="M424">
            <v>0</v>
          </cell>
          <cell r="N424">
            <v>0</v>
          </cell>
          <cell r="O424">
            <v>1120</v>
          </cell>
          <cell r="P424">
            <v>4480</v>
          </cell>
        </row>
        <row r="425">
          <cell r="A425">
            <v>15</v>
          </cell>
          <cell r="B425" t="str">
            <v xml:space="preserve">JUNCTION BOX WEATHER PROOF 250L x 250W x 150D </v>
          </cell>
          <cell r="C425">
            <v>2</v>
          </cell>
          <cell r="D425" t="str">
            <v>SET</v>
          </cell>
          <cell r="E425">
            <v>4000</v>
          </cell>
          <cell r="F425">
            <v>8000</v>
          </cell>
          <cell r="H425">
            <v>0</v>
          </cell>
          <cell r="I425">
            <v>3</v>
          </cell>
          <cell r="J425">
            <v>6</v>
          </cell>
          <cell r="K425">
            <v>4000</v>
          </cell>
          <cell r="L425">
            <v>8000</v>
          </cell>
          <cell r="M425">
            <v>0</v>
          </cell>
          <cell r="N425">
            <v>0</v>
          </cell>
          <cell r="O425">
            <v>840</v>
          </cell>
          <cell r="P425">
            <v>1680</v>
          </cell>
        </row>
        <row r="426">
          <cell r="A426">
            <v>16</v>
          </cell>
          <cell r="B426" t="str">
            <v>RSG CONDUIT, 2"</v>
          </cell>
          <cell r="C426">
            <v>250</v>
          </cell>
          <cell r="D426" t="str">
            <v>M</v>
          </cell>
          <cell r="E426">
            <v>105</v>
          </cell>
          <cell r="F426">
            <v>26250</v>
          </cell>
          <cell r="H426">
            <v>0</v>
          </cell>
          <cell r="I426">
            <v>0.98</v>
          </cell>
          <cell r="J426">
            <v>245</v>
          </cell>
          <cell r="K426">
            <v>105</v>
          </cell>
          <cell r="L426">
            <v>26250</v>
          </cell>
          <cell r="M426">
            <v>0</v>
          </cell>
          <cell r="N426">
            <v>0</v>
          </cell>
          <cell r="O426">
            <v>274</v>
          </cell>
          <cell r="P426">
            <v>68500</v>
          </cell>
        </row>
        <row r="427">
          <cell r="A427">
            <v>17</v>
          </cell>
          <cell r="B427" t="str">
            <v>HOT DIPPED GALVALNIZED STEEL U-CHANNEL 41x41x2.0t</v>
          </cell>
          <cell r="C427">
            <v>15</v>
          </cell>
          <cell r="D427" t="str">
            <v>M</v>
          </cell>
          <cell r="E427">
            <v>82</v>
          </cell>
          <cell r="F427">
            <v>1230</v>
          </cell>
          <cell r="H427">
            <v>0</v>
          </cell>
          <cell r="I427">
            <v>0.40699999999999997</v>
          </cell>
          <cell r="J427">
            <v>6</v>
          </cell>
          <cell r="K427">
            <v>82</v>
          </cell>
          <cell r="L427">
            <v>1230</v>
          </cell>
          <cell r="M427">
            <v>0</v>
          </cell>
          <cell r="N427">
            <v>0</v>
          </cell>
          <cell r="O427">
            <v>114</v>
          </cell>
          <cell r="P427">
            <v>1710</v>
          </cell>
        </row>
        <row r="428">
          <cell r="A428">
            <v>18</v>
          </cell>
          <cell r="B428" t="str">
            <v xml:space="preserve">CAMERA SUPPORT, HOT DIPPED GALVANIZED STEEL </v>
          </cell>
          <cell r="C428">
            <v>4</v>
          </cell>
          <cell r="D428" t="str">
            <v>SET</v>
          </cell>
          <cell r="E428">
            <v>8100</v>
          </cell>
          <cell r="F428">
            <v>32400</v>
          </cell>
          <cell r="H428">
            <v>0</v>
          </cell>
          <cell r="I428">
            <v>4</v>
          </cell>
          <cell r="J428">
            <v>16</v>
          </cell>
          <cell r="K428">
            <v>8100</v>
          </cell>
          <cell r="L428">
            <v>32400</v>
          </cell>
          <cell r="M428">
            <v>0</v>
          </cell>
          <cell r="N428">
            <v>0</v>
          </cell>
          <cell r="O428">
            <v>1120</v>
          </cell>
          <cell r="P428">
            <v>4480</v>
          </cell>
        </row>
        <row r="429">
          <cell r="B429" t="str">
            <v>W/ COATING, WALL MOUNT. TYPE</v>
          </cell>
          <cell r="F429">
            <v>0</v>
          </cell>
          <cell r="H429">
            <v>0</v>
          </cell>
          <cell r="J429">
            <v>0</v>
          </cell>
          <cell r="K429">
            <v>0</v>
          </cell>
          <cell r="L429">
            <v>0</v>
          </cell>
          <cell r="M429">
            <v>0</v>
          </cell>
          <cell r="N429">
            <v>0</v>
          </cell>
          <cell r="O429">
            <v>0</v>
          </cell>
          <cell r="P429">
            <v>0</v>
          </cell>
        </row>
        <row r="430">
          <cell r="A430">
            <v>19</v>
          </cell>
          <cell r="B430" t="str">
            <v xml:space="preserve">CAMERA SUPPORT, HOT DIPPED GALVANIZED STEEL </v>
          </cell>
          <cell r="C430">
            <v>6</v>
          </cell>
          <cell r="D430" t="str">
            <v>SET</v>
          </cell>
          <cell r="E430">
            <v>14000</v>
          </cell>
          <cell r="F430">
            <v>84000</v>
          </cell>
          <cell r="H430">
            <v>0</v>
          </cell>
          <cell r="I430">
            <v>20</v>
          </cell>
          <cell r="J430">
            <v>120</v>
          </cell>
          <cell r="K430">
            <v>14000</v>
          </cell>
          <cell r="L430">
            <v>84000</v>
          </cell>
          <cell r="M430">
            <v>0</v>
          </cell>
          <cell r="N430">
            <v>0</v>
          </cell>
          <cell r="O430">
            <v>5600</v>
          </cell>
          <cell r="P430">
            <v>33600</v>
          </cell>
        </row>
        <row r="431">
          <cell r="B431" t="str">
            <v>W/ COATING, STANCHION TYPE, 3M H , W/FUNDATION</v>
          </cell>
          <cell r="F431">
            <v>0</v>
          </cell>
          <cell r="H431">
            <v>0</v>
          </cell>
          <cell r="J431">
            <v>0</v>
          </cell>
          <cell r="K431">
            <v>0</v>
          </cell>
          <cell r="L431">
            <v>0</v>
          </cell>
          <cell r="M431">
            <v>0</v>
          </cell>
          <cell r="N431">
            <v>0</v>
          </cell>
          <cell r="O431">
            <v>0</v>
          </cell>
          <cell r="P431">
            <v>0</v>
          </cell>
        </row>
        <row r="432">
          <cell r="A432">
            <v>20</v>
          </cell>
          <cell r="B432" t="str">
            <v xml:space="preserve"> HOT DIPPED GALVANIZED CONDUIT FITTING, UNION,</v>
          </cell>
          <cell r="C432">
            <v>1</v>
          </cell>
          <cell r="D432" t="str">
            <v>LOT</v>
          </cell>
          <cell r="E432">
            <v>78750</v>
          </cell>
          <cell r="F432">
            <v>78750</v>
          </cell>
          <cell r="H432">
            <v>0</v>
          </cell>
          <cell r="I432">
            <v>122.5</v>
          </cell>
          <cell r="J432">
            <v>123</v>
          </cell>
          <cell r="K432">
            <v>78750</v>
          </cell>
          <cell r="L432">
            <v>78750</v>
          </cell>
          <cell r="M432">
            <v>0</v>
          </cell>
          <cell r="N432">
            <v>0</v>
          </cell>
          <cell r="O432">
            <v>34300</v>
          </cell>
          <cell r="P432">
            <v>34300</v>
          </cell>
        </row>
        <row r="433">
          <cell r="B433" t="str">
            <v>SEALING FITTING</v>
          </cell>
          <cell r="F433">
            <v>0</v>
          </cell>
          <cell r="H433">
            <v>0</v>
          </cell>
          <cell r="J433">
            <v>0</v>
          </cell>
          <cell r="K433">
            <v>0</v>
          </cell>
          <cell r="L433">
            <v>0</v>
          </cell>
          <cell r="M433">
            <v>0</v>
          </cell>
          <cell r="N433">
            <v>0</v>
          </cell>
          <cell r="O433">
            <v>0</v>
          </cell>
          <cell r="P433">
            <v>0</v>
          </cell>
        </row>
        <row r="434">
          <cell r="A434">
            <v>21</v>
          </cell>
          <cell r="B434" t="str">
            <v>FIBER OPTIC CABLE CABLE , 1 FIBERS</v>
          </cell>
          <cell r="C434">
            <v>1250</v>
          </cell>
          <cell r="D434" t="str">
            <v>M</v>
          </cell>
          <cell r="E434">
            <v>38</v>
          </cell>
          <cell r="F434">
            <v>47500</v>
          </cell>
          <cell r="H434">
            <v>0</v>
          </cell>
          <cell r="I434">
            <v>0.1</v>
          </cell>
          <cell r="J434">
            <v>125</v>
          </cell>
          <cell r="K434">
            <v>38</v>
          </cell>
          <cell r="L434">
            <v>47500</v>
          </cell>
          <cell r="M434">
            <v>0</v>
          </cell>
          <cell r="N434">
            <v>0</v>
          </cell>
          <cell r="O434">
            <v>28</v>
          </cell>
          <cell r="P434">
            <v>35000</v>
          </cell>
        </row>
        <row r="435">
          <cell r="A435">
            <v>22</v>
          </cell>
          <cell r="B435" t="str">
            <v>FIBER OPTIC VIDEO SIGNAL RECEIVER</v>
          </cell>
          <cell r="C435">
            <v>1</v>
          </cell>
          <cell r="D435" t="str">
            <v>SET</v>
          </cell>
          <cell r="E435">
            <v>23400</v>
          </cell>
          <cell r="F435">
            <v>23400</v>
          </cell>
          <cell r="H435">
            <v>0</v>
          </cell>
          <cell r="I435">
            <v>4</v>
          </cell>
          <cell r="J435">
            <v>4</v>
          </cell>
          <cell r="K435">
            <v>23400</v>
          </cell>
          <cell r="L435">
            <v>23400</v>
          </cell>
          <cell r="M435">
            <v>0</v>
          </cell>
          <cell r="N435">
            <v>0</v>
          </cell>
          <cell r="O435">
            <v>1120</v>
          </cell>
          <cell r="P435">
            <v>1120</v>
          </cell>
        </row>
        <row r="436">
          <cell r="A436">
            <v>23</v>
          </cell>
          <cell r="B436" t="str">
            <v>FIBER OPTIC VIDEO SIGNAL TRANSMITER</v>
          </cell>
          <cell r="C436">
            <v>1</v>
          </cell>
          <cell r="D436" t="str">
            <v>SET</v>
          </cell>
          <cell r="E436">
            <v>25200</v>
          </cell>
          <cell r="F436">
            <v>25200</v>
          </cell>
          <cell r="H436">
            <v>0</v>
          </cell>
          <cell r="I436">
            <v>4</v>
          </cell>
          <cell r="J436">
            <v>4</v>
          </cell>
          <cell r="K436">
            <v>25200</v>
          </cell>
          <cell r="L436">
            <v>25200</v>
          </cell>
          <cell r="M436">
            <v>0</v>
          </cell>
          <cell r="N436">
            <v>0</v>
          </cell>
          <cell r="O436">
            <v>1120</v>
          </cell>
          <cell r="P436">
            <v>1120</v>
          </cell>
        </row>
        <row r="437">
          <cell r="A437">
            <v>24</v>
          </cell>
          <cell r="B437" t="str">
            <v xml:space="preserve"> MISCELLANEOUS MATERIALS</v>
          </cell>
          <cell r="C437">
            <v>1</v>
          </cell>
          <cell r="D437" t="str">
            <v>LOT</v>
          </cell>
          <cell r="E437">
            <v>50879.4</v>
          </cell>
          <cell r="F437">
            <v>50879</v>
          </cell>
          <cell r="H437">
            <v>0</v>
          </cell>
          <cell r="I437">
            <v>38.61</v>
          </cell>
          <cell r="J437">
            <v>39</v>
          </cell>
          <cell r="K437">
            <v>50879</v>
          </cell>
          <cell r="L437">
            <v>50879</v>
          </cell>
          <cell r="M437">
            <v>0</v>
          </cell>
          <cell r="N437">
            <v>0</v>
          </cell>
          <cell r="O437">
            <v>10811</v>
          </cell>
          <cell r="P437">
            <v>10811</v>
          </cell>
        </row>
        <row r="438">
          <cell r="B438" t="str">
            <v>SUB-TOTAL : (G)</v>
          </cell>
          <cell r="F438">
            <v>1746859</v>
          </cell>
          <cell r="H438">
            <v>0</v>
          </cell>
          <cell r="J438">
            <v>1326</v>
          </cell>
          <cell r="K438">
            <v>0</v>
          </cell>
          <cell r="L438">
            <v>1746859</v>
          </cell>
          <cell r="M438">
            <v>0</v>
          </cell>
          <cell r="N438">
            <v>0</v>
          </cell>
          <cell r="O438">
            <v>0</v>
          </cell>
          <cell r="P438">
            <v>371601</v>
          </cell>
        </row>
        <row r="439">
          <cell r="F439">
            <v>0</v>
          </cell>
          <cell r="H439">
            <v>0</v>
          </cell>
          <cell r="J439">
            <v>0</v>
          </cell>
          <cell r="K439">
            <v>0</v>
          </cell>
          <cell r="L439">
            <v>0</v>
          </cell>
          <cell r="M439">
            <v>0</v>
          </cell>
          <cell r="N439">
            <v>0</v>
          </cell>
          <cell r="O439">
            <v>0</v>
          </cell>
          <cell r="P439">
            <v>0</v>
          </cell>
        </row>
        <row r="440">
          <cell r="F440">
            <v>0</v>
          </cell>
          <cell r="H440">
            <v>0</v>
          </cell>
          <cell r="J440">
            <v>0</v>
          </cell>
          <cell r="K440">
            <v>0</v>
          </cell>
          <cell r="L440">
            <v>0</v>
          </cell>
          <cell r="M440">
            <v>0</v>
          </cell>
          <cell r="N440">
            <v>0</v>
          </cell>
          <cell r="O440">
            <v>0</v>
          </cell>
          <cell r="P440">
            <v>0</v>
          </cell>
        </row>
        <row r="441">
          <cell r="A441" t="str">
            <v>H.</v>
          </cell>
          <cell r="B441" t="str">
            <v xml:space="preserve"> CATHODIC PROTECTION SYSTEM </v>
          </cell>
          <cell r="F441">
            <v>0</v>
          </cell>
          <cell r="H441">
            <v>0</v>
          </cell>
          <cell r="J441">
            <v>0</v>
          </cell>
          <cell r="K441">
            <v>0</v>
          </cell>
          <cell r="L441">
            <v>0</v>
          </cell>
          <cell r="M441">
            <v>0</v>
          </cell>
          <cell r="N441">
            <v>0</v>
          </cell>
          <cell r="O441">
            <v>0</v>
          </cell>
          <cell r="P441">
            <v>0</v>
          </cell>
        </row>
        <row r="442">
          <cell r="A442">
            <v>1</v>
          </cell>
          <cell r="B442" t="str">
            <v>40LB型鎂犧牲陽極</v>
          </cell>
          <cell r="C442">
            <v>60</v>
          </cell>
          <cell r="D442" t="str">
            <v>SET</v>
          </cell>
          <cell r="E442">
            <v>8000</v>
          </cell>
          <cell r="F442">
            <v>480000</v>
          </cell>
          <cell r="H442">
            <v>0</v>
          </cell>
          <cell r="I442">
            <v>9</v>
          </cell>
          <cell r="J442">
            <v>540</v>
          </cell>
          <cell r="K442">
            <v>8000</v>
          </cell>
          <cell r="L442">
            <v>480000</v>
          </cell>
          <cell r="M442">
            <v>0</v>
          </cell>
          <cell r="N442">
            <v>0</v>
          </cell>
          <cell r="O442">
            <v>2520</v>
          </cell>
          <cell r="P442">
            <v>151200</v>
          </cell>
        </row>
        <row r="443">
          <cell r="A443">
            <v>2</v>
          </cell>
          <cell r="B443" t="str">
            <v xml:space="preserve">ZINC GROUNDING CELL, FOUR ANODE UNITS WITH </v>
          </cell>
          <cell r="C443">
            <v>5</v>
          </cell>
          <cell r="D443" t="str">
            <v>SET</v>
          </cell>
          <cell r="E443">
            <v>14000</v>
          </cell>
          <cell r="F443">
            <v>70000</v>
          </cell>
          <cell r="H443">
            <v>0</v>
          </cell>
          <cell r="I443">
            <v>6</v>
          </cell>
          <cell r="J443">
            <v>30</v>
          </cell>
          <cell r="K443">
            <v>14000</v>
          </cell>
          <cell r="L443">
            <v>70000</v>
          </cell>
          <cell r="M443">
            <v>0</v>
          </cell>
          <cell r="N443">
            <v>0</v>
          </cell>
          <cell r="O443">
            <v>1680</v>
          </cell>
          <cell r="P443">
            <v>8400</v>
          </cell>
        </row>
        <row r="444">
          <cell r="B444" t="str">
            <v xml:space="preserve">10 FT OF #6 AWG HMWPE CATHODIC </v>
          </cell>
          <cell r="F444">
            <v>0</v>
          </cell>
          <cell r="H444">
            <v>0</v>
          </cell>
          <cell r="J444">
            <v>0</v>
          </cell>
          <cell r="K444">
            <v>0</v>
          </cell>
          <cell r="L444">
            <v>0</v>
          </cell>
          <cell r="M444">
            <v>0</v>
          </cell>
          <cell r="N444">
            <v>0</v>
          </cell>
          <cell r="O444">
            <v>0</v>
          </cell>
          <cell r="P444">
            <v>0</v>
          </cell>
        </row>
        <row r="445">
          <cell r="B445" t="str">
            <v xml:space="preserve">PROTECTION COPPER CABLE, 1.4"X1.4"X60" </v>
          </cell>
          <cell r="F445">
            <v>0</v>
          </cell>
          <cell r="H445">
            <v>0</v>
          </cell>
          <cell r="J445">
            <v>0</v>
          </cell>
          <cell r="K445">
            <v>0</v>
          </cell>
          <cell r="L445">
            <v>0</v>
          </cell>
          <cell r="M445">
            <v>0</v>
          </cell>
          <cell r="N445">
            <v>0</v>
          </cell>
          <cell r="O445">
            <v>0</v>
          </cell>
          <cell r="P445">
            <v>0</v>
          </cell>
        </row>
        <row r="446">
          <cell r="B446" t="str">
            <v>ANODE</v>
          </cell>
          <cell r="F446">
            <v>0</v>
          </cell>
          <cell r="H446">
            <v>0</v>
          </cell>
          <cell r="J446">
            <v>0</v>
          </cell>
          <cell r="K446">
            <v>0</v>
          </cell>
          <cell r="L446">
            <v>0</v>
          </cell>
          <cell r="M446">
            <v>0</v>
          </cell>
          <cell r="N446">
            <v>0</v>
          </cell>
          <cell r="O446">
            <v>0</v>
          </cell>
          <cell r="P446">
            <v>0</v>
          </cell>
        </row>
        <row r="447">
          <cell r="A447">
            <v>3</v>
          </cell>
          <cell r="B447" t="str">
            <v>TEST JUNTION BOX</v>
          </cell>
          <cell r="C447">
            <v>7</v>
          </cell>
          <cell r="D447" t="str">
            <v>SET</v>
          </cell>
          <cell r="E447">
            <v>3000</v>
          </cell>
          <cell r="F447">
            <v>21000</v>
          </cell>
          <cell r="H447">
            <v>0</v>
          </cell>
          <cell r="I447">
            <v>6</v>
          </cell>
          <cell r="J447">
            <v>42</v>
          </cell>
          <cell r="K447">
            <v>3000</v>
          </cell>
          <cell r="L447">
            <v>21000</v>
          </cell>
          <cell r="M447">
            <v>0</v>
          </cell>
          <cell r="N447">
            <v>0</v>
          </cell>
          <cell r="O447">
            <v>1680</v>
          </cell>
          <cell r="P447">
            <v>11760</v>
          </cell>
        </row>
        <row r="448">
          <cell r="A448">
            <v>4</v>
          </cell>
          <cell r="B448" t="str">
            <v>Cu-CuS04 REFERENCE ELECTRODE WITH 10 FT OF</v>
          </cell>
          <cell r="C448">
            <v>7</v>
          </cell>
          <cell r="D448" t="str">
            <v>SET</v>
          </cell>
          <cell r="E448">
            <v>4000</v>
          </cell>
          <cell r="F448">
            <v>28000</v>
          </cell>
          <cell r="H448">
            <v>0</v>
          </cell>
          <cell r="I448">
            <v>6</v>
          </cell>
          <cell r="J448">
            <v>42</v>
          </cell>
          <cell r="K448">
            <v>4000</v>
          </cell>
          <cell r="L448">
            <v>28000</v>
          </cell>
          <cell r="M448">
            <v>0</v>
          </cell>
          <cell r="N448">
            <v>0</v>
          </cell>
          <cell r="O448">
            <v>1680</v>
          </cell>
          <cell r="P448">
            <v>11760</v>
          </cell>
        </row>
        <row r="449">
          <cell r="B449" t="str">
            <v xml:space="preserve">#8 AWG HMWPE CATHODIC PROTECTION  </v>
          </cell>
        </row>
        <row r="450">
          <cell r="B450" t="str">
            <v xml:space="preserve">COPPER CABLE &amp; BACKFILL OVER SIZE   </v>
          </cell>
        </row>
        <row r="451">
          <cell r="B451" t="str">
            <v>6" D x 10" L, GLOBAL TYPE OR EQUAL</v>
          </cell>
        </row>
        <row r="452">
          <cell r="A452">
            <v>5</v>
          </cell>
          <cell r="B452" t="str">
            <v>#8AWG 1/C HALAR CABLE</v>
          </cell>
          <cell r="C452">
            <v>475</v>
          </cell>
          <cell r="D452" t="str">
            <v>M</v>
          </cell>
          <cell r="E452">
            <v>120</v>
          </cell>
          <cell r="F452">
            <v>57000</v>
          </cell>
          <cell r="H452">
            <v>0</v>
          </cell>
          <cell r="I452">
            <v>0.12</v>
          </cell>
          <cell r="J452">
            <v>57</v>
          </cell>
          <cell r="K452">
            <v>120</v>
          </cell>
          <cell r="L452">
            <v>57000</v>
          </cell>
          <cell r="M452">
            <v>0</v>
          </cell>
          <cell r="N452">
            <v>0</v>
          </cell>
          <cell r="O452">
            <v>34</v>
          </cell>
          <cell r="P452">
            <v>16150</v>
          </cell>
        </row>
        <row r="453">
          <cell r="A453">
            <v>6</v>
          </cell>
          <cell r="B453" t="str">
            <v>CADWELD POWDER CARTRIDGE, CA-25 TYPE</v>
          </cell>
          <cell r="C453">
            <v>15</v>
          </cell>
          <cell r="D453" t="str">
            <v>PCS</v>
          </cell>
          <cell r="E453">
            <v>125</v>
          </cell>
          <cell r="F453">
            <v>1875</v>
          </cell>
          <cell r="H453">
            <v>0</v>
          </cell>
          <cell r="I453">
            <v>1</v>
          </cell>
          <cell r="J453">
            <v>15</v>
          </cell>
          <cell r="K453">
            <v>125</v>
          </cell>
          <cell r="L453">
            <v>1875</v>
          </cell>
          <cell r="M453">
            <v>0</v>
          </cell>
          <cell r="N453">
            <v>0</v>
          </cell>
          <cell r="O453">
            <v>280</v>
          </cell>
          <cell r="P453">
            <v>4200</v>
          </cell>
        </row>
        <row r="454">
          <cell r="A454">
            <v>7</v>
          </cell>
          <cell r="B454" t="str">
            <v>CADWELD MOLD</v>
          </cell>
          <cell r="C454">
            <v>1</v>
          </cell>
          <cell r="D454" t="str">
            <v>SET</v>
          </cell>
          <cell r="E454">
            <v>1500</v>
          </cell>
          <cell r="F454">
            <v>1500</v>
          </cell>
          <cell r="H454">
            <v>0</v>
          </cell>
          <cell r="J454">
            <v>0</v>
          </cell>
          <cell r="K454">
            <v>1500</v>
          </cell>
          <cell r="L454">
            <v>1500</v>
          </cell>
          <cell r="M454">
            <v>0</v>
          </cell>
          <cell r="N454">
            <v>0</v>
          </cell>
          <cell r="O454">
            <v>0</v>
          </cell>
          <cell r="P454">
            <v>0</v>
          </cell>
        </row>
        <row r="455">
          <cell r="A455">
            <v>8</v>
          </cell>
          <cell r="B455" t="str">
            <v>C TYPE LUG</v>
          </cell>
          <cell r="C455">
            <v>60</v>
          </cell>
          <cell r="D455" t="str">
            <v>PCS</v>
          </cell>
          <cell r="E455">
            <v>50</v>
          </cell>
          <cell r="F455">
            <v>3000</v>
          </cell>
          <cell r="H455">
            <v>0</v>
          </cell>
          <cell r="I455">
            <v>0.5</v>
          </cell>
          <cell r="J455">
            <v>30</v>
          </cell>
          <cell r="K455">
            <v>50</v>
          </cell>
          <cell r="L455">
            <v>3000</v>
          </cell>
          <cell r="M455">
            <v>0</v>
          </cell>
          <cell r="N455">
            <v>0</v>
          </cell>
          <cell r="O455">
            <v>140</v>
          </cell>
          <cell r="P455">
            <v>8400</v>
          </cell>
        </row>
        <row r="456">
          <cell r="A456">
            <v>9</v>
          </cell>
          <cell r="B456" t="str">
            <v>TOOL,MOLD SUPPORT CLAMP CADWELD CAB-320</v>
          </cell>
          <cell r="C456">
            <v>1</v>
          </cell>
          <cell r="D456" t="str">
            <v>PCS</v>
          </cell>
          <cell r="E456">
            <v>2500</v>
          </cell>
          <cell r="F456">
            <v>2500</v>
          </cell>
          <cell r="H456">
            <v>0</v>
          </cell>
          <cell r="J456">
            <v>0</v>
          </cell>
          <cell r="K456">
            <v>2500</v>
          </cell>
          <cell r="L456">
            <v>2500</v>
          </cell>
          <cell r="M456">
            <v>0</v>
          </cell>
          <cell r="N456">
            <v>0</v>
          </cell>
          <cell r="O456">
            <v>0</v>
          </cell>
          <cell r="P456">
            <v>0</v>
          </cell>
        </row>
        <row r="457">
          <cell r="A457">
            <v>10</v>
          </cell>
          <cell r="B457" t="str">
            <v xml:space="preserve">NONMETALLIC CONDUIT, PVC CNS 1302 UPVC </v>
          </cell>
          <cell r="C457">
            <v>285</v>
          </cell>
          <cell r="D457" t="str">
            <v>M</v>
          </cell>
          <cell r="E457">
            <v>16</v>
          </cell>
          <cell r="F457">
            <v>4560</v>
          </cell>
          <cell r="H457">
            <v>0</v>
          </cell>
          <cell r="I457">
            <v>0.5</v>
          </cell>
          <cell r="J457">
            <v>143</v>
          </cell>
          <cell r="K457">
            <v>16</v>
          </cell>
          <cell r="L457">
            <v>4560</v>
          </cell>
          <cell r="M457">
            <v>0</v>
          </cell>
          <cell r="N457">
            <v>0</v>
          </cell>
          <cell r="O457">
            <v>140</v>
          </cell>
          <cell r="P457">
            <v>39900</v>
          </cell>
        </row>
        <row r="458">
          <cell r="B458" t="str">
            <v>TABLE 1, 1"</v>
          </cell>
          <cell r="P458">
            <v>0</v>
          </cell>
        </row>
        <row r="459">
          <cell r="A459">
            <v>11</v>
          </cell>
          <cell r="B459" t="str">
            <v xml:space="preserve">CONCRETE, 3000PSI </v>
          </cell>
          <cell r="C459">
            <v>3</v>
          </cell>
          <cell r="D459" t="str">
            <v>M3</v>
          </cell>
          <cell r="E459" t="str">
            <v>M+L</v>
          </cell>
          <cell r="F459" t="str">
            <v>M+L</v>
          </cell>
          <cell r="H459">
            <v>0</v>
          </cell>
          <cell r="J459">
            <v>0</v>
          </cell>
          <cell r="K459" t="str">
            <v>M+L</v>
          </cell>
          <cell r="L459" t="str">
            <v>M+L</v>
          </cell>
          <cell r="O459">
            <v>2300</v>
          </cell>
          <cell r="P459">
            <v>6900</v>
          </cell>
        </row>
        <row r="460">
          <cell r="A460">
            <v>12</v>
          </cell>
          <cell r="B460" t="str">
            <v>STEEL REINFORCING BAR, 3/8"</v>
          </cell>
          <cell r="C460">
            <v>610</v>
          </cell>
          <cell r="D460" t="str">
            <v>KG</v>
          </cell>
          <cell r="E460" t="str">
            <v>M+L</v>
          </cell>
          <cell r="F460" t="str">
            <v>M+L</v>
          </cell>
          <cell r="H460">
            <v>0</v>
          </cell>
          <cell r="J460">
            <v>0</v>
          </cell>
          <cell r="K460" t="str">
            <v>M+L</v>
          </cell>
          <cell r="L460" t="str">
            <v>M+L</v>
          </cell>
          <cell r="O460">
            <v>16</v>
          </cell>
          <cell r="P460">
            <v>9760</v>
          </cell>
        </row>
        <row r="461">
          <cell r="A461">
            <v>13</v>
          </cell>
          <cell r="B461" t="str">
            <v xml:space="preserve"> EXCAVATION</v>
          </cell>
          <cell r="C461">
            <v>152</v>
          </cell>
          <cell r="D461" t="str">
            <v>M3</v>
          </cell>
          <cell r="E461" t="str">
            <v>M+L</v>
          </cell>
          <cell r="F461" t="str">
            <v>M+L</v>
          </cell>
          <cell r="H461">
            <v>0</v>
          </cell>
          <cell r="J461">
            <v>0</v>
          </cell>
          <cell r="K461" t="str">
            <v>M+L</v>
          </cell>
          <cell r="L461" t="str">
            <v>M+L</v>
          </cell>
          <cell r="O461">
            <v>120</v>
          </cell>
          <cell r="P461">
            <v>18240</v>
          </cell>
        </row>
        <row r="462">
          <cell r="A462">
            <v>14</v>
          </cell>
          <cell r="B462" t="str">
            <v xml:space="preserve"> BACKFILL SAND</v>
          </cell>
          <cell r="C462">
            <v>50</v>
          </cell>
          <cell r="D462" t="str">
            <v>M3</v>
          </cell>
          <cell r="E462" t="str">
            <v>M+L</v>
          </cell>
          <cell r="F462" t="str">
            <v>M+L</v>
          </cell>
          <cell r="H462">
            <v>0</v>
          </cell>
          <cell r="J462">
            <v>0</v>
          </cell>
          <cell r="K462" t="str">
            <v>M+L</v>
          </cell>
          <cell r="L462" t="str">
            <v>M+L</v>
          </cell>
          <cell r="O462">
            <v>550</v>
          </cell>
          <cell r="P462">
            <v>27500</v>
          </cell>
        </row>
        <row r="463">
          <cell r="A463">
            <v>15</v>
          </cell>
          <cell r="B463" t="str">
            <v xml:space="preserve"> BACKFILL STONE</v>
          </cell>
          <cell r="C463">
            <v>31</v>
          </cell>
          <cell r="D463" t="str">
            <v>M3</v>
          </cell>
          <cell r="E463" t="str">
            <v>M+L</v>
          </cell>
          <cell r="F463" t="str">
            <v>M+L</v>
          </cell>
          <cell r="H463">
            <v>0</v>
          </cell>
          <cell r="J463">
            <v>0</v>
          </cell>
          <cell r="K463" t="str">
            <v>M+L</v>
          </cell>
          <cell r="L463" t="str">
            <v>M+L</v>
          </cell>
          <cell r="O463">
            <v>520</v>
          </cell>
          <cell r="P463">
            <v>16120</v>
          </cell>
        </row>
        <row r="464">
          <cell r="A464">
            <v>16</v>
          </cell>
          <cell r="B464" t="str">
            <v xml:space="preserve"> DISPOSAL</v>
          </cell>
          <cell r="C464">
            <v>80</v>
          </cell>
          <cell r="D464" t="str">
            <v>M3</v>
          </cell>
          <cell r="E464" t="str">
            <v>M+L</v>
          </cell>
          <cell r="F464" t="str">
            <v>M+L</v>
          </cell>
          <cell r="H464">
            <v>0</v>
          </cell>
          <cell r="J464">
            <v>0</v>
          </cell>
          <cell r="K464" t="str">
            <v>M+L</v>
          </cell>
          <cell r="L464" t="str">
            <v>M+L</v>
          </cell>
          <cell r="O464">
            <v>220</v>
          </cell>
          <cell r="P464">
            <v>17600</v>
          </cell>
        </row>
        <row r="465">
          <cell r="A465">
            <v>17</v>
          </cell>
          <cell r="B465" t="str">
            <v>熱縮絕緣套管理(含熱溶膠)</v>
          </cell>
          <cell r="C465">
            <v>9</v>
          </cell>
          <cell r="D465" t="str">
            <v>PCS</v>
          </cell>
          <cell r="E465">
            <v>500</v>
          </cell>
          <cell r="F465">
            <v>4500</v>
          </cell>
          <cell r="H465">
            <v>0</v>
          </cell>
          <cell r="I465">
            <v>2</v>
          </cell>
          <cell r="J465">
            <v>18</v>
          </cell>
          <cell r="K465">
            <v>500</v>
          </cell>
          <cell r="L465">
            <v>4500</v>
          </cell>
          <cell r="M465">
            <v>0</v>
          </cell>
          <cell r="N465">
            <v>0</v>
          </cell>
          <cell r="O465">
            <v>560</v>
          </cell>
          <cell r="P465">
            <v>5040</v>
          </cell>
        </row>
        <row r="466">
          <cell r="A466">
            <v>18</v>
          </cell>
          <cell r="B466" t="str">
            <v>自融型絕緣膠帶</v>
          </cell>
          <cell r="C466">
            <v>7</v>
          </cell>
          <cell r="D466" t="str">
            <v>ROLL</v>
          </cell>
          <cell r="E466">
            <v>300</v>
          </cell>
          <cell r="F466">
            <v>2100</v>
          </cell>
          <cell r="H466">
            <v>0</v>
          </cell>
          <cell r="I466">
            <v>1</v>
          </cell>
          <cell r="J466">
            <v>7</v>
          </cell>
          <cell r="K466">
            <v>300</v>
          </cell>
          <cell r="L466">
            <v>2100</v>
          </cell>
          <cell r="M466">
            <v>0</v>
          </cell>
          <cell r="N466">
            <v>0</v>
          </cell>
          <cell r="O466">
            <v>280</v>
          </cell>
          <cell r="P466">
            <v>1960</v>
          </cell>
        </row>
        <row r="467">
          <cell r="A467">
            <v>19</v>
          </cell>
          <cell r="B467" t="str">
            <v>熱融焊點PE包覆蓋</v>
          </cell>
          <cell r="C467">
            <v>8</v>
          </cell>
          <cell r="D467" t="str">
            <v>PCS</v>
          </cell>
          <cell r="E467">
            <v>350</v>
          </cell>
          <cell r="F467">
            <v>2800</v>
          </cell>
          <cell r="H467">
            <v>0</v>
          </cell>
          <cell r="I467">
            <v>1</v>
          </cell>
          <cell r="J467">
            <v>8</v>
          </cell>
          <cell r="K467">
            <v>350</v>
          </cell>
          <cell r="L467">
            <v>2800</v>
          </cell>
          <cell r="M467">
            <v>0</v>
          </cell>
          <cell r="N467">
            <v>0</v>
          </cell>
          <cell r="O467">
            <v>280</v>
          </cell>
          <cell r="P467">
            <v>2240</v>
          </cell>
        </row>
        <row r="468">
          <cell r="A468">
            <v>20</v>
          </cell>
          <cell r="B468" t="str">
            <v>MISCELLANEOUS INCLUDE 防蝕系統測試調整 &amp; 交通安全措施費</v>
          </cell>
          <cell r="C468">
            <v>1</v>
          </cell>
          <cell r="D468" t="str">
            <v>LOT</v>
          </cell>
          <cell r="E468">
            <v>67883.5</v>
          </cell>
          <cell r="F468">
            <v>67884</v>
          </cell>
          <cell r="H468">
            <v>0</v>
          </cell>
          <cell r="I468">
            <v>93.2</v>
          </cell>
          <cell r="J468">
            <v>93</v>
          </cell>
          <cell r="K468">
            <v>67884</v>
          </cell>
          <cell r="L468">
            <v>67884</v>
          </cell>
          <cell r="M468">
            <v>0</v>
          </cell>
          <cell r="N468">
            <v>0</v>
          </cell>
          <cell r="O468">
            <v>26096</v>
          </cell>
          <cell r="P468">
            <v>26096</v>
          </cell>
        </row>
        <row r="469">
          <cell r="B469" t="str">
            <v>SUB-TOTAL : (H)</v>
          </cell>
          <cell r="F469">
            <v>746719</v>
          </cell>
          <cell r="H469">
            <v>0</v>
          </cell>
          <cell r="J469">
            <v>1025</v>
          </cell>
          <cell r="K469">
            <v>0</v>
          </cell>
          <cell r="L469">
            <v>746719</v>
          </cell>
          <cell r="M469">
            <v>0</v>
          </cell>
          <cell r="N469">
            <v>0</v>
          </cell>
          <cell r="O469">
            <v>0</v>
          </cell>
          <cell r="P469">
            <v>383226</v>
          </cell>
        </row>
        <row r="470">
          <cell r="F470">
            <v>0</v>
          </cell>
          <cell r="H470">
            <v>0</v>
          </cell>
          <cell r="J470">
            <v>0</v>
          </cell>
          <cell r="K470">
            <v>0</v>
          </cell>
          <cell r="L470">
            <v>0</v>
          </cell>
          <cell r="M470">
            <v>0</v>
          </cell>
          <cell r="N470">
            <v>0</v>
          </cell>
          <cell r="O470">
            <v>0</v>
          </cell>
          <cell r="P470">
            <v>0</v>
          </cell>
        </row>
        <row r="471">
          <cell r="F471">
            <v>0</v>
          </cell>
          <cell r="H471">
            <v>0</v>
          </cell>
          <cell r="J471">
            <v>0</v>
          </cell>
          <cell r="K471">
            <v>0</v>
          </cell>
          <cell r="L471">
            <v>0</v>
          </cell>
          <cell r="M471">
            <v>0</v>
          </cell>
          <cell r="N471">
            <v>0</v>
          </cell>
          <cell r="O471">
            <v>0</v>
          </cell>
          <cell r="P471">
            <v>0</v>
          </cell>
        </row>
        <row r="472">
          <cell r="F472">
            <v>0</v>
          </cell>
          <cell r="H472">
            <v>0</v>
          </cell>
          <cell r="J472">
            <v>0</v>
          </cell>
          <cell r="K472">
            <v>0</v>
          </cell>
          <cell r="L472">
            <v>0</v>
          </cell>
          <cell r="M472">
            <v>0</v>
          </cell>
          <cell r="N472">
            <v>0</v>
          </cell>
          <cell r="O472">
            <v>0</v>
          </cell>
          <cell r="P472">
            <v>0</v>
          </cell>
        </row>
        <row r="473">
          <cell r="A473" t="str">
            <v>I.</v>
          </cell>
          <cell r="B473" t="str">
            <v>APS SYSTEM</v>
          </cell>
          <cell r="F473">
            <v>0</v>
          </cell>
          <cell r="H473">
            <v>0</v>
          </cell>
          <cell r="J473">
            <v>0</v>
          </cell>
          <cell r="K473">
            <v>0</v>
          </cell>
          <cell r="L473">
            <v>0</v>
          </cell>
          <cell r="M473">
            <v>0</v>
          </cell>
          <cell r="N473">
            <v>0</v>
          </cell>
          <cell r="O473">
            <v>0</v>
          </cell>
          <cell r="P473">
            <v>0</v>
          </cell>
        </row>
        <row r="474">
          <cell r="B474" t="str">
            <v>D&amp;F SYSTEM PANEL, INCLUDING</v>
          </cell>
          <cell r="F474">
            <v>0</v>
          </cell>
          <cell r="H474">
            <v>0</v>
          </cell>
          <cell r="J474">
            <v>0</v>
          </cell>
          <cell r="K474">
            <v>0</v>
          </cell>
          <cell r="L474">
            <v>0</v>
          </cell>
          <cell r="M474">
            <v>0</v>
          </cell>
          <cell r="N474">
            <v>0</v>
          </cell>
          <cell r="O474">
            <v>0</v>
          </cell>
          <cell r="P474">
            <v>0</v>
          </cell>
        </row>
        <row r="475">
          <cell r="A475">
            <v>1</v>
          </cell>
          <cell r="B475" t="str">
            <v>PLC BASE PANEL, INDOOR IP20 ENCLOSURE, W/</v>
          </cell>
          <cell r="C475">
            <v>1</v>
          </cell>
          <cell r="D475" t="str">
            <v>SET</v>
          </cell>
          <cell r="E475">
            <v>1285400</v>
          </cell>
          <cell r="F475">
            <v>1285400</v>
          </cell>
          <cell r="H475">
            <v>0</v>
          </cell>
          <cell r="I475">
            <v>50</v>
          </cell>
          <cell r="J475">
            <v>50</v>
          </cell>
          <cell r="K475">
            <v>1285400</v>
          </cell>
          <cell r="L475">
            <v>1285400</v>
          </cell>
          <cell r="M475">
            <v>0</v>
          </cell>
          <cell r="N475">
            <v>0</v>
          </cell>
          <cell r="O475">
            <v>14000</v>
          </cell>
          <cell r="P475">
            <v>14000</v>
          </cell>
        </row>
        <row r="476">
          <cell r="B476" t="str">
            <v xml:space="preserve">POWER SUPPLY, DIx144, DOx100, </v>
          </cell>
          <cell r="F476">
            <v>0</v>
          </cell>
          <cell r="H476">
            <v>0</v>
          </cell>
          <cell r="J476">
            <v>0</v>
          </cell>
          <cell r="K476">
            <v>0</v>
          </cell>
          <cell r="L476">
            <v>0</v>
          </cell>
          <cell r="M476">
            <v>0</v>
          </cell>
          <cell r="N476">
            <v>0</v>
          </cell>
          <cell r="O476">
            <v>0</v>
          </cell>
          <cell r="P476">
            <v>0</v>
          </cell>
        </row>
        <row r="477">
          <cell r="B477" t="str">
            <v>INTERPOSITION RELAY x50,  WIRING, AND TB.</v>
          </cell>
          <cell r="F477">
            <v>0</v>
          </cell>
          <cell r="H477">
            <v>0</v>
          </cell>
          <cell r="J477">
            <v>0</v>
          </cell>
          <cell r="K477">
            <v>0</v>
          </cell>
          <cell r="L477">
            <v>0</v>
          </cell>
          <cell r="M477">
            <v>0</v>
          </cell>
          <cell r="N477">
            <v>0</v>
          </cell>
          <cell r="O477">
            <v>0</v>
          </cell>
          <cell r="P477">
            <v>0</v>
          </cell>
        </row>
        <row r="478">
          <cell r="B478" t="str">
            <v>SOFTWARE DESIGN PACKAGE</v>
          </cell>
          <cell r="F478">
            <v>0</v>
          </cell>
          <cell r="H478">
            <v>0</v>
          </cell>
          <cell r="J478">
            <v>0</v>
          </cell>
          <cell r="K478">
            <v>0</v>
          </cell>
          <cell r="L478">
            <v>0</v>
          </cell>
          <cell r="M478">
            <v>0</v>
          </cell>
          <cell r="N478">
            <v>0</v>
          </cell>
          <cell r="O478">
            <v>0</v>
          </cell>
          <cell r="P478">
            <v>0</v>
          </cell>
        </row>
        <row r="479">
          <cell r="A479">
            <v>2</v>
          </cell>
          <cell r="B479" t="str">
            <v>OPERATION CONSOLE, INCLUDING</v>
          </cell>
          <cell r="C479">
            <v>1</v>
          </cell>
          <cell r="D479" t="str">
            <v>SET</v>
          </cell>
          <cell r="E479">
            <v>357000</v>
          </cell>
          <cell r="F479">
            <v>357000</v>
          </cell>
          <cell r="H479">
            <v>0</v>
          </cell>
          <cell r="I479">
            <v>20</v>
          </cell>
          <cell r="J479">
            <v>20</v>
          </cell>
          <cell r="K479">
            <v>357000</v>
          </cell>
          <cell r="L479">
            <v>357000</v>
          </cell>
          <cell r="M479">
            <v>0</v>
          </cell>
          <cell r="N479">
            <v>0</v>
          </cell>
          <cell r="O479">
            <v>5600</v>
          </cell>
          <cell r="P479">
            <v>5600</v>
          </cell>
        </row>
        <row r="480">
          <cell r="B480" t="str">
            <v>ANNUNCIATOR PANEL, W/ 50 WINDOWS</v>
          </cell>
          <cell r="F480">
            <v>0</v>
          </cell>
          <cell r="H480">
            <v>0</v>
          </cell>
          <cell r="J480">
            <v>0</v>
          </cell>
          <cell r="K480">
            <v>0</v>
          </cell>
          <cell r="L480">
            <v>0</v>
          </cell>
          <cell r="M480">
            <v>0</v>
          </cell>
          <cell r="N480">
            <v>0</v>
          </cell>
          <cell r="O480">
            <v>0</v>
          </cell>
          <cell r="P480">
            <v>0</v>
          </cell>
        </row>
        <row r="481">
          <cell r="B481" t="str">
            <v xml:space="preserve">COMMAND BOARD, W/ 15 PB SWITCH(SW. W/LIGHT) </v>
          </cell>
          <cell r="F481">
            <v>0</v>
          </cell>
          <cell r="H481">
            <v>0</v>
          </cell>
          <cell r="J481">
            <v>0</v>
          </cell>
          <cell r="K481">
            <v>0</v>
          </cell>
          <cell r="L481">
            <v>0</v>
          </cell>
          <cell r="M481">
            <v>0</v>
          </cell>
          <cell r="N481">
            <v>0</v>
          </cell>
          <cell r="O481">
            <v>0</v>
          </cell>
          <cell r="P481">
            <v>0</v>
          </cell>
        </row>
        <row r="482">
          <cell r="B482" t="str">
            <v>WIRING, AND TB.</v>
          </cell>
          <cell r="F482">
            <v>0</v>
          </cell>
          <cell r="H482">
            <v>0</v>
          </cell>
          <cell r="J482">
            <v>0</v>
          </cell>
          <cell r="K482">
            <v>0</v>
          </cell>
          <cell r="L482">
            <v>0</v>
          </cell>
          <cell r="M482">
            <v>0</v>
          </cell>
          <cell r="N482">
            <v>0</v>
          </cell>
          <cell r="O482">
            <v>0</v>
          </cell>
          <cell r="P482">
            <v>0</v>
          </cell>
        </row>
        <row r="483">
          <cell r="A483">
            <v>3</v>
          </cell>
          <cell r="B483" t="str">
            <v>MIMIC PANEL, ENCLOSURE SIZE 2300Hx1400Wx600D</v>
          </cell>
          <cell r="C483">
            <v>1</v>
          </cell>
          <cell r="D483" t="str">
            <v>SET</v>
          </cell>
          <cell r="E483">
            <v>448000</v>
          </cell>
          <cell r="F483">
            <v>448000</v>
          </cell>
          <cell r="H483">
            <v>0</v>
          </cell>
          <cell r="I483">
            <v>20</v>
          </cell>
          <cell r="J483">
            <v>20</v>
          </cell>
          <cell r="K483">
            <v>448000</v>
          </cell>
          <cell r="L483">
            <v>448000</v>
          </cell>
          <cell r="M483">
            <v>0</v>
          </cell>
          <cell r="N483">
            <v>0</v>
          </cell>
          <cell r="O483">
            <v>5600</v>
          </cell>
          <cell r="P483">
            <v>5600</v>
          </cell>
        </row>
        <row r="484">
          <cell r="B484" t="str">
            <v>MOSAIC PANEL  SIZE 1200Hx1200W, W/</v>
          </cell>
          <cell r="F484">
            <v>0</v>
          </cell>
          <cell r="H484">
            <v>0</v>
          </cell>
          <cell r="J484">
            <v>0</v>
          </cell>
          <cell r="K484">
            <v>0</v>
          </cell>
          <cell r="L484">
            <v>0</v>
          </cell>
          <cell r="M484">
            <v>0</v>
          </cell>
          <cell r="N484">
            <v>0</v>
          </cell>
          <cell r="O484">
            <v>0</v>
          </cell>
          <cell r="P484">
            <v>0</v>
          </cell>
        </row>
        <row r="485">
          <cell r="B485" t="str">
            <v>INDICATION LIGHT x60, POWER SUPPLY, WIRING, AND TB.</v>
          </cell>
          <cell r="F485">
            <v>0</v>
          </cell>
          <cell r="H485">
            <v>0</v>
          </cell>
          <cell r="J485">
            <v>0</v>
          </cell>
          <cell r="K485">
            <v>0</v>
          </cell>
          <cell r="L485">
            <v>0</v>
          </cell>
          <cell r="M485">
            <v>0</v>
          </cell>
          <cell r="N485">
            <v>0</v>
          </cell>
          <cell r="O485">
            <v>0</v>
          </cell>
          <cell r="P485">
            <v>0</v>
          </cell>
        </row>
        <row r="486">
          <cell r="A486">
            <v>4</v>
          </cell>
          <cell r="B486" t="str">
            <v>RECEIVING PANEL, INDOOR IP20 ENCLOSURE, W/</v>
          </cell>
          <cell r="C486">
            <v>1</v>
          </cell>
          <cell r="D486" t="str">
            <v>SET</v>
          </cell>
          <cell r="E486">
            <v>1400000</v>
          </cell>
          <cell r="F486">
            <v>1400000</v>
          </cell>
          <cell r="H486">
            <v>0</v>
          </cell>
          <cell r="I486">
            <v>50</v>
          </cell>
          <cell r="J486">
            <v>50</v>
          </cell>
          <cell r="K486">
            <v>1400000</v>
          </cell>
          <cell r="L486">
            <v>1400000</v>
          </cell>
          <cell r="M486">
            <v>0</v>
          </cell>
          <cell r="N486">
            <v>0</v>
          </cell>
          <cell r="O486">
            <v>14000</v>
          </cell>
          <cell r="P486">
            <v>14000</v>
          </cell>
        </row>
        <row r="487">
          <cell r="B487" t="str">
            <v>UV/IR DETECTOR CONTROLLER, 4-CHANNEL x1</v>
          </cell>
          <cell r="F487">
            <v>0</v>
          </cell>
          <cell r="H487">
            <v>0</v>
          </cell>
          <cell r="J487">
            <v>0</v>
          </cell>
          <cell r="K487">
            <v>0</v>
          </cell>
          <cell r="L487">
            <v>0</v>
          </cell>
          <cell r="M487">
            <v>0</v>
          </cell>
          <cell r="N487">
            <v>0</v>
          </cell>
          <cell r="O487">
            <v>0</v>
          </cell>
          <cell r="P487">
            <v>0</v>
          </cell>
        </row>
        <row r="488">
          <cell r="B488" t="str">
            <v>GAS DETECTOR CONTROLLER, 8-CHANNEL x8</v>
          </cell>
          <cell r="F488">
            <v>0</v>
          </cell>
          <cell r="H488">
            <v>0</v>
          </cell>
          <cell r="J488">
            <v>0</v>
          </cell>
          <cell r="K488">
            <v>0</v>
          </cell>
          <cell r="L488">
            <v>0</v>
          </cell>
          <cell r="M488">
            <v>0</v>
          </cell>
          <cell r="N488">
            <v>0</v>
          </cell>
          <cell r="O488">
            <v>0</v>
          </cell>
          <cell r="P488">
            <v>0</v>
          </cell>
        </row>
        <row r="489">
          <cell r="B489" t="str">
            <v>LOW TEMP. DETECTOR CONTROLLER, 4-CHANNEL x7</v>
          </cell>
          <cell r="F489">
            <v>0</v>
          </cell>
          <cell r="H489">
            <v>0</v>
          </cell>
          <cell r="J489">
            <v>0</v>
          </cell>
          <cell r="K489">
            <v>0</v>
          </cell>
          <cell r="L489">
            <v>0</v>
          </cell>
          <cell r="M489">
            <v>0</v>
          </cell>
          <cell r="N489">
            <v>0</v>
          </cell>
          <cell r="O489">
            <v>0</v>
          </cell>
          <cell r="P489">
            <v>0</v>
          </cell>
        </row>
        <row r="490">
          <cell r="B490" t="str">
            <v>POWER SUPPLY, WIRING, AND TB.</v>
          </cell>
          <cell r="F490">
            <v>0</v>
          </cell>
          <cell r="H490">
            <v>0</v>
          </cell>
          <cell r="J490">
            <v>0</v>
          </cell>
          <cell r="K490">
            <v>0</v>
          </cell>
          <cell r="L490">
            <v>0</v>
          </cell>
          <cell r="M490">
            <v>0</v>
          </cell>
          <cell r="N490">
            <v>0</v>
          </cell>
          <cell r="O490">
            <v>0</v>
          </cell>
          <cell r="P490">
            <v>0</v>
          </cell>
        </row>
        <row r="491">
          <cell r="A491">
            <v>5</v>
          </cell>
          <cell r="B491" t="str">
            <v>MANUAL STATION, 110VAC, CL.1 DIV.2, NEMA-4X</v>
          </cell>
          <cell r="C491">
            <v>16</v>
          </cell>
          <cell r="D491" t="str">
            <v>SET</v>
          </cell>
          <cell r="E491">
            <v>30000</v>
          </cell>
          <cell r="F491">
            <v>480000</v>
          </cell>
          <cell r="H491">
            <v>0</v>
          </cell>
          <cell r="I491">
            <v>5</v>
          </cell>
          <cell r="J491">
            <v>80</v>
          </cell>
          <cell r="K491">
            <v>30000</v>
          </cell>
          <cell r="L491">
            <v>480000</v>
          </cell>
          <cell r="M491">
            <v>0</v>
          </cell>
          <cell r="N491">
            <v>0</v>
          </cell>
          <cell r="O491">
            <v>1400</v>
          </cell>
          <cell r="P491">
            <v>22400</v>
          </cell>
        </row>
        <row r="492">
          <cell r="A492">
            <v>6</v>
          </cell>
          <cell r="B492" t="str">
            <v>SIREN(SPEAKER),, 110VAC, CL.1 DIV.2, NEMA-4X</v>
          </cell>
          <cell r="C492">
            <v>16</v>
          </cell>
          <cell r="D492" t="str">
            <v>SET</v>
          </cell>
          <cell r="E492">
            <v>40000</v>
          </cell>
          <cell r="F492">
            <v>640000</v>
          </cell>
          <cell r="H492">
            <v>0</v>
          </cell>
          <cell r="I492">
            <v>5</v>
          </cell>
          <cell r="J492">
            <v>80</v>
          </cell>
          <cell r="K492">
            <v>40000</v>
          </cell>
          <cell r="L492">
            <v>640000</v>
          </cell>
          <cell r="M492">
            <v>0</v>
          </cell>
          <cell r="N492">
            <v>0</v>
          </cell>
          <cell r="O492">
            <v>1400</v>
          </cell>
          <cell r="P492">
            <v>22400</v>
          </cell>
        </row>
        <row r="493">
          <cell r="A493">
            <v>7</v>
          </cell>
          <cell r="B493" t="str">
            <v>VISUAL ALARM BECON, , 110VAC, CL.1 DIV.2, NEMA-4X</v>
          </cell>
          <cell r="C493">
            <v>16</v>
          </cell>
          <cell r="D493" t="str">
            <v>SET</v>
          </cell>
          <cell r="E493">
            <v>37000</v>
          </cell>
          <cell r="F493">
            <v>592000</v>
          </cell>
          <cell r="H493">
            <v>0</v>
          </cell>
          <cell r="I493">
            <v>5</v>
          </cell>
          <cell r="J493">
            <v>80</v>
          </cell>
          <cell r="K493">
            <v>37000</v>
          </cell>
          <cell r="L493">
            <v>592000</v>
          </cell>
          <cell r="M493">
            <v>0</v>
          </cell>
          <cell r="N493">
            <v>0</v>
          </cell>
          <cell r="O493">
            <v>1400</v>
          </cell>
          <cell r="P493">
            <v>22400</v>
          </cell>
        </row>
        <row r="494">
          <cell r="A494">
            <v>8</v>
          </cell>
          <cell r="B494" t="str">
            <v>UV/IR FLAME DETECTOR, CL.1 DIV.2, NEMA-4X</v>
          </cell>
          <cell r="C494">
            <v>4</v>
          </cell>
          <cell r="D494" t="str">
            <v>SET</v>
          </cell>
          <cell r="E494">
            <v>67000</v>
          </cell>
          <cell r="F494">
            <v>268000</v>
          </cell>
          <cell r="H494">
            <v>0</v>
          </cell>
          <cell r="I494">
            <v>8</v>
          </cell>
          <cell r="J494">
            <v>32</v>
          </cell>
          <cell r="K494">
            <v>67000</v>
          </cell>
          <cell r="L494">
            <v>268000</v>
          </cell>
          <cell r="M494">
            <v>0</v>
          </cell>
          <cell r="N494">
            <v>0</v>
          </cell>
          <cell r="O494">
            <v>2240</v>
          </cell>
          <cell r="P494">
            <v>8960</v>
          </cell>
        </row>
        <row r="495">
          <cell r="A495">
            <v>9</v>
          </cell>
          <cell r="B495" t="str">
            <v>LOW TEMPERATURE DETECTOR, 50FT LG., NEMA-4X</v>
          </cell>
          <cell r="C495">
            <v>4</v>
          </cell>
          <cell r="D495" t="str">
            <v>SET</v>
          </cell>
          <cell r="E495">
            <v>288000</v>
          </cell>
          <cell r="F495">
            <v>1152000</v>
          </cell>
          <cell r="H495">
            <v>0</v>
          </cell>
          <cell r="I495">
            <v>10</v>
          </cell>
          <cell r="J495">
            <v>40</v>
          </cell>
          <cell r="K495">
            <v>288000</v>
          </cell>
          <cell r="L495">
            <v>1152000</v>
          </cell>
          <cell r="M495">
            <v>0</v>
          </cell>
          <cell r="N495">
            <v>0</v>
          </cell>
          <cell r="O495">
            <v>2800</v>
          </cell>
          <cell r="P495">
            <v>11200</v>
          </cell>
        </row>
        <row r="496">
          <cell r="A496">
            <v>10</v>
          </cell>
          <cell r="B496" t="str">
            <v>COMBUSTIBLE GAS DETECTOR,  CATALYTIC TYPE</v>
          </cell>
          <cell r="C496">
            <v>60</v>
          </cell>
          <cell r="D496" t="str">
            <v>EST</v>
          </cell>
          <cell r="E496">
            <v>50000</v>
          </cell>
          <cell r="F496">
            <v>3000000</v>
          </cell>
          <cell r="H496">
            <v>0</v>
          </cell>
          <cell r="I496">
            <v>5</v>
          </cell>
          <cell r="J496">
            <v>300</v>
          </cell>
          <cell r="K496">
            <v>50000</v>
          </cell>
          <cell r="L496">
            <v>3000000</v>
          </cell>
          <cell r="M496">
            <v>0</v>
          </cell>
          <cell r="N496">
            <v>0</v>
          </cell>
          <cell r="O496">
            <v>1400</v>
          </cell>
          <cell r="P496">
            <v>84000</v>
          </cell>
        </row>
        <row r="497">
          <cell r="B497" t="str">
            <v>CL.1, DIV.2, W/ WEATHER HOUSING, FILTER, NEMA-4X</v>
          </cell>
          <cell r="F497">
            <v>0</v>
          </cell>
          <cell r="H497">
            <v>0</v>
          </cell>
          <cell r="J497">
            <v>0</v>
          </cell>
          <cell r="K497">
            <v>0</v>
          </cell>
          <cell r="L497">
            <v>0</v>
          </cell>
          <cell r="M497">
            <v>0</v>
          </cell>
          <cell r="N497">
            <v>0</v>
          </cell>
          <cell r="O497">
            <v>0</v>
          </cell>
          <cell r="P497">
            <v>0</v>
          </cell>
        </row>
        <row r="498">
          <cell r="A498">
            <v>11</v>
          </cell>
          <cell r="B498" t="str">
            <v>GAS DETECTOR TEST KIT FOR 60 DETECTORS &amp; GRAPHIC PANEL</v>
          </cell>
          <cell r="C498">
            <v>1</v>
          </cell>
          <cell r="D498" t="str">
            <v>SET</v>
          </cell>
          <cell r="E498">
            <v>350000</v>
          </cell>
          <cell r="F498">
            <v>350000</v>
          </cell>
          <cell r="H498">
            <v>0</v>
          </cell>
          <cell r="I498">
            <v>10</v>
          </cell>
          <cell r="J498">
            <v>10</v>
          </cell>
          <cell r="K498">
            <v>350000</v>
          </cell>
          <cell r="L498">
            <v>350000</v>
          </cell>
          <cell r="M498">
            <v>0</v>
          </cell>
          <cell r="N498">
            <v>0</v>
          </cell>
          <cell r="O498">
            <v>2800</v>
          </cell>
          <cell r="P498">
            <v>2800</v>
          </cell>
        </row>
        <row r="499">
          <cell r="A499">
            <v>12</v>
          </cell>
          <cell r="B499" t="str">
            <v>R.S.G. CONDUIT/W COUPLING 1"</v>
          </cell>
          <cell r="C499">
            <v>1600</v>
          </cell>
          <cell r="D499" t="str">
            <v>M</v>
          </cell>
          <cell r="E499">
            <v>49</v>
          </cell>
          <cell r="F499">
            <v>78400</v>
          </cell>
          <cell r="H499">
            <v>0</v>
          </cell>
          <cell r="I499">
            <v>0.54</v>
          </cell>
          <cell r="J499">
            <v>864</v>
          </cell>
          <cell r="K499">
            <v>49</v>
          </cell>
          <cell r="L499">
            <v>78400</v>
          </cell>
          <cell r="M499">
            <v>0</v>
          </cell>
          <cell r="N499">
            <v>0</v>
          </cell>
          <cell r="O499">
            <v>151</v>
          </cell>
          <cell r="P499">
            <v>241600</v>
          </cell>
        </row>
        <row r="500">
          <cell r="A500">
            <v>13</v>
          </cell>
          <cell r="B500" t="str">
            <v>R.S.G. CONDUIT/W COUPLING 2"</v>
          </cell>
          <cell r="C500">
            <v>2300</v>
          </cell>
          <cell r="D500" t="str">
            <v>M</v>
          </cell>
          <cell r="E500">
            <v>105</v>
          </cell>
          <cell r="F500">
            <v>241500</v>
          </cell>
          <cell r="H500">
            <v>0</v>
          </cell>
          <cell r="I500">
            <v>0.98</v>
          </cell>
          <cell r="J500">
            <v>2254</v>
          </cell>
          <cell r="K500">
            <v>105</v>
          </cell>
          <cell r="L500">
            <v>241500</v>
          </cell>
          <cell r="M500">
            <v>0</v>
          </cell>
          <cell r="N500">
            <v>0</v>
          </cell>
          <cell r="O500">
            <v>274</v>
          </cell>
          <cell r="P500">
            <v>630200</v>
          </cell>
        </row>
        <row r="501">
          <cell r="A501">
            <v>14</v>
          </cell>
          <cell r="B501" t="str">
            <v>FITTING FOR R.S.G. CONDUIT</v>
          </cell>
          <cell r="C501">
            <v>1</v>
          </cell>
          <cell r="D501" t="str">
            <v>LOT</v>
          </cell>
          <cell r="E501">
            <v>639800</v>
          </cell>
          <cell r="F501">
            <v>639800</v>
          </cell>
          <cell r="H501">
            <v>0</v>
          </cell>
          <cell r="I501">
            <v>935.4</v>
          </cell>
          <cell r="J501">
            <v>935</v>
          </cell>
          <cell r="K501">
            <v>639800</v>
          </cell>
          <cell r="L501">
            <v>639800</v>
          </cell>
          <cell r="M501">
            <v>0</v>
          </cell>
          <cell r="N501">
            <v>0</v>
          </cell>
          <cell r="O501">
            <v>261912</v>
          </cell>
          <cell r="P501">
            <v>261912</v>
          </cell>
        </row>
        <row r="502">
          <cell r="A502">
            <v>15</v>
          </cell>
          <cell r="B502" t="str">
            <v>600V控制電纜,銅導体,PVC絕緣,麥拉遮蔽(OVERALL),</v>
          </cell>
          <cell r="C502">
            <v>650</v>
          </cell>
          <cell r="D502" t="str">
            <v>M</v>
          </cell>
          <cell r="E502">
            <v>37</v>
          </cell>
          <cell r="F502">
            <v>24050</v>
          </cell>
          <cell r="H502">
            <v>0</v>
          </cell>
          <cell r="I502">
            <v>0.11700000000000001</v>
          </cell>
          <cell r="J502">
            <v>76</v>
          </cell>
          <cell r="K502">
            <v>37</v>
          </cell>
          <cell r="L502">
            <v>24050</v>
          </cell>
          <cell r="M502">
            <v>0</v>
          </cell>
          <cell r="N502">
            <v>0</v>
          </cell>
          <cell r="O502">
            <v>33</v>
          </cell>
          <cell r="P502">
            <v>21450</v>
          </cell>
        </row>
        <row r="503">
          <cell r="B503" t="str">
            <v>PVC黑色被覆 7C-2SQ.MM</v>
          </cell>
          <cell r="F503">
            <v>0</v>
          </cell>
          <cell r="H503">
            <v>0</v>
          </cell>
          <cell r="J503">
            <v>0</v>
          </cell>
          <cell r="K503">
            <v>0</v>
          </cell>
          <cell r="L503">
            <v>0</v>
          </cell>
          <cell r="M503">
            <v>0</v>
          </cell>
          <cell r="N503">
            <v>0</v>
          </cell>
          <cell r="O503">
            <v>0</v>
          </cell>
          <cell r="P503">
            <v>0</v>
          </cell>
        </row>
        <row r="504">
          <cell r="A504">
            <v>16</v>
          </cell>
          <cell r="B504" t="str">
            <v>600V控制電纜,銅導体,PVC絕緣,麥拉遮蔽(OVERALL),</v>
          </cell>
          <cell r="C504">
            <v>1500</v>
          </cell>
          <cell r="D504" t="str">
            <v>M</v>
          </cell>
          <cell r="E504">
            <v>41</v>
          </cell>
          <cell r="F504">
            <v>61500</v>
          </cell>
          <cell r="H504">
            <v>0</v>
          </cell>
          <cell r="I504">
            <v>0.13300000000000001</v>
          </cell>
          <cell r="J504">
            <v>200</v>
          </cell>
          <cell r="K504">
            <v>41</v>
          </cell>
          <cell r="L504">
            <v>61500</v>
          </cell>
          <cell r="M504">
            <v>0</v>
          </cell>
          <cell r="N504">
            <v>0</v>
          </cell>
          <cell r="O504">
            <v>37</v>
          </cell>
          <cell r="P504">
            <v>55500</v>
          </cell>
        </row>
        <row r="505">
          <cell r="B505" t="str">
            <v>PVC黑色被覆 9C-2SQ.MM</v>
          </cell>
          <cell r="F505">
            <v>0</v>
          </cell>
          <cell r="H505">
            <v>0</v>
          </cell>
          <cell r="J505">
            <v>0</v>
          </cell>
          <cell r="K505">
            <v>0</v>
          </cell>
          <cell r="L505">
            <v>0</v>
          </cell>
          <cell r="M505">
            <v>0</v>
          </cell>
          <cell r="N505">
            <v>0</v>
          </cell>
          <cell r="O505">
            <v>0</v>
          </cell>
          <cell r="P505">
            <v>0</v>
          </cell>
        </row>
        <row r="506">
          <cell r="A506">
            <v>17</v>
          </cell>
          <cell r="B506" t="str">
            <v>600V控制電纜,銅導体,PVC絕緣,麥拉遮蔽(OVERALL),</v>
          </cell>
          <cell r="C506">
            <v>2600</v>
          </cell>
          <cell r="D506" t="str">
            <v>M</v>
          </cell>
          <cell r="E506">
            <v>53</v>
          </cell>
          <cell r="F506">
            <v>137800</v>
          </cell>
          <cell r="H506">
            <v>0</v>
          </cell>
          <cell r="I506">
            <v>0.153</v>
          </cell>
          <cell r="J506">
            <v>398</v>
          </cell>
          <cell r="K506">
            <v>53</v>
          </cell>
          <cell r="L506">
            <v>137800</v>
          </cell>
          <cell r="M506">
            <v>0</v>
          </cell>
          <cell r="N506">
            <v>0</v>
          </cell>
          <cell r="O506">
            <v>43</v>
          </cell>
          <cell r="P506">
            <v>111800</v>
          </cell>
        </row>
        <row r="507">
          <cell r="B507" t="str">
            <v>PVC黑色被覆 12C-2SQ.MM</v>
          </cell>
          <cell r="F507">
            <v>0</v>
          </cell>
          <cell r="H507">
            <v>0</v>
          </cell>
          <cell r="J507">
            <v>0</v>
          </cell>
          <cell r="K507">
            <v>0</v>
          </cell>
          <cell r="L507">
            <v>0</v>
          </cell>
          <cell r="M507">
            <v>0</v>
          </cell>
          <cell r="N507">
            <v>0</v>
          </cell>
          <cell r="O507">
            <v>0</v>
          </cell>
          <cell r="P507">
            <v>0</v>
          </cell>
        </row>
        <row r="508">
          <cell r="A508">
            <v>18</v>
          </cell>
          <cell r="B508" t="str">
            <v>600V控制電纜,銅導体,PVC絕緣,麥拉遮蔽(OVERALL),</v>
          </cell>
          <cell r="C508">
            <v>10000</v>
          </cell>
          <cell r="D508" t="str">
            <v>M</v>
          </cell>
          <cell r="E508">
            <v>44</v>
          </cell>
          <cell r="F508">
            <v>440000</v>
          </cell>
          <cell r="H508">
            <v>0</v>
          </cell>
          <cell r="I508">
            <v>0.13500000000000001</v>
          </cell>
          <cell r="J508">
            <v>1350</v>
          </cell>
          <cell r="K508">
            <v>44</v>
          </cell>
          <cell r="L508">
            <v>440000</v>
          </cell>
          <cell r="M508">
            <v>0</v>
          </cell>
          <cell r="N508">
            <v>0</v>
          </cell>
          <cell r="O508">
            <v>38</v>
          </cell>
          <cell r="P508">
            <v>380000</v>
          </cell>
        </row>
        <row r="509">
          <cell r="B509" t="str">
            <v>PVC黑色被覆 7C-3.5SQ.MM</v>
          </cell>
          <cell r="F509">
            <v>0</v>
          </cell>
          <cell r="H509">
            <v>0</v>
          </cell>
          <cell r="J509">
            <v>0</v>
          </cell>
          <cell r="K509">
            <v>0</v>
          </cell>
          <cell r="L509">
            <v>0</v>
          </cell>
          <cell r="M509">
            <v>0</v>
          </cell>
          <cell r="N509">
            <v>0</v>
          </cell>
          <cell r="O509">
            <v>0</v>
          </cell>
          <cell r="P509">
            <v>0</v>
          </cell>
        </row>
        <row r="510">
          <cell r="A510">
            <v>19</v>
          </cell>
          <cell r="B510" t="str">
            <v>600V控制電纜,銅導体,PVC絕緣,麥拉遮蔽(OVERALL),</v>
          </cell>
          <cell r="C510">
            <v>3000</v>
          </cell>
          <cell r="D510" t="str">
            <v>M</v>
          </cell>
          <cell r="E510">
            <v>76</v>
          </cell>
          <cell r="F510">
            <v>228000</v>
          </cell>
          <cell r="H510">
            <v>0</v>
          </cell>
          <cell r="I510">
            <v>0.193</v>
          </cell>
          <cell r="J510">
            <v>579</v>
          </cell>
          <cell r="K510">
            <v>76</v>
          </cell>
          <cell r="L510">
            <v>228000</v>
          </cell>
          <cell r="M510">
            <v>0</v>
          </cell>
          <cell r="N510">
            <v>0</v>
          </cell>
          <cell r="O510">
            <v>54</v>
          </cell>
          <cell r="P510">
            <v>162000</v>
          </cell>
        </row>
        <row r="511">
          <cell r="B511" t="str">
            <v>PVC黑色被覆 19C-2SQ.MM</v>
          </cell>
          <cell r="F511">
            <v>0</v>
          </cell>
          <cell r="H511">
            <v>0</v>
          </cell>
          <cell r="J511">
            <v>0</v>
          </cell>
          <cell r="K511">
            <v>0</v>
          </cell>
          <cell r="L511">
            <v>0</v>
          </cell>
          <cell r="M511">
            <v>0</v>
          </cell>
          <cell r="N511">
            <v>0</v>
          </cell>
          <cell r="O511">
            <v>0</v>
          </cell>
          <cell r="P511">
            <v>0</v>
          </cell>
        </row>
        <row r="512">
          <cell r="A512">
            <v>20</v>
          </cell>
          <cell r="B512" t="str">
            <v>600V控制電纜,銅導体,PVC絕緣,麥拉遮蔽(OVERALL),</v>
          </cell>
          <cell r="C512">
            <v>14000</v>
          </cell>
          <cell r="D512" t="str">
            <v>M</v>
          </cell>
          <cell r="E512">
            <v>119</v>
          </cell>
          <cell r="F512">
            <v>1666000</v>
          </cell>
          <cell r="H512">
            <v>0</v>
          </cell>
          <cell r="I512">
            <v>0.23599999999999999</v>
          </cell>
          <cell r="J512">
            <v>3304</v>
          </cell>
          <cell r="K512">
            <v>119</v>
          </cell>
          <cell r="L512">
            <v>1666000</v>
          </cell>
          <cell r="M512">
            <v>0</v>
          </cell>
          <cell r="N512">
            <v>0</v>
          </cell>
          <cell r="O512">
            <v>66</v>
          </cell>
          <cell r="P512">
            <v>924000</v>
          </cell>
        </row>
        <row r="513">
          <cell r="B513" t="str">
            <v>PVC黑色被覆 30C-2SQ.MM</v>
          </cell>
          <cell r="F513">
            <v>0</v>
          </cell>
          <cell r="H513">
            <v>0</v>
          </cell>
          <cell r="J513">
            <v>0</v>
          </cell>
          <cell r="K513">
            <v>0</v>
          </cell>
          <cell r="L513">
            <v>0</v>
          </cell>
          <cell r="M513">
            <v>0</v>
          </cell>
          <cell r="N513">
            <v>0</v>
          </cell>
          <cell r="O513">
            <v>0</v>
          </cell>
          <cell r="P513">
            <v>0</v>
          </cell>
        </row>
        <row r="514">
          <cell r="A514">
            <v>21</v>
          </cell>
          <cell r="B514" t="str">
            <v>300V信號電纜,PVC絕緣,麥拉遮蔽(OVERALL &amp; INDIVID)PVC</v>
          </cell>
          <cell r="C514">
            <v>12000</v>
          </cell>
          <cell r="D514" t="str">
            <v>M</v>
          </cell>
          <cell r="E514">
            <v>17</v>
          </cell>
          <cell r="F514">
            <v>204000</v>
          </cell>
          <cell r="H514">
            <v>0</v>
          </cell>
          <cell r="I514">
            <v>6.4000000000000001E-2</v>
          </cell>
          <cell r="J514">
            <v>768</v>
          </cell>
          <cell r="K514">
            <v>17</v>
          </cell>
          <cell r="L514">
            <v>204000</v>
          </cell>
          <cell r="M514">
            <v>0</v>
          </cell>
          <cell r="N514">
            <v>0</v>
          </cell>
          <cell r="O514">
            <v>18</v>
          </cell>
          <cell r="P514">
            <v>216000</v>
          </cell>
        </row>
        <row r="515">
          <cell r="B515" t="str">
            <v>黑色被覆  1TxAWG#16</v>
          </cell>
          <cell r="F515">
            <v>0</v>
          </cell>
          <cell r="H515">
            <v>0</v>
          </cell>
          <cell r="J515">
            <v>0</v>
          </cell>
          <cell r="K515">
            <v>0</v>
          </cell>
          <cell r="L515">
            <v>0</v>
          </cell>
          <cell r="M515">
            <v>0</v>
          </cell>
          <cell r="N515">
            <v>0</v>
          </cell>
          <cell r="O515">
            <v>0</v>
          </cell>
          <cell r="P515">
            <v>0</v>
          </cell>
        </row>
        <row r="516">
          <cell r="A516">
            <v>22</v>
          </cell>
          <cell r="B516" t="str">
            <v>300V信號電纜,PVC絕緣,麥拉遮蔽(OVERALL &amp; INDIVID)PVC</v>
          </cell>
          <cell r="C516">
            <v>3500</v>
          </cell>
          <cell r="D516" t="str">
            <v>M</v>
          </cell>
          <cell r="E516">
            <v>227</v>
          </cell>
          <cell r="F516">
            <v>794500</v>
          </cell>
          <cell r="H516">
            <v>0</v>
          </cell>
          <cell r="I516">
            <v>0.25</v>
          </cell>
          <cell r="J516">
            <v>875</v>
          </cell>
          <cell r="K516">
            <v>227</v>
          </cell>
          <cell r="L516">
            <v>794500</v>
          </cell>
          <cell r="M516">
            <v>0</v>
          </cell>
          <cell r="N516">
            <v>0</v>
          </cell>
          <cell r="O516">
            <v>70</v>
          </cell>
          <cell r="P516">
            <v>245000</v>
          </cell>
        </row>
        <row r="517">
          <cell r="B517" t="str">
            <v>黑色被覆  12TxAWG#14</v>
          </cell>
          <cell r="F517">
            <v>0</v>
          </cell>
          <cell r="H517">
            <v>0</v>
          </cell>
          <cell r="J517">
            <v>0</v>
          </cell>
          <cell r="K517">
            <v>0</v>
          </cell>
          <cell r="L517">
            <v>0</v>
          </cell>
          <cell r="M517">
            <v>0</v>
          </cell>
          <cell r="N517">
            <v>0</v>
          </cell>
          <cell r="O517">
            <v>0</v>
          </cell>
          <cell r="P517">
            <v>0</v>
          </cell>
        </row>
        <row r="518">
          <cell r="A518">
            <v>23</v>
          </cell>
          <cell r="B518" t="str">
            <v>300V信號電纜,PVC絕緣,麥拉遮蔽(OVERALL &amp; INDIVID)PVC</v>
          </cell>
          <cell r="C518">
            <v>350</v>
          </cell>
          <cell r="D518" t="str">
            <v>M</v>
          </cell>
          <cell r="E518">
            <v>471</v>
          </cell>
          <cell r="F518">
            <v>164850</v>
          </cell>
          <cell r="H518">
            <v>0</v>
          </cell>
          <cell r="I518">
            <v>0.4</v>
          </cell>
          <cell r="J518">
            <v>140</v>
          </cell>
          <cell r="K518">
            <v>471</v>
          </cell>
          <cell r="L518">
            <v>164850</v>
          </cell>
          <cell r="M518">
            <v>0</v>
          </cell>
          <cell r="N518">
            <v>0</v>
          </cell>
          <cell r="O518">
            <v>112</v>
          </cell>
          <cell r="P518">
            <v>39200</v>
          </cell>
        </row>
        <row r="519">
          <cell r="B519" t="str">
            <v>黑色被覆 24TxAWG#14</v>
          </cell>
          <cell r="F519">
            <v>0</v>
          </cell>
          <cell r="H519">
            <v>0</v>
          </cell>
          <cell r="J519">
            <v>0</v>
          </cell>
          <cell r="K519">
            <v>0</v>
          </cell>
          <cell r="L519">
            <v>0</v>
          </cell>
          <cell r="M519">
            <v>0</v>
          </cell>
          <cell r="N519">
            <v>0</v>
          </cell>
          <cell r="O519">
            <v>0</v>
          </cell>
          <cell r="P519">
            <v>0</v>
          </cell>
        </row>
        <row r="520">
          <cell r="A520">
            <v>24</v>
          </cell>
          <cell r="B520" t="str">
            <v>HOT DIPPED GALV, STEEL CHANNEL 100X50X5X7.5</v>
          </cell>
          <cell r="C520">
            <v>50</v>
          </cell>
          <cell r="D520" t="str">
            <v>M</v>
          </cell>
          <cell r="E520">
            <v>200</v>
          </cell>
          <cell r="F520">
            <v>10000</v>
          </cell>
          <cell r="H520">
            <v>0</v>
          </cell>
          <cell r="I520">
            <v>1.5</v>
          </cell>
          <cell r="J520">
            <v>75</v>
          </cell>
          <cell r="K520">
            <v>200</v>
          </cell>
          <cell r="L520">
            <v>10000</v>
          </cell>
          <cell r="M520">
            <v>0</v>
          </cell>
          <cell r="N520">
            <v>0</v>
          </cell>
          <cell r="O520">
            <v>420</v>
          </cell>
          <cell r="P520">
            <v>21000</v>
          </cell>
        </row>
        <row r="521">
          <cell r="A521">
            <v>25</v>
          </cell>
          <cell r="B521" t="str">
            <v>HOT DIPPED GALV, U- CHANNEL 41X41</v>
          </cell>
          <cell r="C521">
            <v>335</v>
          </cell>
          <cell r="D521" t="str">
            <v>M</v>
          </cell>
          <cell r="E521">
            <v>82</v>
          </cell>
          <cell r="F521">
            <v>27470</v>
          </cell>
          <cell r="H521">
            <v>0</v>
          </cell>
          <cell r="I521">
            <v>0.40699999999999997</v>
          </cell>
          <cell r="J521">
            <v>136</v>
          </cell>
          <cell r="K521">
            <v>82</v>
          </cell>
          <cell r="L521">
            <v>27470</v>
          </cell>
          <cell r="M521">
            <v>0</v>
          </cell>
          <cell r="N521">
            <v>0</v>
          </cell>
          <cell r="O521">
            <v>114</v>
          </cell>
          <cell r="P521">
            <v>38190</v>
          </cell>
        </row>
        <row r="522">
          <cell r="A522">
            <v>26</v>
          </cell>
          <cell r="B522" t="str">
            <v>FLEXIBLE CONDUIT 1"</v>
          </cell>
          <cell r="C522">
            <v>40</v>
          </cell>
          <cell r="D522" t="str">
            <v>M</v>
          </cell>
          <cell r="E522">
            <v>252</v>
          </cell>
          <cell r="F522">
            <v>10080</v>
          </cell>
          <cell r="H522">
            <v>0</v>
          </cell>
          <cell r="I522">
            <v>0.64</v>
          </cell>
          <cell r="J522">
            <v>26</v>
          </cell>
          <cell r="K522">
            <v>252</v>
          </cell>
          <cell r="L522">
            <v>10080</v>
          </cell>
          <cell r="M522">
            <v>0</v>
          </cell>
          <cell r="N522">
            <v>0</v>
          </cell>
          <cell r="O522">
            <v>179</v>
          </cell>
          <cell r="P522">
            <v>7160</v>
          </cell>
        </row>
        <row r="523">
          <cell r="A523">
            <v>27</v>
          </cell>
          <cell r="B523" t="str">
            <v>HOT DIPPED GALV. STEEL PLATE 1829X6401X3t</v>
          </cell>
          <cell r="C523">
            <v>2</v>
          </cell>
          <cell r="D523" t="str">
            <v>PCS</v>
          </cell>
          <cell r="E523">
            <v>1000</v>
          </cell>
          <cell r="F523">
            <v>2000</v>
          </cell>
          <cell r="H523">
            <v>0</v>
          </cell>
          <cell r="I523">
            <v>10</v>
          </cell>
          <cell r="J523">
            <v>20</v>
          </cell>
          <cell r="K523">
            <v>1000</v>
          </cell>
          <cell r="L523">
            <v>2000</v>
          </cell>
          <cell r="M523">
            <v>0</v>
          </cell>
          <cell r="N523">
            <v>0</v>
          </cell>
          <cell r="O523">
            <v>2800</v>
          </cell>
          <cell r="P523">
            <v>5600</v>
          </cell>
        </row>
        <row r="524">
          <cell r="A524">
            <v>28</v>
          </cell>
          <cell r="B524" t="str">
            <v>1/4圓(半徑30公分)低溫偵測器之補償器遮蔽板SS316製</v>
          </cell>
          <cell r="C524">
            <v>4</v>
          </cell>
          <cell r="D524" t="str">
            <v>PCS</v>
          </cell>
          <cell r="E524">
            <v>3000</v>
          </cell>
          <cell r="F524">
            <v>12000</v>
          </cell>
          <cell r="H524">
            <v>0</v>
          </cell>
          <cell r="I524">
            <v>4</v>
          </cell>
          <cell r="J524">
            <v>16</v>
          </cell>
          <cell r="K524">
            <v>3000</v>
          </cell>
          <cell r="L524">
            <v>12000</v>
          </cell>
          <cell r="M524">
            <v>0</v>
          </cell>
          <cell r="N524">
            <v>0</v>
          </cell>
          <cell r="O524">
            <v>1120</v>
          </cell>
          <cell r="P524">
            <v>4480</v>
          </cell>
        </row>
        <row r="525">
          <cell r="A525">
            <v>29</v>
          </cell>
          <cell r="B525" t="str">
            <v>接線箱,附端子板20P,FRP外殼,屋外防水型</v>
          </cell>
          <cell r="C525">
            <v>5</v>
          </cell>
          <cell r="D525" t="str">
            <v>SET</v>
          </cell>
          <cell r="E525">
            <v>3500</v>
          </cell>
          <cell r="F525">
            <v>17500</v>
          </cell>
          <cell r="H525">
            <v>0</v>
          </cell>
          <cell r="I525">
            <v>4</v>
          </cell>
          <cell r="J525">
            <v>20</v>
          </cell>
          <cell r="K525">
            <v>3500</v>
          </cell>
          <cell r="L525">
            <v>17500</v>
          </cell>
          <cell r="M525">
            <v>0</v>
          </cell>
          <cell r="N525">
            <v>0</v>
          </cell>
          <cell r="O525">
            <v>1120</v>
          </cell>
          <cell r="P525">
            <v>5600</v>
          </cell>
        </row>
        <row r="526">
          <cell r="A526">
            <v>30</v>
          </cell>
          <cell r="B526" t="str">
            <v>接線箱,附端子板50P,FRP外殼,屋外防水型</v>
          </cell>
          <cell r="C526">
            <v>4</v>
          </cell>
          <cell r="D526" t="str">
            <v>SET</v>
          </cell>
          <cell r="E526">
            <v>5500</v>
          </cell>
          <cell r="F526">
            <v>22000</v>
          </cell>
          <cell r="H526">
            <v>0</v>
          </cell>
          <cell r="I526">
            <v>8</v>
          </cell>
          <cell r="J526">
            <v>32</v>
          </cell>
          <cell r="K526">
            <v>5500</v>
          </cell>
          <cell r="L526">
            <v>22000</v>
          </cell>
          <cell r="M526">
            <v>0</v>
          </cell>
          <cell r="N526">
            <v>0</v>
          </cell>
          <cell r="O526">
            <v>2240</v>
          </cell>
          <cell r="P526">
            <v>8960</v>
          </cell>
        </row>
        <row r="527">
          <cell r="A527">
            <v>31</v>
          </cell>
          <cell r="B527" t="str">
            <v>接線箱,附端子板100P,FRP外殼,屋外防水型</v>
          </cell>
          <cell r="C527">
            <v>1</v>
          </cell>
          <cell r="D527" t="str">
            <v>SET</v>
          </cell>
          <cell r="E527">
            <v>9000</v>
          </cell>
          <cell r="F527">
            <v>9000</v>
          </cell>
          <cell r="H527">
            <v>0</v>
          </cell>
          <cell r="I527">
            <v>12</v>
          </cell>
          <cell r="J527">
            <v>12</v>
          </cell>
          <cell r="K527">
            <v>9000</v>
          </cell>
          <cell r="L527">
            <v>9000</v>
          </cell>
          <cell r="M527">
            <v>0</v>
          </cell>
          <cell r="N527">
            <v>0</v>
          </cell>
          <cell r="O527">
            <v>3360</v>
          </cell>
          <cell r="P527">
            <v>3360</v>
          </cell>
        </row>
        <row r="528">
          <cell r="A528">
            <v>32</v>
          </cell>
          <cell r="B528" t="str">
            <v>HOT DIPPED GALV, STEEL CHANNEL 100X50X5X7.5X2.4高</v>
          </cell>
          <cell r="C528">
            <v>26</v>
          </cell>
          <cell r="D528" t="str">
            <v>SET</v>
          </cell>
          <cell r="E528">
            <v>2400</v>
          </cell>
          <cell r="F528">
            <v>62400</v>
          </cell>
          <cell r="H528">
            <v>0</v>
          </cell>
          <cell r="I528">
            <v>3</v>
          </cell>
          <cell r="J528">
            <v>78</v>
          </cell>
          <cell r="K528">
            <v>2400</v>
          </cell>
          <cell r="L528">
            <v>62400</v>
          </cell>
          <cell r="M528">
            <v>0</v>
          </cell>
          <cell r="N528">
            <v>0</v>
          </cell>
          <cell r="O528">
            <v>840</v>
          </cell>
          <cell r="P528">
            <v>21840</v>
          </cell>
        </row>
        <row r="529">
          <cell r="B529" t="str">
            <v>附基礎</v>
          </cell>
          <cell r="F529">
            <v>0</v>
          </cell>
          <cell r="H529">
            <v>0</v>
          </cell>
          <cell r="J529">
            <v>0</v>
          </cell>
          <cell r="K529">
            <v>0</v>
          </cell>
          <cell r="L529">
            <v>0</v>
          </cell>
          <cell r="M529">
            <v>0</v>
          </cell>
          <cell r="N529">
            <v>0</v>
          </cell>
          <cell r="O529">
            <v>0</v>
          </cell>
          <cell r="P529">
            <v>0</v>
          </cell>
        </row>
        <row r="530">
          <cell r="A530">
            <v>33</v>
          </cell>
          <cell r="B530" t="str">
            <v>DITTO, BUT STEEL CHANNEL 為3.6M高</v>
          </cell>
          <cell r="C530">
            <v>13</v>
          </cell>
          <cell r="D530" t="str">
            <v>SET</v>
          </cell>
          <cell r="E530">
            <v>3600</v>
          </cell>
          <cell r="F530">
            <v>46800</v>
          </cell>
          <cell r="H530">
            <v>0</v>
          </cell>
          <cell r="I530">
            <v>4</v>
          </cell>
          <cell r="J530">
            <v>52</v>
          </cell>
          <cell r="K530">
            <v>3600</v>
          </cell>
          <cell r="L530">
            <v>46800</v>
          </cell>
          <cell r="M530">
            <v>0</v>
          </cell>
          <cell r="N530">
            <v>0</v>
          </cell>
          <cell r="O530">
            <v>1120</v>
          </cell>
          <cell r="P530">
            <v>14560</v>
          </cell>
        </row>
        <row r="531">
          <cell r="A531">
            <v>34</v>
          </cell>
          <cell r="B531" t="str">
            <v>DITTO, BUT STEEL CHANNEL 為1.95M高</v>
          </cell>
          <cell r="C531">
            <v>3</v>
          </cell>
          <cell r="D531" t="str">
            <v>SET</v>
          </cell>
          <cell r="E531">
            <v>2000</v>
          </cell>
          <cell r="F531">
            <v>6000</v>
          </cell>
          <cell r="H531">
            <v>0</v>
          </cell>
          <cell r="I531">
            <v>3</v>
          </cell>
          <cell r="J531">
            <v>9</v>
          </cell>
          <cell r="K531">
            <v>2000</v>
          </cell>
          <cell r="L531">
            <v>6000</v>
          </cell>
          <cell r="M531">
            <v>0</v>
          </cell>
          <cell r="N531">
            <v>0</v>
          </cell>
          <cell r="O531">
            <v>840</v>
          </cell>
          <cell r="P531">
            <v>2520</v>
          </cell>
        </row>
        <row r="532">
          <cell r="A532">
            <v>35</v>
          </cell>
          <cell r="B532" t="str">
            <v xml:space="preserve">MISCELLANEOUS </v>
          </cell>
          <cell r="C532">
            <v>1</v>
          </cell>
          <cell r="D532" t="str">
            <v>LOT</v>
          </cell>
          <cell r="E532">
            <v>743902.5</v>
          </cell>
          <cell r="F532">
            <v>743903</v>
          </cell>
          <cell r="H532">
            <v>0</v>
          </cell>
          <cell r="I532">
            <v>646.55000000000007</v>
          </cell>
          <cell r="J532">
            <v>647</v>
          </cell>
          <cell r="K532">
            <v>743903</v>
          </cell>
          <cell r="L532">
            <v>743903</v>
          </cell>
          <cell r="M532">
            <v>0</v>
          </cell>
          <cell r="N532">
            <v>0</v>
          </cell>
          <cell r="O532">
            <v>181034</v>
          </cell>
          <cell r="P532">
            <v>181034</v>
          </cell>
        </row>
        <row r="533">
          <cell r="B533" t="str">
            <v>SUB-TOTAL : (I)</v>
          </cell>
          <cell r="F533">
            <v>15621953</v>
          </cell>
          <cell r="H533">
            <v>0</v>
          </cell>
          <cell r="J533">
            <v>13628</v>
          </cell>
          <cell r="K533">
            <v>0</v>
          </cell>
          <cell r="L533">
            <v>15621953</v>
          </cell>
          <cell r="M533">
            <v>0</v>
          </cell>
          <cell r="N533">
            <v>0</v>
          </cell>
          <cell r="O533">
            <v>0</v>
          </cell>
          <cell r="P533">
            <v>3816326</v>
          </cell>
        </row>
        <row r="536">
          <cell r="A536" t="str">
            <v>J.</v>
          </cell>
          <cell r="B536" t="str">
            <v>U/G CONDUIT BANK</v>
          </cell>
          <cell r="F536">
            <v>0</v>
          </cell>
          <cell r="H536">
            <v>0</v>
          </cell>
          <cell r="J536">
            <v>0</v>
          </cell>
          <cell r="K536">
            <v>0</v>
          </cell>
          <cell r="L536">
            <v>0</v>
          </cell>
          <cell r="M536">
            <v>0</v>
          </cell>
          <cell r="N536">
            <v>0</v>
          </cell>
          <cell r="O536">
            <v>0</v>
          </cell>
          <cell r="P536">
            <v>0</v>
          </cell>
        </row>
        <row r="538">
          <cell r="A538" t="str">
            <v>J.1</v>
          </cell>
          <cell r="B538" t="str">
            <v>U/G CONDUIT BANK FOR TEL., P/P, CCTV, APS</v>
          </cell>
          <cell r="F538">
            <v>0</v>
          </cell>
          <cell r="H538">
            <v>0</v>
          </cell>
          <cell r="J538">
            <v>0</v>
          </cell>
          <cell r="K538">
            <v>0</v>
          </cell>
          <cell r="L538">
            <v>0</v>
          </cell>
          <cell r="M538">
            <v>0</v>
          </cell>
          <cell r="N538">
            <v>0</v>
          </cell>
          <cell r="O538">
            <v>0</v>
          </cell>
          <cell r="P538">
            <v>0</v>
          </cell>
        </row>
        <row r="539">
          <cell r="A539" t="str">
            <v>J.1.1</v>
          </cell>
          <cell r="B539" t="str">
            <v xml:space="preserve"> PVC CONDUIT, THICK WALL, CNS1302 SCH. B , 1"</v>
          </cell>
          <cell r="C539">
            <v>800</v>
          </cell>
          <cell r="D539" t="str">
            <v>M</v>
          </cell>
          <cell r="E539">
            <v>16</v>
          </cell>
          <cell r="F539">
            <v>12800</v>
          </cell>
          <cell r="H539">
            <v>0</v>
          </cell>
          <cell r="I539">
            <v>0.22</v>
          </cell>
          <cell r="J539">
            <v>176</v>
          </cell>
          <cell r="K539">
            <v>16</v>
          </cell>
          <cell r="L539">
            <v>12800</v>
          </cell>
          <cell r="M539">
            <v>0</v>
          </cell>
          <cell r="N539">
            <v>0</v>
          </cell>
          <cell r="O539">
            <v>62</v>
          </cell>
          <cell r="P539">
            <v>49600</v>
          </cell>
        </row>
        <row r="540">
          <cell r="A540" t="str">
            <v>J.1.2</v>
          </cell>
          <cell r="B540" t="str">
            <v xml:space="preserve"> PVC CONDUIT, THICK WALL, CNS1302 SCH. B , 2"</v>
          </cell>
          <cell r="C540">
            <v>22000</v>
          </cell>
          <cell r="D540" t="str">
            <v>M</v>
          </cell>
          <cell r="E540">
            <v>38</v>
          </cell>
          <cell r="F540">
            <v>836000</v>
          </cell>
          <cell r="H540">
            <v>0</v>
          </cell>
          <cell r="I540">
            <v>0.3</v>
          </cell>
          <cell r="J540">
            <v>6600</v>
          </cell>
          <cell r="K540">
            <v>38</v>
          </cell>
          <cell r="L540">
            <v>836000</v>
          </cell>
          <cell r="M540">
            <v>0</v>
          </cell>
          <cell r="N540">
            <v>0</v>
          </cell>
          <cell r="O540">
            <v>84</v>
          </cell>
          <cell r="P540">
            <v>1848000</v>
          </cell>
        </row>
        <row r="541">
          <cell r="A541" t="str">
            <v>J.1.3</v>
          </cell>
          <cell r="B541" t="str">
            <v xml:space="preserve"> PVC CONDUIT, THICK WALL, CNS1302 SCH. B , 4"</v>
          </cell>
          <cell r="C541">
            <v>16500</v>
          </cell>
          <cell r="D541" t="str">
            <v>M</v>
          </cell>
          <cell r="E541">
            <v>128</v>
          </cell>
          <cell r="F541">
            <v>2112000</v>
          </cell>
          <cell r="H541">
            <v>0</v>
          </cell>
          <cell r="I541">
            <v>0.43</v>
          </cell>
          <cell r="J541">
            <v>7095</v>
          </cell>
          <cell r="K541">
            <v>128</v>
          </cell>
          <cell r="L541">
            <v>2112000</v>
          </cell>
          <cell r="M541">
            <v>0</v>
          </cell>
          <cell r="N541">
            <v>0</v>
          </cell>
          <cell r="O541">
            <v>120</v>
          </cell>
          <cell r="P541">
            <v>1980000</v>
          </cell>
        </row>
        <row r="542">
          <cell r="A542" t="str">
            <v>J.1.4</v>
          </cell>
          <cell r="B542" t="str">
            <v xml:space="preserve"> PVC CONDUIT, THICK WALL, CNS1302 SCH. B , 6"</v>
          </cell>
          <cell r="C542">
            <v>8000</v>
          </cell>
          <cell r="D542" t="str">
            <v>M</v>
          </cell>
          <cell r="E542">
            <v>242</v>
          </cell>
          <cell r="F542">
            <v>1936000</v>
          </cell>
          <cell r="H542">
            <v>0</v>
          </cell>
          <cell r="I542">
            <v>0.68</v>
          </cell>
          <cell r="J542">
            <v>5440</v>
          </cell>
          <cell r="K542">
            <v>242</v>
          </cell>
          <cell r="L542">
            <v>1936000</v>
          </cell>
          <cell r="M542">
            <v>0</v>
          </cell>
          <cell r="N542">
            <v>0</v>
          </cell>
          <cell r="O542">
            <v>190</v>
          </cell>
          <cell r="P542">
            <v>1520000</v>
          </cell>
        </row>
        <row r="543">
          <cell r="A543" t="str">
            <v>J.1.5</v>
          </cell>
          <cell r="B543" t="str">
            <v xml:space="preserve"> EXCAVATION</v>
          </cell>
          <cell r="C543">
            <v>7000</v>
          </cell>
          <cell r="D543" t="str">
            <v>M3</v>
          </cell>
          <cell r="E543" t="str">
            <v>M+L</v>
          </cell>
          <cell r="F543" t="str">
            <v>M+L</v>
          </cell>
          <cell r="H543">
            <v>0</v>
          </cell>
          <cell r="J543">
            <v>0</v>
          </cell>
          <cell r="K543" t="str">
            <v>M+L</v>
          </cell>
          <cell r="L543" t="str">
            <v>M+L</v>
          </cell>
          <cell r="M543">
            <v>0</v>
          </cell>
          <cell r="N543">
            <v>0</v>
          </cell>
          <cell r="O543">
            <v>60</v>
          </cell>
          <cell r="P543">
            <v>420000</v>
          </cell>
        </row>
        <row r="544">
          <cell r="A544" t="str">
            <v>J.1.6</v>
          </cell>
          <cell r="B544" t="str">
            <v xml:space="preserve"> BACKFILL</v>
          </cell>
          <cell r="C544">
            <v>5100</v>
          </cell>
          <cell r="D544" t="str">
            <v>M3</v>
          </cell>
          <cell r="E544" t="str">
            <v>M+L</v>
          </cell>
          <cell r="F544" t="str">
            <v>M+L</v>
          </cell>
          <cell r="H544">
            <v>0</v>
          </cell>
          <cell r="J544">
            <v>0</v>
          </cell>
          <cell r="K544" t="str">
            <v>M+L</v>
          </cell>
          <cell r="L544" t="str">
            <v>M+L</v>
          </cell>
          <cell r="M544">
            <v>0</v>
          </cell>
          <cell r="N544">
            <v>0</v>
          </cell>
          <cell r="O544">
            <v>100</v>
          </cell>
          <cell r="P544">
            <v>510000</v>
          </cell>
        </row>
        <row r="545">
          <cell r="A545" t="str">
            <v>J.1.7</v>
          </cell>
          <cell r="B545" t="str">
            <v xml:space="preserve"> CONCRETE FOR DUCT BANK 2000 PSI</v>
          </cell>
          <cell r="C545">
            <v>1900</v>
          </cell>
          <cell r="D545" t="str">
            <v>M3</v>
          </cell>
          <cell r="E545" t="str">
            <v>M+L</v>
          </cell>
          <cell r="F545" t="str">
            <v>M+L</v>
          </cell>
          <cell r="H545">
            <v>0</v>
          </cell>
          <cell r="J545">
            <v>0</v>
          </cell>
          <cell r="K545" t="str">
            <v>M+L</v>
          </cell>
          <cell r="L545" t="str">
            <v>M+L</v>
          </cell>
          <cell r="M545">
            <v>0</v>
          </cell>
          <cell r="N545">
            <v>0</v>
          </cell>
          <cell r="O545">
            <v>1700</v>
          </cell>
          <cell r="P545">
            <v>3230000</v>
          </cell>
        </row>
        <row r="546">
          <cell r="A546" t="str">
            <v>J.1.8</v>
          </cell>
          <cell r="B546" t="str">
            <v xml:space="preserve"> RED COLORED OXIDE</v>
          </cell>
          <cell r="C546">
            <v>17100</v>
          </cell>
          <cell r="D546" t="str">
            <v>KG</v>
          </cell>
          <cell r="E546" t="str">
            <v>M+L</v>
          </cell>
          <cell r="F546" t="str">
            <v>M+L</v>
          </cell>
          <cell r="H546">
            <v>0</v>
          </cell>
          <cell r="J546">
            <v>0</v>
          </cell>
          <cell r="K546" t="str">
            <v>M+L</v>
          </cell>
          <cell r="L546" t="str">
            <v>M+L</v>
          </cell>
          <cell r="M546">
            <v>0</v>
          </cell>
          <cell r="N546">
            <v>0</v>
          </cell>
          <cell r="O546">
            <v>60</v>
          </cell>
          <cell r="P546">
            <v>1026000</v>
          </cell>
        </row>
        <row r="547">
          <cell r="A547" t="str">
            <v>J.1.9</v>
          </cell>
          <cell r="B547" t="str">
            <v xml:space="preserve"> DISPOSAL</v>
          </cell>
          <cell r="C547">
            <v>1900</v>
          </cell>
          <cell r="D547" t="str">
            <v>M3</v>
          </cell>
          <cell r="E547" t="str">
            <v>M+L</v>
          </cell>
          <cell r="F547" t="str">
            <v>M+L</v>
          </cell>
          <cell r="H547">
            <v>0</v>
          </cell>
          <cell r="J547">
            <v>0</v>
          </cell>
          <cell r="K547" t="str">
            <v>M+L</v>
          </cell>
          <cell r="L547" t="str">
            <v>M+L</v>
          </cell>
          <cell r="M547">
            <v>0</v>
          </cell>
          <cell r="N547">
            <v>0</v>
          </cell>
          <cell r="O547">
            <v>220</v>
          </cell>
          <cell r="P547">
            <v>418000</v>
          </cell>
        </row>
        <row r="548">
          <cell r="A548" t="str">
            <v>J.1.10</v>
          </cell>
          <cell r="B548" t="str">
            <v xml:space="preserve"> FORMWORK</v>
          </cell>
          <cell r="C548">
            <v>5200</v>
          </cell>
          <cell r="D548" t="str">
            <v>M2</v>
          </cell>
          <cell r="E548" t="str">
            <v>M+L</v>
          </cell>
          <cell r="F548" t="str">
            <v>M+L</v>
          </cell>
          <cell r="H548">
            <v>0</v>
          </cell>
          <cell r="J548">
            <v>0</v>
          </cell>
          <cell r="K548" t="str">
            <v>M+L</v>
          </cell>
          <cell r="L548" t="str">
            <v>M+L</v>
          </cell>
          <cell r="M548">
            <v>0</v>
          </cell>
          <cell r="N548">
            <v>0</v>
          </cell>
          <cell r="O548">
            <v>360</v>
          </cell>
          <cell r="P548">
            <v>1872000</v>
          </cell>
        </row>
        <row r="549">
          <cell r="A549" t="str">
            <v>J.1.11</v>
          </cell>
          <cell r="B549" t="str">
            <v xml:space="preserve"> RE-BAR</v>
          </cell>
          <cell r="C549">
            <v>36500</v>
          </cell>
          <cell r="D549" t="str">
            <v>KG</v>
          </cell>
          <cell r="E549" t="str">
            <v>M+L</v>
          </cell>
          <cell r="F549" t="str">
            <v>M+L</v>
          </cell>
          <cell r="H549">
            <v>0</v>
          </cell>
          <cell r="J549">
            <v>0</v>
          </cell>
          <cell r="K549" t="str">
            <v>M+L</v>
          </cell>
          <cell r="L549" t="str">
            <v>M+L</v>
          </cell>
          <cell r="M549">
            <v>0</v>
          </cell>
          <cell r="N549">
            <v>0</v>
          </cell>
          <cell r="O549">
            <v>16</v>
          </cell>
          <cell r="P549">
            <v>584000</v>
          </cell>
        </row>
        <row r="550">
          <cell r="A550" t="str">
            <v>J.1.12</v>
          </cell>
          <cell r="B550" t="str">
            <v xml:space="preserve"> MAN-HOLE, 2,000 L x 2,000 W x 2,000 D</v>
          </cell>
          <cell r="C550">
            <v>24</v>
          </cell>
          <cell r="D550" t="str">
            <v>SET</v>
          </cell>
          <cell r="E550" t="str">
            <v>M+L</v>
          </cell>
          <cell r="F550" t="str">
            <v>M+L</v>
          </cell>
          <cell r="H550">
            <v>0</v>
          </cell>
          <cell r="J550">
            <v>0</v>
          </cell>
          <cell r="K550" t="str">
            <v>M+L</v>
          </cell>
          <cell r="L550" t="str">
            <v>M+L</v>
          </cell>
          <cell r="M550">
            <v>0</v>
          </cell>
          <cell r="N550">
            <v>0</v>
          </cell>
          <cell r="O550">
            <v>65000</v>
          </cell>
          <cell r="P550">
            <v>1560000</v>
          </cell>
        </row>
        <row r="551">
          <cell r="A551" t="str">
            <v>J.1.13</v>
          </cell>
          <cell r="B551" t="str">
            <v xml:space="preserve"> MAN-HOLE, 1,500 L x 1,500 W x 2,000 D</v>
          </cell>
          <cell r="C551">
            <v>0</v>
          </cell>
          <cell r="D551" t="str">
            <v>SET</v>
          </cell>
          <cell r="E551" t="str">
            <v>M+L</v>
          </cell>
          <cell r="F551" t="str">
            <v>M+L</v>
          </cell>
          <cell r="H551">
            <v>0</v>
          </cell>
          <cell r="J551">
            <v>0</v>
          </cell>
          <cell r="K551" t="str">
            <v>M+L</v>
          </cell>
          <cell r="L551" t="str">
            <v>M+L</v>
          </cell>
          <cell r="M551">
            <v>0</v>
          </cell>
          <cell r="N551">
            <v>0</v>
          </cell>
          <cell r="O551">
            <v>52000</v>
          </cell>
          <cell r="P551">
            <v>0</v>
          </cell>
        </row>
        <row r="552">
          <cell r="A552" t="str">
            <v>J.1.14</v>
          </cell>
          <cell r="B552" t="str">
            <v xml:space="preserve"> COMPOND FOR WATER SEALING(IN MH.)</v>
          </cell>
          <cell r="C552">
            <v>2500</v>
          </cell>
          <cell r="D552" t="str">
            <v>KG</v>
          </cell>
          <cell r="E552" t="str">
            <v>M+L</v>
          </cell>
          <cell r="F552" t="str">
            <v>M+L</v>
          </cell>
          <cell r="H552">
            <v>0</v>
          </cell>
          <cell r="J552">
            <v>0</v>
          </cell>
          <cell r="K552" t="str">
            <v>M+L</v>
          </cell>
          <cell r="L552" t="str">
            <v>M+L</v>
          </cell>
          <cell r="M552">
            <v>0</v>
          </cell>
          <cell r="N552">
            <v>0</v>
          </cell>
          <cell r="O552">
            <v>200</v>
          </cell>
          <cell r="P552">
            <v>500000</v>
          </cell>
        </row>
        <row r="553">
          <cell r="B553" t="str">
            <v>SUB-TOTAL : (J.1)</v>
          </cell>
          <cell r="F553">
            <v>4896800</v>
          </cell>
          <cell r="J553">
            <v>19311</v>
          </cell>
          <cell r="L553">
            <v>4896800</v>
          </cell>
          <cell r="P553">
            <v>15517600</v>
          </cell>
        </row>
        <row r="555">
          <cell r="A555" t="str">
            <v>J.2</v>
          </cell>
          <cell r="B555" t="str">
            <v>U/G CONDUIT BANK FOR TEL., P/P, CCTV, APS</v>
          </cell>
          <cell r="F555">
            <v>0</v>
          </cell>
          <cell r="H555">
            <v>0</v>
          </cell>
          <cell r="J555">
            <v>0</v>
          </cell>
          <cell r="K555">
            <v>0</v>
          </cell>
          <cell r="L555">
            <v>0</v>
          </cell>
          <cell r="M555">
            <v>0</v>
          </cell>
          <cell r="N555">
            <v>0</v>
          </cell>
          <cell r="O555">
            <v>0</v>
          </cell>
          <cell r="P555">
            <v>0</v>
          </cell>
        </row>
        <row r="556">
          <cell r="A556" t="str">
            <v>J.2.1</v>
          </cell>
          <cell r="B556" t="str">
            <v xml:space="preserve"> PVC CONDUIT, THICK WALL, CNS1302 SCH. B , 1"</v>
          </cell>
          <cell r="C556">
            <v>1000</v>
          </cell>
          <cell r="D556" t="str">
            <v>M</v>
          </cell>
          <cell r="E556">
            <v>16</v>
          </cell>
          <cell r="F556">
            <v>16000</v>
          </cell>
          <cell r="H556">
            <v>0</v>
          </cell>
          <cell r="I556">
            <v>0.22</v>
          </cell>
          <cell r="J556">
            <v>220</v>
          </cell>
          <cell r="K556">
            <v>16</v>
          </cell>
          <cell r="L556">
            <v>16000</v>
          </cell>
          <cell r="M556">
            <v>0</v>
          </cell>
          <cell r="N556">
            <v>0</v>
          </cell>
          <cell r="O556">
            <v>62</v>
          </cell>
          <cell r="P556">
            <v>62000</v>
          </cell>
        </row>
        <row r="557">
          <cell r="A557" t="str">
            <v>J.2.2</v>
          </cell>
          <cell r="B557" t="str">
            <v xml:space="preserve"> PVC CONDUIT, THICK WALL, CNS1302 SCH. B , 2"</v>
          </cell>
          <cell r="C557">
            <v>26000</v>
          </cell>
          <cell r="D557" t="str">
            <v>M</v>
          </cell>
          <cell r="E557">
            <v>38</v>
          </cell>
          <cell r="F557">
            <v>988000</v>
          </cell>
          <cell r="H557">
            <v>0</v>
          </cell>
          <cell r="I557">
            <v>0.3</v>
          </cell>
          <cell r="J557">
            <v>7800</v>
          </cell>
          <cell r="K557">
            <v>38</v>
          </cell>
          <cell r="L557">
            <v>988000</v>
          </cell>
          <cell r="M557">
            <v>0</v>
          </cell>
          <cell r="N557">
            <v>0</v>
          </cell>
          <cell r="O557">
            <v>84</v>
          </cell>
          <cell r="P557">
            <v>2184000</v>
          </cell>
        </row>
        <row r="558">
          <cell r="A558" t="str">
            <v>J.2.3</v>
          </cell>
          <cell r="B558" t="str">
            <v xml:space="preserve"> EXCAVATION</v>
          </cell>
          <cell r="C558">
            <v>3500</v>
          </cell>
          <cell r="D558" t="str">
            <v>M3</v>
          </cell>
          <cell r="E558" t="str">
            <v>M+L</v>
          </cell>
          <cell r="F558" t="str">
            <v>M+L</v>
          </cell>
          <cell r="H558">
            <v>0</v>
          </cell>
          <cell r="J558">
            <v>0</v>
          </cell>
          <cell r="K558" t="str">
            <v>M+L</v>
          </cell>
          <cell r="L558" t="str">
            <v>M+L</v>
          </cell>
          <cell r="M558">
            <v>0</v>
          </cell>
          <cell r="N558">
            <v>0</v>
          </cell>
          <cell r="O558">
            <v>60</v>
          </cell>
          <cell r="P558">
            <v>210000</v>
          </cell>
        </row>
        <row r="559">
          <cell r="A559" t="str">
            <v>J.2.4</v>
          </cell>
          <cell r="B559" t="str">
            <v xml:space="preserve"> BACKFILL</v>
          </cell>
          <cell r="C559">
            <v>2550</v>
          </cell>
          <cell r="D559" t="str">
            <v>M3</v>
          </cell>
          <cell r="E559" t="str">
            <v>M+L</v>
          </cell>
          <cell r="F559" t="str">
            <v>M+L</v>
          </cell>
          <cell r="H559">
            <v>0</v>
          </cell>
          <cell r="J559">
            <v>0</v>
          </cell>
          <cell r="K559" t="str">
            <v>M+L</v>
          </cell>
          <cell r="L559" t="str">
            <v>M+L</v>
          </cell>
          <cell r="M559">
            <v>0</v>
          </cell>
          <cell r="N559">
            <v>0</v>
          </cell>
          <cell r="O559">
            <v>100</v>
          </cell>
          <cell r="P559">
            <v>255000</v>
          </cell>
        </row>
        <row r="560">
          <cell r="A560" t="str">
            <v>J.2.5</v>
          </cell>
          <cell r="B560" t="str">
            <v xml:space="preserve"> CONCRETE FOR DUCT BANK 2000 PSI</v>
          </cell>
          <cell r="C560">
            <v>950</v>
          </cell>
          <cell r="D560" t="str">
            <v>M3</v>
          </cell>
          <cell r="E560" t="str">
            <v>M+L</v>
          </cell>
          <cell r="F560" t="str">
            <v>M+L</v>
          </cell>
          <cell r="H560">
            <v>0</v>
          </cell>
          <cell r="J560">
            <v>0</v>
          </cell>
          <cell r="K560" t="str">
            <v>M+L</v>
          </cell>
          <cell r="L560" t="str">
            <v>M+L</v>
          </cell>
          <cell r="M560">
            <v>0</v>
          </cell>
          <cell r="N560">
            <v>0</v>
          </cell>
          <cell r="O560">
            <v>1700</v>
          </cell>
          <cell r="P560">
            <v>1615000</v>
          </cell>
        </row>
        <row r="561">
          <cell r="A561" t="str">
            <v>J.2.6</v>
          </cell>
          <cell r="B561" t="str">
            <v xml:space="preserve"> RED COLORED OXIDE</v>
          </cell>
          <cell r="C561">
            <v>8550</v>
          </cell>
          <cell r="D561" t="str">
            <v>KG</v>
          </cell>
          <cell r="E561" t="str">
            <v>M+L</v>
          </cell>
          <cell r="F561" t="str">
            <v>M+L</v>
          </cell>
          <cell r="H561">
            <v>0</v>
          </cell>
          <cell r="J561">
            <v>0</v>
          </cell>
          <cell r="K561" t="str">
            <v>M+L</v>
          </cell>
          <cell r="L561" t="str">
            <v>M+L</v>
          </cell>
          <cell r="M561">
            <v>0</v>
          </cell>
          <cell r="N561">
            <v>0</v>
          </cell>
          <cell r="O561">
            <v>60</v>
          </cell>
          <cell r="P561">
            <v>513000</v>
          </cell>
        </row>
        <row r="562">
          <cell r="A562" t="str">
            <v>J.2.7</v>
          </cell>
          <cell r="B562" t="str">
            <v xml:space="preserve"> DISPOSAL</v>
          </cell>
          <cell r="C562">
            <v>950</v>
          </cell>
          <cell r="D562" t="str">
            <v>M3</v>
          </cell>
          <cell r="E562" t="str">
            <v>M+L</v>
          </cell>
          <cell r="F562" t="str">
            <v>M+L</v>
          </cell>
          <cell r="H562">
            <v>0</v>
          </cell>
          <cell r="J562">
            <v>0</v>
          </cell>
          <cell r="K562" t="str">
            <v>M+L</v>
          </cell>
          <cell r="L562" t="str">
            <v>M+L</v>
          </cell>
          <cell r="M562">
            <v>0</v>
          </cell>
          <cell r="N562">
            <v>0</v>
          </cell>
          <cell r="O562">
            <v>220</v>
          </cell>
          <cell r="P562">
            <v>209000</v>
          </cell>
        </row>
        <row r="563">
          <cell r="A563" t="str">
            <v>J.2.8</v>
          </cell>
          <cell r="B563" t="str">
            <v xml:space="preserve"> FORMWORK</v>
          </cell>
          <cell r="C563">
            <v>2000</v>
          </cell>
          <cell r="D563" t="str">
            <v>M2</v>
          </cell>
          <cell r="E563" t="str">
            <v>M+L</v>
          </cell>
          <cell r="F563" t="str">
            <v>M+L</v>
          </cell>
          <cell r="H563">
            <v>0</v>
          </cell>
          <cell r="J563">
            <v>0</v>
          </cell>
          <cell r="K563" t="str">
            <v>M+L</v>
          </cell>
          <cell r="L563" t="str">
            <v>M+L</v>
          </cell>
          <cell r="M563">
            <v>0</v>
          </cell>
          <cell r="N563">
            <v>0</v>
          </cell>
          <cell r="O563">
            <v>360</v>
          </cell>
          <cell r="P563">
            <v>720000</v>
          </cell>
        </row>
        <row r="564">
          <cell r="A564" t="str">
            <v>J.2.9</v>
          </cell>
          <cell r="B564" t="str">
            <v xml:space="preserve"> RE-BAR</v>
          </cell>
          <cell r="C564">
            <v>18250</v>
          </cell>
          <cell r="D564" t="str">
            <v>KG</v>
          </cell>
          <cell r="E564" t="str">
            <v>M+L</v>
          </cell>
          <cell r="F564" t="str">
            <v>M+L</v>
          </cell>
          <cell r="H564">
            <v>0</v>
          </cell>
          <cell r="J564">
            <v>0</v>
          </cell>
          <cell r="K564" t="str">
            <v>M+L</v>
          </cell>
          <cell r="L564" t="str">
            <v>M+L</v>
          </cell>
          <cell r="M564">
            <v>0</v>
          </cell>
          <cell r="N564">
            <v>0</v>
          </cell>
          <cell r="O564">
            <v>16</v>
          </cell>
          <cell r="P564">
            <v>292000</v>
          </cell>
        </row>
        <row r="565">
          <cell r="A565" t="str">
            <v>J.2.10</v>
          </cell>
          <cell r="B565" t="str">
            <v xml:space="preserve"> MAN-HOLE, (與儀控共用)</v>
          </cell>
          <cell r="C565">
            <v>0</v>
          </cell>
          <cell r="D565" t="str">
            <v>SET</v>
          </cell>
          <cell r="P565">
            <v>0</v>
          </cell>
        </row>
        <row r="566">
          <cell r="A566" t="str">
            <v>J.2.11</v>
          </cell>
          <cell r="B566" t="str">
            <v xml:space="preserve"> HAND HOLE, 1200Lx1000Wx1200D</v>
          </cell>
          <cell r="C566">
            <v>7</v>
          </cell>
          <cell r="D566" t="str">
            <v>SET</v>
          </cell>
          <cell r="E566" t="str">
            <v>M+L</v>
          </cell>
          <cell r="F566" t="str">
            <v>M+L</v>
          </cell>
          <cell r="H566">
            <v>0</v>
          </cell>
          <cell r="J566">
            <v>0</v>
          </cell>
          <cell r="K566" t="str">
            <v>M+L</v>
          </cell>
          <cell r="L566" t="str">
            <v>M+L</v>
          </cell>
          <cell r="M566">
            <v>0</v>
          </cell>
          <cell r="N566">
            <v>0</v>
          </cell>
          <cell r="O566">
            <v>18000</v>
          </cell>
          <cell r="P566">
            <v>126000</v>
          </cell>
        </row>
        <row r="567">
          <cell r="A567" t="str">
            <v>J.2.12</v>
          </cell>
          <cell r="B567" t="str">
            <v xml:space="preserve"> COMPOND FOR WATER SEALING(IN MH.)</v>
          </cell>
          <cell r="C567">
            <v>1250</v>
          </cell>
          <cell r="D567" t="str">
            <v>KG</v>
          </cell>
          <cell r="E567" t="str">
            <v>M+L</v>
          </cell>
          <cell r="F567" t="str">
            <v>M+L</v>
          </cell>
          <cell r="H567">
            <v>0</v>
          </cell>
          <cell r="J567">
            <v>0</v>
          </cell>
          <cell r="K567" t="str">
            <v>M+L</v>
          </cell>
          <cell r="L567" t="str">
            <v>M+L</v>
          </cell>
          <cell r="M567">
            <v>0</v>
          </cell>
          <cell r="N567">
            <v>0</v>
          </cell>
          <cell r="O567">
            <v>200</v>
          </cell>
          <cell r="P567">
            <v>250000</v>
          </cell>
        </row>
        <row r="568">
          <cell r="B568" t="str">
            <v>SUB-TOTAL : (J.2)</v>
          </cell>
          <cell r="F568">
            <v>1004000</v>
          </cell>
          <cell r="J568">
            <v>8020</v>
          </cell>
          <cell r="L568">
            <v>1004000</v>
          </cell>
          <cell r="P568">
            <v>6436000</v>
          </cell>
        </row>
        <row r="569">
          <cell r="F569">
            <v>0</v>
          </cell>
          <cell r="H569">
            <v>0</v>
          </cell>
          <cell r="J569">
            <v>0</v>
          </cell>
          <cell r="K569">
            <v>0</v>
          </cell>
          <cell r="L569">
            <v>0</v>
          </cell>
          <cell r="M569">
            <v>0</v>
          </cell>
          <cell r="N569">
            <v>0</v>
          </cell>
          <cell r="O569">
            <v>0</v>
          </cell>
          <cell r="P569">
            <v>0</v>
          </cell>
        </row>
        <row r="570">
          <cell r="B570" t="str">
            <v>SUB-TOTAL : (J)</v>
          </cell>
          <cell r="F570">
            <v>5900800</v>
          </cell>
          <cell r="H570">
            <v>0</v>
          </cell>
          <cell r="J570">
            <v>27331</v>
          </cell>
          <cell r="K570">
            <v>0</v>
          </cell>
          <cell r="L570">
            <v>5900800</v>
          </cell>
          <cell r="M570">
            <v>0</v>
          </cell>
          <cell r="N570">
            <v>0</v>
          </cell>
          <cell r="O570">
            <v>0</v>
          </cell>
          <cell r="P570">
            <v>21953600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ON GIA"/>
      <sheetName val="TONG HOP VL-NC"/>
      <sheetName val="TONGKE3p "/>
      <sheetName val="TDTKP"/>
      <sheetName val="T.Tinh"/>
      <sheetName val="TONG HOP VL_NC"/>
      <sheetName val="CHITIET VL-NC"/>
    </sheetNames>
    <sheetDataSet>
      <sheetData sheetId="0" refreshError="1">
        <row r="5">
          <cell r="C5" t="str">
            <v>D12</v>
          </cell>
          <cell r="D5" t="str">
            <v>Ñaø caûn BTCT 1,2m</v>
          </cell>
          <cell r="E5" t="str">
            <v>caùi</v>
          </cell>
          <cell r="G5">
            <v>65000</v>
          </cell>
        </row>
        <row r="6">
          <cell r="C6" t="str">
            <v>D15</v>
          </cell>
          <cell r="D6" t="str">
            <v>Ñaø caûn BTCT 1,5m</v>
          </cell>
          <cell r="E6" t="str">
            <v>caùi</v>
          </cell>
          <cell r="G6">
            <v>160000</v>
          </cell>
        </row>
        <row r="7">
          <cell r="C7" t="str">
            <v>D20</v>
          </cell>
          <cell r="D7" t="str">
            <v>Ñaø caûn BTCT 2,0m</v>
          </cell>
          <cell r="E7" t="str">
            <v>caùi</v>
          </cell>
          <cell r="G7">
            <v>250000</v>
          </cell>
        </row>
        <row r="8">
          <cell r="C8" t="str">
            <v>D25</v>
          </cell>
          <cell r="D8" t="str">
            <v>Ñaø caûn BTCT 2,5m</v>
          </cell>
          <cell r="E8" t="str">
            <v>caùi</v>
          </cell>
          <cell r="G8">
            <v>400000</v>
          </cell>
        </row>
        <row r="9">
          <cell r="C9" t="str">
            <v>DN400</v>
          </cell>
          <cell r="D9" t="str">
            <v>Ñeá neo BTCT 400x1500</v>
          </cell>
          <cell r="E9" t="str">
            <v>caùi</v>
          </cell>
          <cell r="G9">
            <v>161000</v>
          </cell>
        </row>
        <row r="10">
          <cell r="C10" t="str">
            <v>DN600</v>
          </cell>
          <cell r="D10" t="str">
            <v>Ñeá neo BTCT 600x1500</v>
          </cell>
          <cell r="E10" t="str">
            <v>caùi</v>
          </cell>
          <cell r="G10">
            <v>222000</v>
          </cell>
        </row>
        <row r="11">
          <cell r="C11" t="str">
            <v>BNH</v>
          </cell>
          <cell r="D11" t="str">
            <v>Bieån soá - Baûng nguy hieåm</v>
          </cell>
          <cell r="E11" t="str">
            <v>caùi</v>
          </cell>
          <cell r="G11">
            <v>15000</v>
          </cell>
        </row>
        <row r="12">
          <cell r="C12" t="str">
            <v>B1260</v>
          </cell>
          <cell r="D12" t="str">
            <v>Boulon 12x60</v>
          </cell>
          <cell r="E12" t="str">
            <v>boä</v>
          </cell>
          <cell r="G12">
            <v>1500</v>
          </cell>
        </row>
        <row r="13">
          <cell r="C13" t="str">
            <v>B16100V</v>
          </cell>
          <cell r="D13" t="str">
            <v>Boulon 16x100/100</v>
          </cell>
          <cell r="E13" t="str">
            <v>boä</v>
          </cell>
          <cell r="G13">
            <v>3200</v>
          </cell>
        </row>
        <row r="14">
          <cell r="C14" t="str">
            <v>B1680V</v>
          </cell>
          <cell r="D14" t="str">
            <v>Boulon 16x80/80</v>
          </cell>
          <cell r="E14" t="str">
            <v>boä</v>
          </cell>
          <cell r="G14">
            <v>3000</v>
          </cell>
        </row>
        <row r="15">
          <cell r="C15" t="str">
            <v>B16230</v>
          </cell>
          <cell r="D15" t="str">
            <v>Boulon 16x230/80</v>
          </cell>
          <cell r="E15" t="str">
            <v>boä</v>
          </cell>
          <cell r="G15">
            <v>6000</v>
          </cell>
        </row>
        <row r="16">
          <cell r="C16" t="str">
            <v>B16240</v>
          </cell>
          <cell r="D16" t="str">
            <v>Boulon 16x240/80</v>
          </cell>
          <cell r="E16" t="str">
            <v>boä</v>
          </cell>
          <cell r="G16">
            <v>5500</v>
          </cell>
        </row>
        <row r="17">
          <cell r="C17" t="str">
            <v>B16250</v>
          </cell>
          <cell r="D17" t="str">
            <v>Boulon 16x250/50</v>
          </cell>
          <cell r="E17" t="str">
            <v>boä</v>
          </cell>
          <cell r="G17">
            <v>6000</v>
          </cell>
        </row>
        <row r="18">
          <cell r="C18" t="str">
            <v>B16260</v>
          </cell>
          <cell r="D18" t="str">
            <v>Boulon 16x260/80</v>
          </cell>
          <cell r="E18" t="str">
            <v>boä</v>
          </cell>
          <cell r="G18">
            <v>6000</v>
          </cell>
        </row>
        <row r="19">
          <cell r="C19" t="str">
            <v>B16280</v>
          </cell>
          <cell r="D19" t="str">
            <v>Boulon 16x280/80</v>
          </cell>
          <cell r="E19" t="str">
            <v>boä</v>
          </cell>
          <cell r="G19">
            <v>6500</v>
          </cell>
        </row>
        <row r="20">
          <cell r="C20" t="str">
            <v>B16300</v>
          </cell>
          <cell r="D20" t="str">
            <v>Boulon 16x300</v>
          </cell>
          <cell r="E20" t="str">
            <v>boä</v>
          </cell>
          <cell r="G20">
            <v>7500</v>
          </cell>
        </row>
        <row r="21">
          <cell r="C21" t="str">
            <v>B16320</v>
          </cell>
          <cell r="D21" t="str">
            <v>Boulon 16x320</v>
          </cell>
          <cell r="E21" t="str">
            <v>boä</v>
          </cell>
          <cell r="G21">
            <v>8000</v>
          </cell>
        </row>
        <row r="22">
          <cell r="C22" t="str">
            <v>B16350</v>
          </cell>
          <cell r="D22" t="str">
            <v>Boulon 16x350</v>
          </cell>
          <cell r="E22" t="str">
            <v>boä</v>
          </cell>
          <cell r="G22">
            <v>8000</v>
          </cell>
        </row>
        <row r="23">
          <cell r="C23" t="str">
            <v>B16600</v>
          </cell>
          <cell r="D23" t="str">
            <v>Boulon 16x600</v>
          </cell>
          <cell r="E23" t="str">
            <v>boä</v>
          </cell>
          <cell r="G23">
            <v>18000</v>
          </cell>
        </row>
        <row r="24">
          <cell r="C24" t="str">
            <v>B16200V</v>
          </cell>
          <cell r="D24" t="str">
            <v>Boulon 16x200/200</v>
          </cell>
          <cell r="E24" t="str">
            <v>boä</v>
          </cell>
          <cell r="G24">
            <v>6000</v>
          </cell>
        </row>
        <row r="25">
          <cell r="C25" t="str">
            <v>B16300V</v>
          </cell>
          <cell r="D25" t="str">
            <v>Boulon 16x300/300</v>
          </cell>
          <cell r="E25" t="str">
            <v>boä</v>
          </cell>
          <cell r="G25">
            <v>8500</v>
          </cell>
        </row>
        <row r="26">
          <cell r="C26" t="str">
            <v>B1635</v>
          </cell>
          <cell r="D26" t="str">
            <v>Boulon 16x35/28</v>
          </cell>
          <cell r="E26" t="str">
            <v>boä</v>
          </cell>
          <cell r="G26">
            <v>800</v>
          </cell>
        </row>
        <row r="27">
          <cell r="C27" t="str">
            <v>B1640</v>
          </cell>
          <cell r="D27" t="str">
            <v>Boulon 16x40/28</v>
          </cell>
          <cell r="E27" t="str">
            <v>boä</v>
          </cell>
          <cell r="G27">
            <v>800</v>
          </cell>
        </row>
        <row r="28">
          <cell r="C28" t="str">
            <v>B1650</v>
          </cell>
          <cell r="D28" t="str">
            <v>Boulon 16x50</v>
          </cell>
          <cell r="E28" t="str">
            <v>boä</v>
          </cell>
          <cell r="G28">
            <v>2500</v>
          </cell>
        </row>
        <row r="29">
          <cell r="C29" t="str">
            <v>B221000</v>
          </cell>
          <cell r="D29" t="str">
            <v>Boulon 22x1000</v>
          </cell>
          <cell r="E29" t="str">
            <v>boä</v>
          </cell>
          <cell r="G29">
            <v>36500</v>
          </cell>
        </row>
        <row r="30">
          <cell r="C30" t="str">
            <v>B22260</v>
          </cell>
          <cell r="D30" t="str">
            <v>Boulon 22x260</v>
          </cell>
          <cell r="E30" t="str">
            <v>boä</v>
          </cell>
          <cell r="G30">
            <v>11300</v>
          </cell>
        </row>
        <row r="31">
          <cell r="C31" t="str">
            <v>B22460</v>
          </cell>
          <cell r="D31" t="str">
            <v>Boulon 22x460</v>
          </cell>
          <cell r="E31" t="str">
            <v>boä</v>
          </cell>
          <cell r="G31">
            <v>17000</v>
          </cell>
        </row>
        <row r="32">
          <cell r="C32" t="str">
            <v>B22500</v>
          </cell>
          <cell r="D32" t="str">
            <v>Boulon 22x500/150</v>
          </cell>
          <cell r="E32" t="str">
            <v>boä</v>
          </cell>
          <cell r="G32">
            <v>19200</v>
          </cell>
        </row>
        <row r="33">
          <cell r="C33" t="str">
            <v>B22550</v>
          </cell>
          <cell r="D33" t="str">
            <v>Boulon 22x550/100</v>
          </cell>
          <cell r="E33" t="str">
            <v>boä</v>
          </cell>
          <cell r="G33">
            <v>22000</v>
          </cell>
        </row>
        <row r="34">
          <cell r="C34" t="str">
            <v>B22650</v>
          </cell>
          <cell r="D34" t="str">
            <v>Boulon 22x650</v>
          </cell>
          <cell r="E34" t="str">
            <v>boä</v>
          </cell>
          <cell r="G34">
            <v>25000</v>
          </cell>
        </row>
        <row r="35">
          <cell r="C35" t="str">
            <v>B22850</v>
          </cell>
          <cell r="D35" t="str">
            <v>Boulon 22x850</v>
          </cell>
          <cell r="E35" t="str">
            <v>boä</v>
          </cell>
          <cell r="G35">
            <v>32000</v>
          </cell>
        </row>
        <row r="36">
          <cell r="C36" t="str">
            <v>BM16230</v>
          </cell>
          <cell r="D36" t="str">
            <v>Boulon maét 16x230</v>
          </cell>
          <cell r="E36" t="str">
            <v>boä</v>
          </cell>
          <cell r="G36">
            <v>9000</v>
          </cell>
        </row>
        <row r="37">
          <cell r="C37" t="str">
            <v>BM16250</v>
          </cell>
          <cell r="D37" t="str">
            <v>Boulon maét 16x250/100</v>
          </cell>
          <cell r="E37" t="str">
            <v>boä</v>
          </cell>
          <cell r="G37">
            <v>12500</v>
          </cell>
        </row>
        <row r="38">
          <cell r="C38" t="str">
            <v>CT25</v>
          </cell>
          <cell r="D38" t="str">
            <v>Cöø traøm 2,5m</v>
          </cell>
          <cell r="E38" t="str">
            <v>caây</v>
          </cell>
          <cell r="G38">
            <v>7000</v>
          </cell>
        </row>
        <row r="39">
          <cell r="C39" t="str">
            <v>CT5</v>
          </cell>
          <cell r="D39" t="str">
            <v>Cöø traøm 5m</v>
          </cell>
          <cell r="E39" t="str">
            <v>caây</v>
          </cell>
          <cell r="G39">
            <v>12000</v>
          </cell>
        </row>
        <row r="40">
          <cell r="C40" t="str">
            <v>M22</v>
          </cell>
          <cell r="D40" t="str">
            <v>Caùp ñoàng traàn M22mm2</v>
          </cell>
          <cell r="E40" t="str">
            <v>kg</v>
          </cell>
          <cell r="G40">
            <v>43510</v>
          </cell>
        </row>
        <row r="41">
          <cell r="C41" t="str">
            <v>AC120</v>
          </cell>
          <cell r="D41" t="str">
            <v>Caùp nhoâm loõi theùp AC-120/19</v>
          </cell>
          <cell r="E41" t="str">
            <v>taán</v>
          </cell>
          <cell r="G41">
            <v>24000000</v>
          </cell>
        </row>
        <row r="42">
          <cell r="C42" t="str">
            <v>AC35</v>
          </cell>
          <cell r="D42" t="str">
            <v>Caùp nhoâm loõi theùp AC-35/6,2</v>
          </cell>
          <cell r="E42" t="str">
            <v>taán</v>
          </cell>
          <cell r="G42">
            <v>24000000</v>
          </cell>
        </row>
        <row r="43">
          <cell r="C43" t="str">
            <v>AC50</v>
          </cell>
          <cell r="D43" t="str">
            <v>Caùp nhoâm loõi theùp AC-50/8</v>
          </cell>
          <cell r="E43" t="str">
            <v>taán</v>
          </cell>
          <cell r="G43">
            <v>24000000</v>
          </cell>
        </row>
        <row r="44">
          <cell r="C44" t="str">
            <v>AC70</v>
          </cell>
          <cell r="D44" t="str">
            <v>Caùp nhoâm loõi theùp AC-70/11</v>
          </cell>
          <cell r="E44" t="str">
            <v>taán</v>
          </cell>
          <cell r="G44">
            <v>24000000</v>
          </cell>
        </row>
        <row r="45">
          <cell r="C45" t="str">
            <v>A95</v>
          </cell>
          <cell r="D45" t="str">
            <v>Caùp nhoâm A-95</v>
          </cell>
          <cell r="E45" t="str">
            <v>taán</v>
          </cell>
          <cell r="G45">
            <v>30000000</v>
          </cell>
        </row>
        <row r="46">
          <cell r="C46" t="str">
            <v>AC95</v>
          </cell>
          <cell r="D46" t="str">
            <v>Caùp nhoâm loõi theùp AC-95/16</v>
          </cell>
          <cell r="E46" t="str">
            <v>taán</v>
          </cell>
          <cell r="G46">
            <v>24000000</v>
          </cell>
        </row>
        <row r="47">
          <cell r="C47" t="str">
            <v>C3/8</v>
          </cell>
          <cell r="D47" t="str">
            <v>Caùp theùp 3/8"</v>
          </cell>
          <cell r="E47" t="str">
            <v>meùt</v>
          </cell>
          <cell r="G47">
            <v>4200</v>
          </cell>
        </row>
        <row r="48">
          <cell r="C48" t="str">
            <v>C5/8</v>
          </cell>
          <cell r="D48" t="str">
            <v>Caùp theùp 5/8"</v>
          </cell>
          <cell r="E48" t="str">
            <v>meùt</v>
          </cell>
          <cell r="G48">
            <v>9500</v>
          </cell>
        </row>
        <row r="49">
          <cell r="C49" t="str">
            <v>CSDI</v>
          </cell>
          <cell r="D49" t="str">
            <v xml:space="preserve">Chaân söù ñænh </v>
          </cell>
          <cell r="E49" t="str">
            <v>caùi</v>
          </cell>
          <cell r="G49">
            <v>25000</v>
          </cell>
        </row>
        <row r="50">
          <cell r="C50" t="str">
            <v>CSDG</v>
          </cell>
          <cell r="D50" t="str">
            <v>Chaân söù ñænh ñôõ goùc</v>
          </cell>
          <cell r="E50" t="str">
            <v>caùi</v>
          </cell>
          <cell r="G50">
            <v>25000</v>
          </cell>
        </row>
        <row r="51">
          <cell r="C51" t="str">
            <v>CSD</v>
          </cell>
          <cell r="D51" t="str">
            <v>Chaân söù ñöùng</v>
          </cell>
          <cell r="E51" t="str">
            <v>caùi</v>
          </cell>
          <cell r="G51">
            <v>19000</v>
          </cell>
        </row>
        <row r="52">
          <cell r="C52" t="str">
            <v>CTD</v>
          </cell>
          <cell r="D52" t="str">
            <v>Coïc tieáp ñaát O16x2,4</v>
          </cell>
          <cell r="E52" t="str">
            <v>coïc</v>
          </cell>
          <cell r="G52">
            <v>33700</v>
          </cell>
        </row>
        <row r="53">
          <cell r="C53" t="str">
            <v>AP275</v>
          </cell>
          <cell r="D53" t="str">
            <v>Aptomat 2 cöïc 600V-75A</v>
          </cell>
          <cell r="E53" t="str">
            <v>boä</v>
          </cell>
          <cell r="G53">
            <v>200000</v>
          </cell>
        </row>
        <row r="54">
          <cell r="C54" t="str">
            <v>AP2100</v>
          </cell>
          <cell r="D54" t="str">
            <v>Aptomat 2 cöïc 600V-100A</v>
          </cell>
          <cell r="E54" t="str">
            <v>boä</v>
          </cell>
        </row>
        <row r="56">
          <cell r="C56" t="str">
            <v>AP375</v>
          </cell>
          <cell r="D56" t="str">
            <v>Aptomat 3 cöïc 600V-75A</v>
          </cell>
          <cell r="E56" t="str">
            <v>boä</v>
          </cell>
          <cell r="G56">
            <v>400000</v>
          </cell>
        </row>
        <row r="57">
          <cell r="C57" t="str">
            <v>Coss50</v>
          </cell>
          <cell r="D57" t="str">
            <v>Ñaàu cosse Cu 50mm2</v>
          </cell>
          <cell r="E57" t="str">
            <v>Caùi</v>
          </cell>
          <cell r="G57">
            <v>12000</v>
          </cell>
        </row>
        <row r="59">
          <cell r="C59" t="str">
            <v>LA</v>
          </cell>
          <cell r="D59" t="str">
            <v>Choáng seùt van</v>
          </cell>
          <cell r="E59" t="str">
            <v>Boä</v>
          </cell>
          <cell r="G59">
            <v>585000</v>
          </cell>
        </row>
        <row r="60">
          <cell r="C60" t="str">
            <v>DC</v>
          </cell>
          <cell r="D60" t="str">
            <v>Daây chì 20K</v>
          </cell>
          <cell r="E60" t="str">
            <v>caùi</v>
          </cell>
          <cell r="G60">
            <v>25000</v>
          </cell>
        </row>
        <row r="61">
          <cell r="C61" t="str">
            <v>DNV</v>
          </cell>
          <cell r="D61" t="str">
            <v>Daây nhoâm vuïn</v>
          </cell>
          <cell r="E61" t="str">
            <v>m</v>
          </cell>
          <cell r="G61">
            <v>2000</v>
          </cell>
        </row>
        <row r="62">
          <cell r="C62" t="str">
            <v>FCO</v>
          </cell>
          <cell r="D62" t="str">
            <v>FCO-24KV-200A</v>
          </cell>
          <cell r="E62" t="str">
            <v>caùi</v>
          </cell>
          <cell r="G62">
            <v>818000</v>
          </cell>
        </row>
        <row r="63">
          <cell r="C63" t="str">
            <v>FCO1</v>
          </cell>
          <cell r="D63" t="str">
            <v>FCO-24KV-100A</v>
          </cell>
          <cell r="E63" t="str">
            <v>caùi</v>
          </cell>
          <cell r="G63">
            <v>720000</v>
          </cell>
        </row>
        <row r="64">
          <cell r="C64" t="str">
            <v>GDFCO</v>
          </cell>
          <cell r="D64" t="str">
            <v xml:space="preserve">Giaù ñôõ FCO </v>
          </cell>
          <cell r="E64" t="str">
            <v>caùi</v>
          </cell>
          <cell r="G64">
            <v>42760</v>
          </cell>
        </row>
        <row r="65">
          <cell r="C65" t="str">
            <v>GCST</v>
          </cell>
          <cell r="D65" t="str">
            <v>Gia coâng saét theùp</v>
          </cell>
          <cell r="E65" t="str">
            <v>kg</v>
          </cell>
          <cell r="G65">
            <v>2500</v>
          </cell>
        </row>
        <row r="66">
          <cell r="C66" t="str">
            <v>G</v>
          </cell>
          <cell r="D66" t="str">
            <v>Vaät lieäu döïng coät</v>
          </cell>
          <cell r="E66" t="str">
            <v>coät</v>
          </cell>
          <cell r="G66">
            <v>12857</v>
          </cell>
        </row>
        <row r="67">
          <cell r="C67" t="str">
            <v>HI</v>
          </cell>
          <cell r="D67" t="str">
            <v>Haéc ín</v>
          </cell>
          <cell r="E67" t="str">
            <v>kg</v>
          </cell>
          <cell r="G67">
            <v>10000</v>
          </cell>
        </row>
        <row r="68">
          <cell r="C68" t="str">
            <v>K3B</v>
          </cell>
          <cell r="D68" t="str">
            <v>Keïp caùp 3 boulon</v>
          </cell>
          <cell r="E68" t="str">
            <v>caùi</v>
          </cell>
          <cell r="G68">
            <v>12500</v>
          </cell>
        </row>
        <row r="69">
          <cell r="C69" t="str">
            <v>KCD</v>
          </cell>
          <cell r="D69" t="str">
            <v>Keïp coïc tieáp ñaát</v>
          </cell>
          <cell r="E69" t="str">
            <v>caùi</v>
          </cell>
          <cell r="G69">
            <v>9400</v>
          </cell>
        </row>
        <row r="70">
          <cell r="C70" t="str">
            <v>K120</v>
          </cell>
          <cell r="D70" t="str">
            <v>Keïp daây 2 raõnh cho daây AC-120</v>
          </cell>
          <cell r="E70" t="str">
            <v>caùi</v>
          </cell>
          <cell r="G70">
            <v>19600</v>
          </cell>
        </row>
        <row r="71">
          <cell r="C71" t="str">
            <v>K35</v>
          </cell>
          <cell r="D71" t="str">
            <v>Keïp daây 2 raõnh cho daây AC-35</v>
          </cell>
          <cell r="E71" t="str">
            <v>caùi</v>
          </cell>
          <cell r="G71">
            <v>4500</v>
          </cell>
        </row>
        <row r="72">
          <cell r="C72" t="str">
            <v>K70</v>
          </cell>
          <cell r="D72" t="str">
            <v>Keïp daây 2 raõnh cho daây AC-50-70</v>
          </cell>
          <cell r="E72" t="str">
            <v>caùi</v>
          </cell>
          <cell r="G72">
            <v>8600</v>
          </cell>
        </row>
        <row r="73">
          <cell r="C73" t="str">
            <v>K35</v>
          </cell>
          <cell r="D73" t="str">
            <v>Keïp daây 2 raõnh cho daây AC-35</v>
          </cell>
          <cell r="E73" t="str">
            <v>caùi</v>
          </cell>
          <cell r="G73">
            <v>8600</v>
          </cell>
        </row>
        <row r="74">
          <cell r="C74" t="str">
            <v>K95</v>
          </cell>
          <cell r="D74" t="str">
            <v>Keïp daây 2 raõnh cho daây AC-95</v>
          </cell>
          <cell r="E74" t="str">
            <v>caùi</v>
          </cell>
          <cell r="G74">
            <v>12600</v>
          </cell>
        </row>
        <row r="75">
          <cell r="C75" t="str">
            <v>KDTH</v>
          </cell>
          <cell r="D75" t="str">
            <v>Keïp daây trung hoøa</v>
          </cell>
          <cell r="E75" t="str">
            <v>caùi</v>
          </cell>
          <cell r="G75">
            <v>8600</v>
          </cell>
        </row>
        <row r="76">
          <cell r="C76" t="str">
            <v>KCUAL</v>
          </cell>
          <cell r="D76" t="str">
            <v>Keïp noái ñoàng-nhoâm</v>
          </cell>
          <cell r="E76" t="str">
            <v>caùi</v>
          </cell>
          <cell r="G76">
            <v>4500</v>
          </cell>
        </row>
        <row r="77">
          <cell r="C77" t="str">
            <v>KN120</v>
          </cell>
          <cell r="D77" t="str">
            <v>Khoùa neùo daây AC-120</v>
          </cell>
          <cell r="E77" t="str">
            <v>caùi</v>
          </cell>
          <cell r="G77">
            <v>46500</v>
          </cell>
        </row>
        <row r="78">
          <cell r="C78" t="str">
            <v>KN70</v>
          </cell>
          <cell r="D78" t="str">
            <v>Khoùa neùo daây AC-70</v>
          </cell>
          <cell r="E78" t="str">
            <v>caùi</v>
          </cell>
          <cell r="G78">
            <v>27700</v>
          </cell>
        </row>
        <row r="79">
          <cell r="C79" t="str">
            <v>KN50</v>
          </cell>
          <cell r="D79" t="str">
            <v>Khoùa neùo daây AC-50</v>
          </cell>
          <cell r="E79" t="str">
            <v>caùi</v>
          </cell>
          <cell r="G79">
            <v>25800</v>
          </cell>
        </row>
        <row r="80">
          <cell r="C80" t="str">
            <v>KN95</v>
          </cell>
          <cell r="D80" t="str">
            <v>Khoùa neùo daây AC-95</v>
          </cell>
          <cell r="E80" t="str">
            <v>caùi</v>
          </cell>
          <cell r="G80">
            <v>33800</v>
          </cell>
        </row>
        <row r="81">
          <cell r="C81" t="str">
            <v>KN35</v>
          </cell>
          <cell r="D81" t="str">
            <v>Khoùa neùo daây AC-35</v>
          </cell>
          <cell r="E81" t="str">
            <v>caùi</v>
          </cell>
          <cell r="G81">
            <v>20000</v>
          </cell>
        </row>
        <row r="82">
          <cell r="C82" t="str">
            <v>LD18</v>
          </cell>
          <cell r="D82" t="str">
            <v>Long ñeàn 18</v>
          </cell>
          <cell r="E82" t="str">
            <v>caùi</v>
          </cell>
          <cell r="G82">
            <v>400</v>
          </cell>
        </row>
        <row r="83">
          <cell r="C83" t="str">
            <v>LD22</v>
          </cell>
          <cell r="D83" t="str">
            <v>Long ñeàn 22</v>
          </cell>
          <cell r="E83" t="str">
            <v>caùi</v>
          </cell>
          <cell r="G83">
            <v>800</v>
          </cell>
        </row>
        <row r="84">
          <cell r="C84" t="str">
            <v>MND</v>
          </cell>
          <cell r="D84" t="str">
            <v>Maét noái ñôn</v>
          </cell>
          <cell r="E84" t="str">
            <v>caùi</v>
          </cell>
          <cell r="G84">
            <v>6500</v>
          </cell>
        </row>
        <row r="85">
          <cell r="C85" t="str">
            <v>MNTG</v>
          </cell>
          <cell r="D85" t="str">
            <v>Maét noái t/ gian NG10</v>
          </cell>
          <cell r="E85" t="str">
            <v>caùi</v>
          </cell>
          <cell r="G85">
            <v>12500</v>
          </cell>
        </row>
        <row r="86">
          <cell r="C86" t="str">
            <v>MT</v>
          </cell>
          <cell r="D86" t="str">
            <v>Moùc treo chöõ U (ma ní)</v>
          </cell>
          <cell r="E86" t="str">
            <v>caùi</v>
          </cell>
          <cell r="G86">
            <v>7400</v>
          </cell>
        </row>
        <row r="87">
          <cell r="C87" t="str">
            <v>ON120</v>
          </cell>
          <cell r="D87" t="str">
            <v>OÁng noái daây AC120/19</v>
          </cell>
          <cell r="E87" t="str">
            <v>caùi</v>
          </cell>
          <cell r="G87">
            <v>60000</v>
          </cell>
        </row>
        <row r="88">
          <cell r="C88" t="str">
            <v>ON35</v>
          </cell>
          <cell r="D88" t="str">
            <v>OÁng noái daây AC35/6,2</v>
          </cell>
          <cell r="E88" t="str">
            <v>caùi</v>
          </cell>
          <cell r="G88">
            <v>9000</v>
          </cell>
        </row>
        <row r="89">
          <cell r="C89" t="str">
            <v>ON50</v>
          </cell>
          <cell r="D89" t="str">
            <v>OÁng noái daây AC50/8</v>
          </cell>
          <cell r="E89" t="str">
            <v>caùi</v>
          </cell>
          <cell r="G89">
            <v>12000</v>
          </cell>
        </row>
        <row r="90">
          <cell r="C90" t="str">
            <v>ON70</v>
          </cell>
          <cell r="D90" t="str">
            <v>OÁng noái daây AC70/11</v>
          </cell>
          <cell r="E90" t="str">
            <v>caùi</v>
          </cell>
          <cell r="G90">
            <v>20000</v>
          </cell>
        </row>
        <row r="91">
          <cell r="C91" t="str">
            <v>ON95</v>
          </cell>
          <cell r="D91" t="str">
            <v>OÁng noái daây AC95</v>
          </cell>
          <cell r="E91" t="str">
            <v>caùi</v>
          </cell>
          <cell r="G91">
            <v>30000</v>
          </cell>
        </row>
        <row r="92">
          <cell r="C92" t="str">
            <v>OT</v>
          </cell>
          <cell r="D92" t="str">
            <v>OÁng theùp traùng keõm O 60/50</v>
          </cell>
          <cell r="E92" t="str">
            <v>meùt</v>
          </cell>
          <cell r="G92">
            <v>38000</v>
          </cell>
        </row>
        <row r="93">
          <cell r="C93" t="str">
            <v>PU</v>
          </cell>
          <cell r="D93" t="str">
            <v>Puli</v>
          </cell>
          <cell r="E93" t="str">
            <v>caùi</v>
          </cell>
          <cell r="G93">
            <v>25000</v>
          </cell>
        </row>
        <row r="94">
          <cell r="C94" t="str">
            <v>R1</v>
          </cell>
          <cell r="D94" t="str">
            <v>Rack 1 söù</v>
          </cell>
          <cell r="E94" t="str">
            <v>caùi</v>
          </cell>
          <cell r="G94">
            <v>10500</v>
          </cell>
        </row>
        <row r="95">
          <cell r="C95" t="str">
            <v>R2</v>
          </cell>
          <cell r="D95" t="str">
            <v>Rack 2 söù</v>
          </cell>
          <cell r="E95" t="str">
            <v>caùi</v>
          </cell>
          <cell r="G95">
            <v>20000</v>
          </cell>
        </row>
        <row r="96">
          <cell r="C96" t="str">
            <v>R3</v>
          </cell>
          <cell r="D96" t="str">
            <v>Rack 3 söù</v>
          </cell>
          <cell r="E96" t="str">
            <v>caùi</v>
          </cell>
          <cell r="G96">
            <v>30000</v>
          </cell>
        </row>
        <row r="97">
          <cell r="C97" t="str">
            <v>R4</v>
          </cell>
          <cell r="D97" t="str">
            <v>Rack 4 söù</v>
          </cell>
          <cell r="E97" t="str">
            <v>caùi</v>
          </cell>
          <cell r="G97">
            <v>38000</v>
          </cell>
        </row>
        <row r="98">
          <cell r="C98" t="str">
            <v>S</v>
          </cell>
          <cell r="D98" t="str">
            <v>Sôn keû bieån vaø ñaùnh soá coät</v>
          </cell>
          <cell r="E98" t="str">
            <v>kg</v>
          </cell>
          <cell r="G98">
            <v>25000</v>
          </cell>
        </row>
        <row r="99">
          <cell r="C99" t="str">
            <v>SD</v>
          </cell>
          <cell r="D99" t="str">
            <v>Söù ñöùng 24KV</v>
          </cell>
          <cell r="E99" t="str">
            <v>caùi</v>
          </cell>
          <cell r="G99">
            <v>39000</v>
          </cell>
        </row>
        <row r="100">
          <cell r="C100" t="str">
            <v>SN</v>
          </cell>
          <cell r="D100" t="str">
            <v>Söù chaèng</v>
          </cell>
          <cell r="E100" t="str">
            <v>caùi</v>
          </cell>
          <cell r="G100">
            <v>14000</v>
          </cell>
        </row>
        <row r="101">
          <cell r="C101" t="str">
            <v>SOC</v>
          </cell>
          <cell r="D101" t="str">
            <v>Söù oáng chæ haï theá</v>
          </cell>
          <cell r="E101" t="str">
            <v>caùi</v>
          </cell>
          <cell r="G101">
            <v>3200</v>
          </cell>
        </row>
        <row r="102">
          <cell r="C102" t="str">
            <v>ST</v>
          </cell>
          <cell r="D102" t="str">
            <v xml:space="preserve">Söù treo </v>
          </cell>
          <cell r="E102" t="str">
            <v>baùt</v>
          </cell>
          <cell r="G102">
            <v>80000</v>
          </cell>
        </row>
        <row r="103">
          <cell r="C103" t="str">
            <v>S40</v>
          </cell>
          <cell r="D103" t="str">
            <v>Saét deït 40 x 4</v>
          </cell>
          <cell r="E103" t="str">
            <v>kg</v>
          </cell>
          <cell r="G103">
            <v>9925</v>
          </cell>
        </row>
        <row r="104">
          <cell r="C104" t="str">
            <v>S50</v>
          </cell>
          <cell r="D104" t="str">
            <v>Saét 50 x 5</v>
          </cell>
          <cell r="E104" t="str">
            <v>kg</v>
          </cell>
          <cell r="G104">
            <v>9925</v>
          </cell>
        </row>
        <row r="105">
          <cell r="C105" t="str">
            <v>S60T</v>
          </cell>
          <cell r="D105" t="str">
            <v>Thanh noái saét deït 60x6x410</v>
          </cell>
          <cell r="E105" t="str">
            <v>caùi</v>
          </cell>
          <cell r="G105">
            <v>12200</v>
          </cell>
        </row>
        <row r="106">
          <cell r="C106" t="str">
            <v>S60</v>
          </cell>
          <cell r="D106" t="str">
            <v>Saét deït 60 x 6</v>
          </cell>
          <cell r="E106" t="str">
            <v>kg</v>
          </cell>
          <cell r="G106">
            <v>9925</v>
          </cell>
        </row>
        <row r="107">
          <cell r="C107" t="str">
            <v>S70</v>
          </cell>
          <cell r="D107" t="str">
            <v>Saét deït 70 x 7</v>
          </cell>
          <cell r="E107" t="str">
            <v>kg</v>
          </cell>
          <cell r="G107">
            <v>9925</v>
          </cell>
        </row>
        <row r="108">
          <cell r="C108" t="str">
            <v>S806</v>
          </cell>
          <cell r="D108" t="str">
            <v>Saét deït 80 x 6</v>
          </cell>
          <cell r="E108" t="str">
            <v>kg</v>
          </cell>
          <cell r="G108">
            <v>9925</v>
          </cell>
        </row>
        <row r="109">
          <cell r="C109" t="str">
            <v>S80</v>
          </cell>
          <cell r="D109" t="str">
            <v>Saét deït 80 x 8</v>
          </cell>
          <cell r="E109" t="str">
            <v>kg</v>
          </cell>
          <cell r="G109">
            <v>9925</v>
          </cell>
        </row>
        <row r="110">
          <cell r="C110" t="str">
            <v>S100</v>
          </cell>
          <cell r="D110" t="str">
            <v>Saét deït 100 x 10 x 800</v>
          </cell>
          <cell r="E110" t="str">
            <v>taám</v>
          </cell>
          <cell r="G110">
            <v>80000</v>
          </cell>
        </row>
        <row r="111">
          <cell r="C111" t="str">
            <v>S1008</v>
          </cell>
          <cell r="D111" t="str">
            <v>Saét deït 100 x 8</v>
          </cell>
          <cell r="E111" t="str">
            <v>kg</v>
          </cell>
          <cell r="G111">
            <v>9925</v>
          </cell>
        </row>
        <row r="112">
          <cell r="C112" t="str">
            <v>SL40</v>
          </cell>
          <cell r="D112" t="str">
            <v>Saét goùc L40 x40 x4</v>
          </cell>
          <cell r="E112" t="str">
            <v>kg</v>
          </cell>
          <cell r="G112">
            <v>9925</v>
          </cell>
        </row>
        <row r="113">
          <cell r="C113" t="str">
            <v>SL50</v>
          </cell>
          <cell r="D113" t="str">
            <v>Saét goùc L50 x50 x5</v>
          </cell>
          <cell r="E113" t="str">
            <v>kg</v>
          </cell>
          <cell r="G113">
            <v>9925</v>
          </cell>
        </row>
        <row r="114">
          <cell r="C114" t="str">
            <v>SL70</v>
          </cell>
          <cell r="D114" t="str">
            <v>Theùp hình maï keõm</v>
          </cell>
          <cell r="E114" t="str">
            <v>kg</v>
          </cell>
          <cell r="G114">
            <v>9925</v>
          </cell>
        </row>
        <row r="115">
          <cell r="C115" t="str">
            <v>SO10</v>
          </cell>
          <cell r="D115" t="str">
            <v>Saét   O10</v>
          </cell>
          <cell r="E115" t="str">
            <v>kg</v>
          </cell>
          <cell r="G115">
            <v>4700</v>
          </cell>
        </row>
        <row r="116">
          <cell r="C116" t="str">
            <v>TON6</v>
          </cell>
          <cell r="D116" t="str">
            <v>Toân 6mm</v>
          </cell>
          <cell r="E116" t="str">
            <v>kg</v>
          </cell>
          <cell r="G116">
            <v>9925</v>
          </cell>
        </row>
        <row r="117">
          <cell r="C117" t="str">
            <v>TAMN</v>
          </cell>
          <cell r="D117" t="str">
            <v>Taám noái saét deït 100 x 10</v>
          </cell>
          <cell r="E117" t="str">
            <v>boä</v>
          </cell>
          <cell r="G117">
            <v>80000</v>
          </cell>
        </row>
        <row r="118">
          <cell r="C118" t="str">
            <v>TAMN6</v>
          </cell>
          <cell r="D118" t="str">
            <v>Taám toân noái 6mm</v>
          </cell>
          <cell r="E118" t="str">
            <v>taám</v>
          </cell>
          <cell r="G118">
            <v>10000</v>
          </cell>
        </row>
        <row r="119">
          <cell r="C119" t="str">
            <v>TN</v>
          </cell>
          <cell r="D119" t="str">
            <v>Thanh neo O22x3500</v>
          </cell>
          <cell r="E119" t="str">
            <v>caùi</v>
          </cell>
          <cell r="G119">
            <v>110000</v>
          </cell>
        </row>
        <row r="120">
          <cell r="C120" t="str">
            <v>TN30</v>
          </cell>
          <cell r="D120" t="str">
            <v>Thanh neo O22x3000</v>
          </cell>
          <cell r="E120" t="str">
            <v>caùi</v>
          </cell>
          <cell r="G120">
            <v>94000</v>
          </cell>
        </row>
        <row r="121">
          <cell r="C121" t="str">
            <v>TN37</v>
          </cell>
          <cell r="D121" t="str">
            <v>Thanh neo O22x3700</v>
          </cell>
          <cell r="E121" t="str">
            <v>caùi</v>
          </cell>
          <cell r="G121">
            <v>109500</v>
          </cell>
        </row>
        <row r="122">
          <cell r="C122" t="str">
            <v>TN28</v>
          </cell>
          <cell r="D122" t="str">
            <v>Thanh neo O22x2800</v>
          </cell>
          <cell r="E122" t="str">
            <v>caùi</v>
          </cell>
          <cell r="G122">
            <v>78225</v>
          </cell>
        </row>
        <row r="123">
          <cell r="C123" t="str">
            <v>TN25</v>
          </cell>
          <cell r="D123" t="str">
            <v>Thanh neo O22x2500</v>
          </cell>
          <cell r="E123" t="str">
            <v>caùi</v>
          </cell>
          <cell r="G123">
            <v>72000</v>
          </cell>
        </row>
        <row r="124">
          <cell r="C124" t="str">
            <v>CD682</v>
          </cell>
          <cell r="D124" t="str">
            <v>Coå deà 6,82kg</v>
          </cell>
          <cell r="E124" t="str">
            <v>boä</v>
          </cell>
          <cell r="G124">
            <v>71600</v>
          </cell>
        </row>
        <row r="125">
          <cell r="C125" t="str">
            <v>CD195</v>
          </cell>
          <cell r="D125" t="str">
            <v>Coå deà O 195</v>
          </cell>
          <cell r="E125" t="str">
            <v>boä</v>
          </cell>
          <cell r="G125">
            <v>68000</v>
          </cell>
        </row>
        <row r="126">
          <cell r="C126" t="str">
            <v>CD207</v>
          </cell>
          <cell r="D126" t="str">
            <v>Coå deà O 207</v>
          </cell>
          <cell r="E126" t="str">
            <v>boä</v>
          </cell>
          <cell r="G126">
            <v>72000</v>
          </cell>
        </row>
        <row r="127">
          <cell r="C127" t="str">
            <v>T10</v>
          </cell>
          <cell r="D127" t="str">
            <v>Coätï BTLT 10,5m</v>
          </cell>
          <cell r="E127" t="str">
            <v>coät</v>
          </cell>
          <cell r="G127">
            <v>1310000</v>
          </cell>
        </row>
        <row r="128">
          <cell r="C128" t="str">
            <v>T12</v>
          </cell>
          <cell r="D128" t="str">
            <v>Coätï BTLT 12m</v>
          </cell>
          <cell r="E128" t="str">
            <v>coät</v>
          </cell>
          <cell r="G128">
            <v>1480000</v>
          </cell>
        </row>
        <row r="129">
          <cell r="C129" t="str">
            <v>T14</v>
          </cell>
          <cell r="D129" t="str">
            <v>Coätï BTLT 14m</v>
          </cell>
          <cell r="E129" t="str">
            <v>coät</v>
          </cell>
          <cell r="G129">
            <v>2750000</v>
          </cell>
        </row>
        <row r="130">
          <cell r="C130" t="str">
            <v>T20</v>
          </cell>
          <cell r="D130" t="str">
            <v>Coätï BTLT 20m</v>
          </cell>
          <cell r="E130" t="str">
            <v>coät</v>
          </cell>
          <cell r="G130">
            <v>6900000</v>
          </cell>
        </row>
        <row r="131">
          <cell r="C131" t="str">
            <v>T7</v>
          </cell>
          <cell r="D131" t="str">
            <v>Coätï BTLT 7,5m</v>
          </cell>
          <cell r="E131" t="str">
            <v>coät</v>
          </cell>
          <cell r="G131">
            <v>730000</v>
          </cell>
        </row>
        <row r="132">
          <cell r="C132" t="str">
            <v>T8</v>
          </cell>
          <cell r="D132" t="str">
            <v>Coätï BTLT 8,4m</v>
          </cell>
          <cell r="E132" t="str">
            <v>coät</v>
          </cell>
          <cell r="G132">
            <v>860000</v>
          </cell>
        </row>
        <row r="133">
          <cell r="C133" t="str">
            <v>UVIS</v>
          </cell>
          <cell r="D133" t="str">
            <v>U clevis</v>
          </cell>
          <cell r="E133" t="str">
            <v>caùi</v>
          </cell>
          <cell r="G133">
            <v>12000</v>
          </cell>
        </row>
        <row r="134">
          <cell r="C134" t="str">
            <v>VT</v>
          </cell>
          <cell r="D134" t="str">
            <v>Voøng treo ñaàu troøn</v>
          </cell>
          <cell r="E134" t="str">
            <v>caùi</v>
          </cell>
          <cell r="G134">
            <v>5000</v>
          </cell>
        </row>
        <row r="135">
          <cell r="C135" t="str">
            <v>X</v>
          </cell>
          <cell r="D135" t="str">
            <v>Xaêng</v>
          </cell>
          <cell r="E135" t="str">
            <v>Kg</v>
          </cell>
          <cell r="G135">
            <v>5500</v>
          </cell>
        </row>
        <row r="136">
          <cell r="C136" t="str">
            <v>XM</v>
          </cell>
          <cell r="D136" t="str">
            <v>Ximaêng</v>
          </cell>
          <cell r="E136" t="str">
            <v>kg</v>
          </cell>
          <cell r="G136">
            <v>1050</v>
          </cell>
        </row>
        <row r="137">
          <cell r="C137" t="str">
            <v>YC</v>
          </cell>
          <cell r="D137" t="str">
            <v>Yeám caùp</v>
          </cell>
          <cell r="E137" t="str">
            <v>caùi</v>
          </cell>
          <cell r="G137">
            <v>5500</v>
          </cell>
        </row>
      </sheetData>
      <sheetData sheetId="1" refreshError="1">
        <row r="2">
          <cell r="C2">
            <v>4345</v>
          </cell>
        </row>
        <row r="3">
          <cell r="C3">
            <v>5265</v>
          </cell>
        </row>
      </sheetData>
      <sheetData sheetId="2" refreshError="1"/>
      <sheetData sheetId="3" refreshError="1"/>
      <sheetData sheetId="4" refreshError="1"/>
      <sheetData sheetId="5"/>
      <sheetData sheetId="6"/>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ONGIA"/>
      <sheetName val="CHITIET"/>
      <sheetName val="DG"/>
      <sheetName val="TTVanChuyen"/>
    </sheetNames>
    <sheetDataSet>
      <sheetData sheetId="0" refreshError="1"/>
      <sheetData sheetId="1" refreshError="1"/>
      <sheetData sheetId="2" refreshError="1"/>
      <sheetData sheetId="3"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NGKE3p "/>
      <sheetName val="TDTKP"/>
      <sheetName val="NEOGOC"/>
      <sheetName val="neothang"/>
      <sheetName val="dothang"/>
      <sheetName val="NEOGOCvuong90"/>
      <sheetName val="NEOGOC(90)"/>
      <sheetName val="bangtinh"/>
      <sheetName val="XXXXXXXX"/>
      <sheetName val="Du_lieu"/>
      <sheetName val="CHITIET"/>
      <sheetName val="DONGIA"/>
      <sheetName val="MYXUAN"/>
    </sheetNames>
    <sheetDataSet>
      <sheetData sheetId="0" refreshError="1">
        <row r="295">
          <cell r="C295">
            <v>9610</v>
          </cell>
          <cell r="T295">
            <v>12</v>
          </cell>
          <cell r="U295">
            <v>9</v>
          </cell>
          <cell r="X295">
            <v>55</v>
          </cell>
        </row>
      </sheetData>
      <sheetData sheetId="1" refreshError="1">
        <row r="44">
          <cell r="E44" t="e">
            <v>#NAME?</v>
          </cell>
          <cell r="F44" t="e">
            <v>#NAME?</v>
          </cell>
          <cell r="G44">
            <v>2272217561.4542689</v>
          </cell>
        </row>
      </sheetData>
      <sheetData sheetId="2"/>
      <sheetData sheetId="3"/>
      <sheetData sheetId="4"/>
      <sheetData sheetId="5"/>
      <sheetData sheetId="6"/>
      <sheetData sheetId="7"/>
      <sheetData sheetId="8"/>
      <sheetData sheetId="9" refreshError="1"/>
      <sheetData sheetId="10" refreshError="1"/>
      <sheetData sheetId="11" refreshError="1"/>
      <sheetData sheetId="12"/>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u_lieu"/>
      <sheetName val="Sheet1"/>
      <sheetName val="Tong_gia"/>
      <sheetName val="Chi_tiet_gia"/>
      <sheetName val="KL_dao_Lap_dat"/>
      <sheetName val="THKP_don_gia_chao"/>
      <sheetName val="Tong_GT_khac_Pbo_vao_GT"/>
      <sheetName val="THKP_XL_Khac"/>
      <sheetName val="Lan_trai_tam"/>
      <sheetName val="Chuyen_quan"/>
      <sheetName val="Den_bu"/>
      <sheetName val="VL_NC_M_XL_khac"/>
      <sheetName val="BT_cot_thep"/>
      <sheetName val="KL_cot_thep"/>
      <sheetName val="Dap_Dat"/>
      <sheetName val="Tinh_CT_dao_dat_Luu"/>
      <sheetName val="Tinh_CT_dao_dat"/>
      <sheetName val="Chi_tiet_cot_pha"/>
      <sheetName val="Chiet_tinh_don_gia"/>
      <sheetName val="Don_gia_VCTC"/>
      <sheetName val="Gia_HTXL+VC"/>
      <sheetName val="XL4Poppy"/>
      <sheetName val="Bang ve"/>
      <sheetName val="Bang tong ke"/>
      <sheetName val="Liet ke vat tu"/>
      <sheetName val="Sheet2"/>
      <sheetName val="Sheet3"/>
      <sheetName val="Sheet4"/>
      <sheetName val="Sheet5"/>
      <sheetName val="XL4Test5"/>
      <sheetName val="TONG HOP"/>
      <sheetName val="BIA HUDA CHAI"/>
      <sheetName val="BIA HUDA LON"/>
      <sheetName val="BIA SG 450"/>
      <sheetName val="BIA SG 330"/>
      <sheetName val="BIA HENIKEN 330"/>
      <sheetName val="BG SUNNY 100g"/>
      <sheetName val="BG SUNNY 200g"/>
      <sheetName val="BG MEO 500g"/>
      <sheetName val="BG SOPHA 200g"/>
      <sheetName val="BG SUNNEW 100g"/>
      <sheetName val="BG SUNNEW 200g"/>
      <sheetName val="BG SUNNEW 500g"/>
      <sheetName val="BG ISO 400g "/>
      <sheetName val="BG ISO 180g"/>
      <sheetName val="PIN DEN CON VOI"/>
      <sheetName val="LOP OTO 500-12"/>
      <sheetName val="LOP OTO 700-16"/>
      <sheetName val="LOP OTO 840-15"/>
      <sheetName val="LOP OTO 900-20 DN"/>
      <sheetName val="LOP OTO 1000-20 DN"/>
      <sheetName val="LOP OTO 1100-20 DN"/>
      <sheetName val="LOP OTO 1200-20 DN"/>
      <sheetName val="LOP SIAM 900"/>
      <sheetName val="LOP SIAM 1000"/>
      <sheetName val="LOP SIAM 1100"/>
      <sheetName val="SAM OTO 1000-20 DN"/>
      <sheetName val="SAM OTO 1100-20 DN"/>
      <sheetName val="SAM OTO 1200-20 DN"/>
      <sheetName val="YEM OTO 1100-20"/>
      <sheetName val="YEM OTO 1200-20"/>
      <sheetName val="ACQUY 50 A"/>
      <sheetName val="ACQUY 70 A"/>
      <sheetName val="ACQUY 100 A"/>
      <sheetName val="ACQUY 120 A"/>
      <sheetName val="ACQUY 150 A"/>
      <sheetName val="ACQUY 200 A"/>
      <sheetName val="TL BASTOR"/>
      <sheetName val="TL ERA DO"/>
      <sheetName val="TL ERA XANH"/>
      <sheetName val="TL NGUA TRANG"/>
      <sheetName val="TL DALAT DO"/>
      <sheetName val="TL DA LAT XANH"/>
      <sheetName val="TL BLU XANH"/>
      <sheetName val="Tl CHO LON"/>
      <sheetName val="MI TALIFOOD"/>
      <sheetName val="MI  SAFOOD"/>
      <sheetName val="PHO BO GA"/>
      <sheetName val="MI BO RAU THOM"/>
      <sheetName val="MI  30 GOI"/>
      <sheetName val="MI BO BIT TET"/>
      <sheetName val="MI LAU THAI"/>
      <sheetName val="MI PH DONG DO"/>
      <sheetName val="NHUA LA PHONG "/>
      <sheetName val="KEO XOP CHANH"/>
      <sheetName val="SAT  4"/>
      <sheetName val="SAT 6"/>
      <sheetName val="SAT 8"/>
      <sheetName val="SAT 10"/>
      <sheetName val="SAT 12"/>
      <sheetName val="THEP BUOC"/>
      <sheetName val="KEM GAI"/>
      <sheetName val="THEP LUOI B40"/>
      <sheetName val="NHOM LA"/>
      <sheetName val="CAN N 5 LIT"/>
      <sheetName val="CAN N 20 LIT"/>
      <sheetName val="CAN N 30 LIT"/>
      <sheetName val="NI LONG (VAI N PVC)"/>
      <sheetName val="N- RUA SUMMER"/>
      <sheetName val="N- RUA SUPER 500 ml"/>
      <sheetName val="N- RUA TLONG"/>
      <sheetName val="DAY DIEN BOC PVC "/>
      <sheetName val="VO (GIAY TRANG)"/>
      <sheetName val="TON KEM"/>
      <sheetName val="QUAT TREO TUONG"/>
      <sheetName val="SUA DAC DD"/>
      <sheetName val="SUATUOI CO DUONG"/>
      <sheetName val="SUA PN XANH"/>
      <sheetName val="SUA ONG THO DO"/>
      <sheetName val="SUA BOT RILAC NGOT"/>
      <sheetName val="SUA  BOT RILAC MAN"/>
      <sheetName val="SUA PHINO"/>
      <sheetName val="SUA BOT 1,2,3"/>
      <sheetName val="MILO 200g"/>
      <sheetName val="MILO HOP 300g"/>
      <sheetName val="MILO 400g"/>
      <sheetName val="NUOC SAM YEN"/>
      <sheetName val="CAFE NET 20 goi"/>
      <sheetName val="CAFE NET 50 goi"/>
      <sheetName val="Solieu"/>
      <sheetName val="TMC"/>
      <sheetName val="TMDT"/>
      <sheetName val="GiaQuyen"/>
      <sheetName val="TONG"/>
      <sheetName val="THXL"/>
      <sheetName val="GT"/>
      <sheetName val="chitiet"/>
      <sheetName val="DG"/>
      <sheetName val="ThuHoiVT"/>
      <sheetName val="vc"/>
      <sheetName val="VCDD"/>
      <sheetName val="THXL-tr"/>
      <sheetName val="CT_tram"/>
      <sheetName val="TK"/>
      <sheetName val="bu"/>
      <sheetName val="bu-tr"/>
      <sheetName val="klth"/>
      <sheetName val="vtthuhoi"/>
      <sheetName val="tram1x25"/>
      <sheetName val="tram1x50"/>
      <sheetName val="tram3x25"/>
      <sheetName val="tram250"/>
      <sheetName val="tram160"/>
      <sheetName val="kldd2"/>
      <sheetName val="kldd1"/>
      <sheetName val="pp3p_NC"/>
      <sheetName val="pp3p "/>
      <sheetName val="pp1p"/>
      <sheetName val="pphtABC"/>
      <sheetName val="pphtAV"/>
      <sheetName val="TienLuong"/>
      <sheetName val="00000000"/>
      <sheetName val="10000000"/>
      <sheetName val="Hung"/>
      <sheetName val="Dau"/>
      <sheetName val="Doan"/>
      <sheetName val="Xanh"/>
      <sheetName val="Tri"/>
      <sheetName val="Chuong"/>
      <sheetName val="Hue"/>
      <sheetName val="Tien"/>
      <sheetName val="Sanh"/>
      <sheetName val="Phuc"/>
      <sheetName val="Hai"/>
      <sheetName val="Chau"/>
      <sheetName val="Lien"/>
      <sheetName val="Trieu"/>
      <sheetName val="Huong"/>
      <sheetName val="Canh"/>
      <sheetName val="Bao"/>
      <sheetName val="Kim"/>
      <sheetName val="Son"/>
      <sheetName val="Phuong"/>
      <sheetName val="Nga"/>
      <sheetName val="THTN"/>
      <sheetName val="DT0156"/>
      <sheetName val="CL0156"/>
      <sheetName val="DT0559"/>
      <sheetName val="CL0559"/>
      <sheetName val="DT0720"/>
      <sheetName val="CL0720"/>
      <sheetName val="DT0829"/>
      <sheetName val="CL0829"/>
      <sheetName val="DT0998"/>
      <sheetName val="CL0998"/>
      <sheetName val="TN01"/>
      <sheetName val="DT1110"/>
      <sheetName val="CL1110"/>
      <sheetName val="DT1207"/>
      <sheetName val="CL1027"/>
      <sheetName val="DT1253"/>
      <sheetName val="CL1253"/>
      <sheetName val="DT1472"/>
      <sheetName val="CL1472"/>
      <sheetName val="DT1595"/>
      <sheetName val="CL1595"/>
      <sheetName val="DT1797"/>
      <sheetName val="CL1797"/>
      <sheetName val="DT1850"/>
      <sheetName val="CL1850"/>
      <sheetName val="DT1924"/>
      <sheetName val="CL1924"/>
      <sheetName val="TN12"/>
      <sheetName val="DT2009"/>
      <sheetName val="CL2009"/>
      <sheetName val="DT2828"/>
      <sheetName val="CL2828"/>
      <sheetName val="DT2895"/>
      <sheetName val="CL2895"/>
      <sheetName val="DT2978"/>
      <sheetName val="CL2978"/>
      <sheetName val="TN23"/>
      <sheetName val="DT3080"/>
      <sheetName val="CL3080"/>
      <sheetName val="DT3235"/>
      <sheetName val="CL3235"/>
      <sheetName val="DT3440"/>
      <sheetName val="CL3440"/>
      <sheetName val="DT3536"/>
      <sheetName val="CL3536"/>
      <sheetName val="DT3625"/>
      <sheetName val="CL3625"/>
      <sheetName val="DT3680"/>
      <sheetName val="CL3680"/>
      <sheetName val="DT3714"/>
      <sheetName val="CL3714"/>
      <sheetName val="DT3730"/>
      <sheetName val="CL3730"/>
      <sheetName val="DT3976"/>
      <sheetName val="CL3976"/>
      <sheetName val="TN34"/>
      <sheetName val="DT4084"/>
      <sheetName val="CL4084"/>
      <sheetName val="DT4172"/>
      <sheetName val="CL4172"/>
      <sheetName val="DT4386"/>
      <sheetName val="CL4386"/>
      <sheetName val="DT4492"/>
      <sheetName val="CL4492"/>
      <sheetName val="DT4509"/>
      <sheetName val="CL4509"/>
      <sheetName val="DT4680"/>
      <sheetName val="CL4680"/>
      <sheetName val="DT4792"/>
      <sheetName val="CL4792"/>
      <sheetName val="DT4974"/>
      <sheetName val="CL4974"/>
      <sheetName val="TN45"/>
      <sheetName val="DT5435"/>
      <sheetName val="CL5435"/>
      <sheetName val="DT5578"/>
      <sheetName val="CL5578"/>
      <sheetName val="DT5679"/>
      <sheetName val="CL5679"/>
      <sheetName val="DT5786"/>
      <sheetName val="CL5786"/>
      <sheetName val="TN56"/>
      <sheetName val="DT6031"/>
      <sheetName val="CL6031"/>
      <sheetName val="DT6463"/>
      <sheetName val="CL6463"/>
      <sheetName val="DT6653"/>
      <sheetName val="CL6653"/>
      <sheetName val="DT6676"/>
      <sheetName val="CL6676"/>
      <sheetName val="DT6803"/>
      <sheetName val="CL6803"/>
      <sheetName val="DT6918"/>
      <sheetName val="CL6918"/>
      <sheetName val="TN67"/>
      <sheetName val="DT7067"/>
      <sheetName val="CL7067"/>
      <sheetName val="DT7181"/>
      <sheetName val="CL7181"/>
      <sheetName val="DT7263"/>
      <sheetName val="CL7263"/>
      <sheetName val="DT7547"/>
      <sheetName val="CL7547"/>
      <sheetName val="DT7786"/>
      <sheetName val="CL7786"/>
      <sheetName val="DT7806"/>
      <sheetName val="CL7806"/>
      <sheetName val="DT7961"/>
      <sheetName val="CL7961"/>
      <sheetName val="TN78"/>
      <sheetName val="DT8118"/>
      <sheetName val="CL8118"/>
      <sheetName val="DT8163"/>
      <sheetName val="CL8163"/>
      <sheetName val="DT8391"/>
      <sheetName val="CL8391"/>
      <sheetName val="DT8654"/>
      <sheetName val="CL8654"/>
      <sheetName val="TN8C"/>
      <sheetName val="XLCau1"/>
      <sheetName val="DTCAU1"/>
      <sheetName val="CLCau1"/>
      <sheetName val="XLCau3"/>
      <sheetName val="DTCAU3"/>
      <sheetName val="CLCau3"/>
      <sheetName val="CVC"/>
      <sheetName val="CVCda"/>
      <sheetName val="Thang02"/>
      <sheetName val="Thang03"/>
      <sheetName val="thang04"/>
      <sheetName val="THCTANG"/>
      <sheetName val="TBHBOI"/>
      <sheetName val="DHKK2"/>
      <sheetName val="MOC"/>
      <sheetName val="TB"/>
      <sheetName val="THCPK"/>
      <sheetName val="THDT"/>
      <sheetName val="NHAN"/>
      <sheetName val="00000001"/>
      <sheetName val="KH-Q1,Q2,01"/>
      <sheetName val="Phuc Hung "/>
      <sheetName val="Quang An I (3)"/>
      <sheetName val="Quang An I (2)"/>
      <sheetName val="Quang An I"/>
      <sheetName val="Long An (3)"/>
      <sheetName val="Long An (2)"/>
      <sheetName val="Long An"/>
      <sheetName val="Thanh Hung"/>
      <sheetName val="Giai Duc"/>
      <sheetName val="Tan Hoa"/>
      <sheetName val="XMXD Thong Nhat (2)"/>
      <sheetName val="XMXD Thong Nhat"/>
      <sheetName val="Viet Thai (2)"/>
      <sheetName val="Viet Thai"/>
      <sheetName val="The Quang  (3)"/>
      <sheetName val="The Quang  (2)"/>
      <sheetName val="The Quang "/>
      <sheetName val="Mong Phong"/>
      <sheetName val="Manh quang"/>
      <sheetName val="Minh chinh"/>
      <sheetName val="Ynghua"/>
      <sheetName val="Kien Dat (2)"/>
      <sheetName val="Kien Dat"/>
      <sheetName val="Khoa Dien"/>
      <sheetName val="Vi Tan"/>
      <sheetName val="INOUE "/>
      <sheetName val="EAGLE (2)"/>
      <sheetName val="EAGLE"/>
      <sheetName val="Lifan-Zhuoli"/>
      <sheetName val="Dong Thap (2)"/>
      <sheetName val="Dong Thap"/>
      <sheetName val="CKCX TLong"/>
      <sheetName val="Tong hop TT"/>
      <sheetName val="CK120"/>
      <sheetName val="CKCX1 (3)"/>
      <sheetName val="CKCX1 (2)"/>
      <sheetName val="CKCX1"/>
      <sheetName val="SON NAM"/>
      <sheetName val="LFTS"/>
      <sheetName val="Le long"/>
      <sheetName val="TRA"/>
      <sheetName val="Amoro"/>
      <sheetName val="Thien phuc"/>
      <sheetName val="DCCKXK"/>
      <sheetName val="TOAN LUC (Moi)"/>
      <sheetName val="TOAN LUC"/>
      <sheetName val="XL Dong Anh"/>
      <sheetName val="BORAMTEK"/>
      <sheetName val="A LONG"/>
      <sheetName val="DAI MO"/>
      <sheetName val="Thien Ngoc An"/>
      <sheetName val="Sheang nil"/>
      <sheetName val="XCD (2)"/>
      <sheetName val="Meinfa (2)"/>
      <sheetName val="Meinfa"/>
      <sheetName val="PTDG"/>
      <sheetName val="DGTHDC"/>
      <sheetName val="GM"/>
      <sheetName val="GVL"/>
      <sheetName val="GNC"/>
      <sheetName val="DKTT"/>
      <sheetName val="CTPTTC"/>
      <sheetName val="NC"/>
      <sheetName val="DIEN GIAI KL"/>
      <sheetName val="KLTHEP"/>
      <sheetName val="KL DUONG GOM"/>
      <sheetName val="Sheet19"/>
      <sheetName val="TGTHUC HIEN"/>
      <sheetName val="KLLK THUC HIEN"/>
      <sheetName val="GTNTTTD1"/>
      <sheetName val="DGTHT"/>
      <sheetName val="PTCT MUONG"/>
      <sheetName val="DGTH MUONG"/>
      <sheetName val="Sheet24"/>
      <sheetName val="Sheet25"/>
      <sheetName val="Sheet26"/>
      <sheetName val="Sheet27"/>
      <sheetName val="Sheet28"/>
      <sheetName val="Sheet29"/>
      <sheetName val="Sheet30"/>
      <sheetName val="Sheet31"/>
      <sheetName val="Sheet32"/>
      <sheetName val="Sheet33"/>
      <sheetName val="Sheet34"/>
      <sheetName val="Sheet35"/>
      <sheetName val="Sheet36"/>
      <sheetName val="XXXXXXXX"/>
      <sheetName val="1"/>
      <sheetName val="BIA HUD_x0001_ LON"/>
      <sheetName val="CT35"/>
      <sheetName val="ct luong "/>
      <sheetName val="Nhap 6T"/>
      <sheetName val="baocaochinh(qui1.05) (DC)"/>
      <sheetName val="Ctuluongq.1.05"/>
      <sheetName val="BANG PHAN BO qui1.05(DC)"/>
      <sheetName val="BANG PHAN BO quiII.05"/>
      <sheetName val="bao cac cinh Qui II-2005"/>
      <sheetName val="VL_NC_溼_XL_khac"/>
      <sheetName val="TSDL"/>
      <sheetName val="toketoanCND MSTS"/>
      <sheetName val="TSKH"/>
      <sheetName val="vtôiuhoi"/>
      <sheetName val="giathanh1"/>
      <sheetName val="THXM-tr"/>
      <sheetName val="pp3x!"/>
      <sheetName val="KL_dak_Lap_dat"/>
      <sheetName val="KL_cot[thep"/>
      <sheetName val="Chart1"/>
      <sheetName val="TDTH"/>
      <sheetName val=""/>
      <sheetName val="_x0004_T3714"/>
      <sheetName val="TN NEW"/>
      <sheetName val="285"/>
      <sheetName val="phangoithau"/>
      <sheetName val="TDT"/>
      <sheetName val="THCPXD"/>
      <sheetName val="cpkhac"/>
      <sheetName val="CP CBSX"/>
      <sheetName val="TN CT"/>
      <sheetName val="VLNCMTC TN"/>
      <sheetName val="CT day dan su phu kien"/>
      <sheetName val="CT xa - tiep dia"/>
      <sheetName val="THEP HINH"/>
      <sheetName val="CT cot"/>
      <sheetName val="Ct BT mong"/>
      <sheetName val="DatDao"/>
      <sheetName val="K LUONG duong day"/>
      <sheetName val="TH CTO"/>
      <sheetName val="VL-NC CTo"/>
      <sheetName val="CT cong to"/>
      <sheetName val="KL CONG TO"/>
      <sheetName val="VL DAU THAU"/>
      <sheetName val="TH DZ0,4"/>
      <sheetName val="TT"/>
      <sheetName val="VL-NC DZ0,4"/>
      <sheetName val="TH THAO DO"/>
      <sheetName val="VL-NC-MTC thao do"/>
      <sheetName val="CT THAO DO"/>
      <sheetName val="KL Thao Do"/>
      <sheetName val="BAOGIATHANG"/>
      <sheetName val="DAODAT"/>
      <sheetName val="vanchuyen TC"/>
      <sheetName val="K,DTt5-6"/>
      <sheetName val="K,DTt7-11"/>
      <sheetName val="K,DTt5-6 (2)"/>
      <sheetName val="K,DTt7-11 (2)"/>
      <sheetName val="VL_NC_?_XL_khac"/>
      <sheetName val="ctdg"/>
      <sheetName val="Khoi luong"/>
      <sheetName val="Vat tu"/>
      <sheetName val="Tinh_CT__x0003__x0000_o_dat"/>
      <sheetName val="jannkc"/>
      <sheetName val="JAN-05"/>
      <sheetName val="FEB-05 -NKC"/>
      <sheetName val="FEB-05"/>
      <sheetName val="NKCMAR05"/>
      <sheetName val="MAR 05"/>
      <sheetName val="APRIL NKC"/>
      <sheetName val="LOTHEPPHULAM"/>
      <sheetName val="loamiang16"/>
      <sheetName val="APRIL"/>
      <sheetName val="may"/>
      <sheetName val="maynkc"/>
      <sheetName val="chi Ngoc"/>
      <sheetName val="NKCJUNE"/>
      <sheetName val="JUNE"/>
      <sheetName val="nkcjuly"/>
      <sheetName val="JULY"/>
      <sheetName val="Tong_GT_khac_Pbo_v!n_GT"/>
      <sheetName val="nhot1"/>
      <sheetName val="nhot0.8"/>
      <sheetName val="nhot0,7"/>
      <sheetName val="F020"/>
      <sheetName val="R020-4"/>
      <sheetName val="R020-6"/>
      <sheetName val="F100"/>
      <sheetName val="R100-4"/>
      <sheetName val="R100-6"/>
      <sheetName val="F200"/>
      <sheetName val="R200-4"/>
      <sheetName val="R200-6"/>
      <sheetName val="F300"/>
      <sheetName val="R300-4"/>
      <sheetName val="R300-6"/>
      <sheetName val="F300VN"/>
      <sheetName val="R300-4VN"/>
      <sheetName val="R300-6VN"/>
      <sheetName val="F400"/>
      <sheetName val="R400-4"/>
      <sheetName val="R400-6"/>
      <sheetName val="90-100-SPACY"/>
      <sheetName val="SAM25-50"/>
      <sheetName val="SAM75"/>
      <sheetName val="nhot1-ES"/>
      <sheetName val="nhot 0,8-ES"/>
      <sheetName val="sen AP 428"/>
      <sheetName val="sen AP420"/>
      <sheetName val="sen YBN 428"/>
      <sheetName val="ron mayC50+70"/>
      <sheetName val="ron mayC100"/>
      <sheetName val="ron mayW110"/>
      <sheetName val="ronmayYAMAHA"/>
      <sheetName val="ronmaySUZUKI"/>
      <sheetName val="ronmayBEST"/>
      <sheetName val="ronmaySwan,TQ110,TQ100"/>
      <sheetName val="ronmayC50,70FG"/>
      <sheetName val="ronmayC100FG"/>
      <sheetName val="rondauC50,70"/>
      <sheetName val="rondau C50,70FG"/>
      <sheetName val="rondau C100"/>
      <sheetName val="rondau C100FG"/>
      <sheetName val="rondau W110"/>
      <sheetName val="rondau Yamaha"/>
      <sheetName val="rondau Suxuki"/>
      <sheetName val="rondau Best"/>
      <sheetName val="rondau Swan,TQ110,TQ100"/>
      <sheetName val="Sheet7"/>
      <sheetName val="Sheet6"/>
      <sheetName val="cong DST2"/>
      <sheetName val="cong DS T1"/>
      <sheetName val="1-1"/>
      <sheetName val="Rheet30"/>
      <sheetName val="桃彩楴瑥损瑯灟慨_x0012_䌀楨瑥瑟湩彨潤"/>
      <sheetName val="၃hi_tiet_cot_pha"/>
      <sheetName val="T1"/>
      <sheetName val="PTT1"/>
      <sheetName val="pT12"/>
      <sheetName val="Sua"/>
      <sheetName val="TT661"/>
      <sheetName val="T661-2"/>
      <sheetName val="T661"/>
      <sheetName val="Chi_tiet_cot_x001f_pha"/>
      <sheetName val="C(iet_x001f_tinh_do._gia"/>
      <sheetName val="Don_'ia_VCTC"/>
      <sheetName val="Gia_HTXL+_x0016_C"/>
      <sheetName val="XL4_x0010_oppy"/>
      <sheetName val="T10"/>
      <sheetName val="T11"/>
      <sheetName val="T12"/>
      <sheetName val="SQ12"/>
      <sheetName val="12(2)"/>
      <sheetName val="bia"/>
      <sheetName val="TH "/>
      <sheetName val="van chuyen"/>
      <sheetName val="KL"/>
      <sheetName val="Phan-Tich"/>
      <sheetName val="20000000"/>
      <sheetName val="30000000"/>
      <sheetName val="DINH MUC"/>
      <sheetName val="A301"/>
      <sheetName val="cc"/>
      <sheetName val="thau.xls]SAM OTO 1100-20 DN"/>
      <sheetName val="toketoanCLD MSTS"/>
      <sheetName val="NEW-PANEL"/>
      <sheetName val="DONGIA"/>
      <sheetName val="TTVanChuyen"/>
      <sheetName val="DGXDCB_DD"/>
      <sheetName val="DG CANTHO"/>
      <sheetName val="Dutoan KL"/>
      <sheetName val="PT VATTU"/>
      <sheetName val="thang 1"/>
      <sheetName val="THANG 3"/>
      <sheetName val="CL17_x0000_7"/>
      <sheetName val="Don_giaíCTC"/>
      <sheetName val="Cty"/>
      <sheetName val="Trả nợ"/>
      <sheetName val="Nhập"/>
      <sheetName val="K.Toan"/>
      <sheetName val="KTNXT"/>
      <sheetName val="MTO REV.2(ARMOR)"/>
      <sheetName val="DGchitiet "/>
      <sheetName val="DS-nop"/>
      <sheetName val="DS-nop T12.03"/>
      <sheetName val="DS nop quý IV"/>
      <sheetName val="DS nop quý IV.04"/>
      <sheetName val="DSnop quý III.04"/>
      <sheetName val="DSnop quý II.04"/>
      <sheetName val="DSnop quý I.04"/>
      <sheetName val="DS-nop T11.03"/>
      <sheetName val="CL28&quot;8"/>
      <sheetName val="tbam3x25"/>
      <sheetName val="`p1p"/>
      <sheetName val="DATA"/>
      <sheetName val="Summary"/>
      <sheetName val="Chi_tiet_gm"/>
      <sheetName val="????????_x0012_???????"/>
      <sheetName val="PTCT"/>
      <sheetName val="T T CL VC DZ 22"/>
      <sheetName val="Don_giaí€CTC"/>
      <sheetName val="Chi_tiet_g”m"/>
      <sheetName val="THANG 4"/>
      <sheetName val="Sheet17"/>
      <sheetName val="Sheet8"/>
      <sheetName val="Sheet9"/>
      <sheetName val="Sheet10"/>
      <sheetName val="Sheet11"/>
      <sheetName val="Sheet12"/>
      <sheetName val="Sheet13"/>
      <sheetName val="Sheet14"/>
      <sheetName val="Sheet15"/>
      <sheetName val="Sheet16"/>
      <sheetName val="TH헾】_x0005__x0000_"/>
      <sheetName val="ManhԀ_x0000__x0000__x0000_Ȁ"/>
      <sheetName val="Manh?_x0000__x0000__x0000_?"/>
      <sheetName val="Manh︀ᇕ԰_x0000_缀"/>
      <sheetName val="ManhԀ_x0000__x0000__x0000_"/>
      <sheetName val="Manh԰"/>
      <sheetName val="DãtDao"/>
      <sheetName val="TH C_x0017_O"/>
      <sheetName val="KLãCONG TO"/>
      <sheetName val="TH DZ0,t"/>
      <sheetName val="CT THAO EO"/>
      <sheetName val="ÈL_dak_Lap_dat"/>
      <sheetName val="PTDG_x0006__x0000__x0000_DGTHDC_x0002__x0000__x0000_GM_x0003__x0000__x0000_GVL_x0003__x0000__x0000_GN@_x0004_"/>
      <sheetName val="S-SKTM"/>
      <sheetName val="S-BDMTK"/>
      <sheetName val="SQTM"/>
      <sheetName val="SNKTT"/>
      <sheetName val="BCDTKKT"/>
      <sheetName val="BCKQHDKD"/>
      <sheetName val="TGTGTDKT"/>
      <sheetName val="SOCAI"/>
      <sheetName val="PTDG_x0006__x0000_DGTHDC_x0002__x0000_GM_x0003__x0000_GVL_x0003__x0000_GN@_x0004__x0000_DKT"/>
      <sheetName val="TH MUONG_x0007__x0000__x0000_Sheet24_x0007__x0000__x0000_heet25_x0007__x0000__x0000_"/>
      <sheetName val="Manh???_x0000_?"/>
      <sheetName val="Manh?"/>
      <sheetName val="Don_giI&lt;_x0000__x0000_J&lt;"/>
      <sheetName val="_x001f__x0000__x0000__x0000__x0000__x0000__x0000__x0000__x0000__x0000__x0000__x0000__x0016__x0000__x0000__x0000__x0000__x0000__x0015_6_x0001__x0017_ö_x0003__x0000__x0000__x001a_Ö _x0000_"/>
      <sheetName val="MT"/>
      <sheetName val="th"/>
      <sheetName val="HDCT"/>
      <sheetName val="HDBT"/>
      <sheetName val="2003"/>
      <sheetName val="LK"/>
      <sheetName val="CHO"/>
      <sheetName val="NDU"/>
      <sheetName val="MAU"/>
      <sheetName val="LMC"/>
      <sheetName val="LG CT"/>
      <sheetName val="UBDS"/>
      <sheetName val="TH-TL"/>
      <sheetName val="UB-TL"/>
      <sheetName val="GDTX"/>
      <sheetName val="AN"/>
      <sheetName val="HH"/>
      <sheetName val="H-TR"/>
      <sheetName val="C.CA"/>
      <sheetName val="C.XANG"/>
      <sheetName val="XS"/>
      <sheetName val="BH"/>
      <sheetName val="MTO REV.0"/>
      <sheetName val="ManhԀ_x0000__x0000__x0000_Ȁ_x0000_"/>
      <sheetName val="Manh?_x0000__x0000__x0000_?_x0000_"/>
    </sheetNames>
    <sheetDataSet>
      <sheetData sheetId="0" refreshError="1">
        <row r="6">
          <cell r="C6">
            <v>1.5644349070100143</v>
          </cell>
        </row>
        <row r="19">
          <cell r="C19">
            <v>8761.9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refreshError="1"/>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sheetData sheetId="403" refreshError="1"/>
      <sheetData sheetId="404" refreshError="1"/>
      <sheetData sheetId="405"/>
      <sheetData sheetId="406"/>
      <sheetData sheetId="407"/>
      <sheetData sheetId="408"/>
      <sheetData sheetId="409"/>
      <sheetData sheetId="410"/>
      <sheetData sheetId="411"/>
      <sheetData sheetId="412" refreshError="1"/>
      <sheetData sheetId="413"/>
      <sheetData sheetId="414"/>
      <sheetData sheetId="415"/>
      <sheetData sheetId="416" refreshError="1"/>
      <sheetData sheetId="417" refreshError="1"/>
      <sheetData sheetId="418"/>
      <sheetData sheetId="419"/>
      <sheetData sheetId="420" refreshError="1"/>
      <sheetData sheetId="421" refreshError="1"/>
      <sheetData sheetId="422"/>
      <sheetData sheetId="423" refreshError="1"/>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refreshError="1"/>
      <sheetData sheetId="523" refreshError="1"/>
      <sheetData sheetId="524" refreshError="1"/>
      <sheetData sheetId="525" refreshError="1"/>
      <sheetData sheetId="526" refreshError="1"/>
      <sheetData sheetId="527" refreshError="1"/>
      <sheetData sheetId="528" refreshError="1"/>
      <sheetData sheetId="529" refreshError="1"/>
      <sheetData sheetId="530" refreshError="1"/>
      <sheetData sheetId="531" refreshError="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refreshError="1"/>
      <sheetData sheetId="554" refreshError="1"/>
      <sheetData sheetId="555" refreshError="1"/>
      <sheetData sheetId="556" refreshError="1"/>
      <sheetData sheetId="557" refreshError="1"/>
      <sheetData sheetId="558" refreshError="1"/>
      <sheetData sheetId="559" refreshError="1"/>
      <sheetData sheetId="560" refreshError="1"/>
      <sheetData sheetId="561" refreshError="1"/>
      <sheetData sheetId="562" refreshError="1"/>
      <sheetData sheetId="563" refreshError="1"/>
      <sheetData sheetId="564" refreshError="1"/>
      <sheetData sheetId="565" refreshError="1"/>
      <sheetData sheetId="566" refreshError="1"/>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sheetData sheetId="578" refreshError="1"/>
      <sheetData sheetId="579"/>
      <sheetData sheetId="580"/>
      <sheetData sheetId="581"/>
      <sheetData sheetId="582"/>
      <sheetData sheetId="583"/>
      <sheetData sheetId="584" refreshError="1"/>
      <sheetData sheetId="585" refreshError="1"/>
      <sheetData sheetId="586"/>
      <sheetData sheetId="587"/>
      <sheetData sheetId="588"/>
      <sheetData sheetId="589"/>
      <sheetData sheetId="590"/>
      <sheetData sheetId="591"/>
      <sheetData sheetId="592"/>
      <sheetData sheetId="593"/>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refreshError="1"/>
      <sheetData sheetId="619"/>
      <sheetData sheetId="620"/>
      <sheetData sheetId="621"/>
      <sheetData sheetId="622" refreshError="1"/>
      <sheetData sheetId="623" refreshError="1"/>
      <sheetData sheetId="624" refreshError="1"/>
      <sheetData sheetId="625" refreshError="1"/>
      <sheetData sheetId="626" refreshError="1"/>
      <sheetData sheetId="627" refreshError="1"/>
      <sheetData sheetId="628" refreshError="1"/>
      <sheetData sheetId="629"/>
      <sheetData sheetId="630"/>
      <sheetData sheetId="631"/>
      <sheetData sheetId="632"/>
      <sheetData sheetId="633"/>
      <sheetData sheetId="634"/>
      <sheetData sheetId="635"/>
      <sheetData sheetId="636"/>
      <sheetData sheetId="637" refreshError="1"/>
      <sheetData sheetId="638" refreshError="1"/>
      <sheetData sheetId="639" refreshError="1"/>
      <sheetData sheetId="640" refreshError="1"/>
      <sheetData sheetId="641" refreshError="1"/>
      <sheetData sheetId="642" refreshError="1"/>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refreshError="1"/>
      <sheetData sheetId="666"/>
      <sheetData sheetId="667"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T_10KV"/>
      <sheetName val="TT_0,4KV"/>
      <sheetName val="T_TBA"/>
      <sheetName val="TBA"/>
      <sheetName val="T_10KV"/>
      <sheetName val="10KV"/>
      <sheetName val="T_0,4KV"/>
      <sheetName val="0,4KV"/>
      <sheetName val="CP_Xaylap"/>
      <sheetName val="CP_Thietbi"/>
      <sheetName val="CP_Khac"/>
      <sheetName val="Tong_DT"/>
      <sheetName val="TTVanChuyen"/>
      <sheetName val="Gia_GC_Satthep"/>
      <sheetName val="VLC_10KV"/>
      <sheetName val="VLC_TBA"/>
      <sheetName val="VLC_0,4KV"/>
      <sheetName val="Du_lieu"/>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H VL, NC, DDHT Thanhphuoc"/>
      <sheetName val="TONGKE-HT"/>
      <sheetName val="LKVL-CK-HT-GD1"/>
      <sheetName val="TT_10KV"/>
      <sheetName val="TH VL_ NC_ DDHT Thanhphuoc"/>
    </sheetNames>
    <sheetDataSet>
      <sheetData sheetId="0" refreshError="1">
        <row r="19">
          <cell r="J19">
            <v>102751598</v>
          </cell>
        </row>
      </sheetData>
      <sheetData sheetId="1" refreshError="1"/>
      <sheetData sheetId="2" refreshError="1"/>
      <sheetData sheetId="3" refreshError="1"/>
      <sheetData sheetId="4"/>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gct"/>
      <sheetName val="dtct"/>
      <sheetName val="gvl"/>
      <sheetName val="Sheet10"/>
      <sheetName val="Sheet11"/>
      <sheetName val="Sheet12"/>
      <sheetName val="Sheet13"/>
      <sheetName val="Sheet14"/>
      <sheetName val="Sheet15"/>
      <sheetName val="Sheet16"/>
      <sheetName val="SILICATE"/>
    </sheetNames>
    <sheetDataSet>
      <sheetData sheetId="0"/>
      <sheetData sheetId="1"/>
      <sheetData sheetId="2">
        <row r="9">
          <cell r="N9">
            <v>118182</v>
          </cell>
        </row>
        <row r="17">
          <cell r="N17">
            <v>55000</v>
          </cell>
        </row>
        <row r="38">
          <cell r="N38">
            <v>4.5</v>
          </cell>
        </row>
      </sheetData>
      <sheetData sheetId="3"/>
      <sheetData sheetId="4"/>
      <sheetData sheetId="5"/>
      <sheetData sheetId="6"/>
      <sheetData sheetId="7"/>
      <sheetData sheetId="8"/>
      <sheetData sheetId="9"/>
      <sheetData sheetId="10"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M tu van DZ 110 kV"/>
      <sheetName val="DM tu van DZ 35 kV"/>
      <sheetName val="DM tu van"/>
      <sheetName val="Don gia"/>
      <sheetName val="táng hîp"/>
      <sheetName val="THDT DZ 110 kV"/>
      <sheetName val="VL-NC-M 110 KV"/>
      <sheetName val="Phu kien 110 kV"/>
      <sheetName val="NC Day su Phu kien"/>
      <sheetName val="THDT DZ 35 kV"/>
      <sheetName val="VL-NC-M 35 KV"/>
      <sheetName val="Sheet1"/>
      <sheetName val="Phu kien 35 kV"/>
      <sheetName val="Tiep dia"/>
      <sheetName val="M4T-1"/>
      <sheetName val="Tien luong M4T-1"/>
      <sheetName val="M4T-2"/>
      <sheetName val="Tien luong M4T-2"/>
      <sheetName val="M4T-3"/>
      <sheetName val="Tien luong M4T-3"/>
      <sheetName val="MB-1"/>
      <sheetName val="Tien luong MB-1"/>
      <sheetName val="MB-2"/>
      <sheetName val="Tien luong MB-2"/>
      <sheetName val="MB-3"/>
      <sheetName val="Tien luong MB-3"/>
      <sheetName val="MB-4"/>
      <sheetName val="Tien luong MB-4"/>
      <sheetName val="MB-5"/>
      <sheetName val="Tien luong MB-5"/>
      <sheetName val="MB-6"/>
      <sheetName val="MBK"/>
      <sheetName val="Tien luong MBK"/>
      <sheetName val="Gia thanh chuoi su"/>
      <sheetName val="Tien luong MB-6"/>
      <sheetName val="MP-12"/>
      <sheetName val="Tien luong MP-12"/>
      <sheetName val="MN18-6"/>
      <sheetName val="Truoc thue)"/>
      <sheetName val="Khaosat"/>
      <sheetName val="Tong hop 1"/>
      <sheetName val="Xay lap"/>
      <sheetName val="Sheet2"/>
      <sheetName val="Chi tiet1"/>
      <sheetName val="Chi tiet"/>
      <sheetName val="Bu VL"/>
      <sheetName val="Dan"/>
      <sheetName val="Sheet3"/>
      <sheetName val="00000000"/>
      <sheetName val="XL4Test5"/>
      <sheetName val="gvl"/>
      <sheetName val="THPDMoi  (2)"/>
      <sheetName val="dongia (2)"/>
      <sheetName val="gtrinh"/>
      <sheetName val="phuluc1"/>
      <sheetName val="TONG HOP VL-NC"/>
      <sheetName val="lam-moi"/>
      <sheetName val="chitiet"/>
      <sheetName val="TONGKE3p "/>
      <sheetName val="giathanh1"/>
      <sheetName val="TH VL, NC, DDHT Thanhphuoc"/>
      <sheetName val="#REF"/>
      <sheetName val="DONGIA"/>
      <sheetName val="thao-go"/>
      <sheetName val="TONGKE-HT"/>
      <sheetName val="DG"/>
      <sheetName val="LKVL-CK-HT-GD1"/>
      <sheetName val="t-h HA THE"/>
      <sheetName val="CHITIET VL-NC-TT -1p"/>
      <sheetName val="TONG HOP VL-NC TT"/>
      <sheetName val="TNHCHINH"/>
      <sheetName val="TH XL"/>
      <sheetName val="CHITIET VL-NC"/>
      <sheetName val="VC"/>
      <sheetName val="Tiepdia"/>
      <sheetName val="CHITIET VL-NC-TT-3p"/>
      <sheetName val="TDTKP"/>
      <sheetName val="TDTKP1"/>
      <sheetName val="KPVC-BD "/>
      <sheetName val="VCV-BE-TONG"/>
      <sheetName val="Hoá Đơn NV"/>
      <sheetName val="Long"/>
      <sheetName val="Son Tay"/>
      <sheetName val="Hoa Binh"/>
      <sheetName val="Thuong Tin"/>
      <sheetName val="Vang Lai"/>
      <sheetName val="NV6"/>
      <sheetName val="NV7"/>
      <sheetName val="NV8"/>
      <sheetName val="NV9"/>
      <sheetName val="NV10"/>
      <sheetName val="Tong Xuat"/>
      <sheetName val="Tong Nhap"/>
      <sheetName val="Nhap Xuat Ton"/>
      <sheetName val="Ton Kho Ban Giao Chi Oanh"/>
      <sheetName val="QC"/>
      <sheetName val="NV"/>
      <sheetName val="So xuat hang Nuoc"/>
      <sheetName val="The kho Nuoc"/>
      <sheetName val="So Xuat hang Dac"/>
      <sheetName val="The kho Dac"/>
      <sheetName val="HC"/>
      <sheetName val="QLN"/>
      <sheetName val="KTHUAT"/>
      <sheetName val="KT"/>
      <sheetName val="CN"/>
      <sheetName val="DLo"/>
      <sheetName val="BDa"/>
      <sheetName val="CDong"/>
      <sheetName val="KTang"/>
      <sheetName val="PBat"/>
      <sheetName val="TThuy"/>
      <sheetName val="CXa"/>
      <sheetName val="THop"/>
      <sheetName val="Tien lumng MB-2"/>
      <sheetName val="Tien lumng MB-5"/>
      <sheetName val="Du_lieu"/>
      <sheetName val="SILICATE"/>
      <sheetName val="Du bao LL xe"/>
      <sheetName val="K.Tra do vong dan hoi"/>
      <sheetName val="Tinh truot"/>
      <sheetName val="Tinh Keo uon"/>
      <sheetName val="Cac bang tra"/>
      <sheetName val="About"/>
      <sheetName val="ctdz35"/>
      <sheetName val="DM tt van DZ 35 kV"/>
      <sheetName val="GDMN.1"/>
      <sheetName val="GDMN.2"/>
      <sheetName val="GDMN.3"/>
      <sheetName val="GDMN.4"/>
      <sheetName val="GDMN.5"/>
      <sheetName val="GDTH.1"/>
      <sheetName val="GDTH.2"/>
      <sheetName val="GDTH.3"/>
      <sheetName val="GDTH.4"/>
      <sheetName val="GDTH.5"/>
      <sheetName val="THCS.1"/>
      <sheetName val="THCS.2"/>
      <sheetName val="THCS.3"/>
      <sheetName val="THCS.4"/>
      <sheetName val="THCS.5"/>
      <sheetName val="THCS.6"/>
      <sheetName val="THPT.1"/>
      <sheetName val="THPT.2"/>
      <sheetName val="THPT.3"/>
      <sheetName val="THPT.4"/>
      <sheetName val="THPT.5"/>
      <sheetName val="THPT.6"/>
      <sheetName val="DH,CD,THCN.1"/>
      <sheetName val="DH,CD,THCN.2"/>
      <sheetName val="DH,CD,THCN.3"/>
      <sheetName val="GDKCQ.1"/>
      <sheetName val="GDKCQ.2"/>
      <sheetName val="TAICHINH"/>
      <sheetName val="chitimc"/>
      <sheetName val="dtxl"/>
      <sheetName val="KH-Q1,Q2,01"/>
      <sheetName val="DGKV1"/>
      <sheetName val="GVTKV1"/>
      <sheetName val="DG_QUANG NINH"/>
      <sheetName val="Hướng dẫn"/>
      <sheetName val="Ví dụ hàm Vlookup"/>
      <sheetName val="Gvl_QN"/>
      <sheetName val="Gvlks_QN"/>
    </sheetNames>
    <sheetDataSet>
      <sheetData sheetId="0"/>
      <sheetData sheetId="1"/>
      <sheetData sheetId="2"/>
      <sheetData sheetId="3" refreshError="1">
        <row r="3">
          <cell r="A3" t="str">
            <v>03.1112</v>
          </cell>
          <cell r="B3" t="str">
            <v>Ñaøo ñaát hoá theá saâu &gt;1m S ñaùy hoá £ 5 m 2  ñaát C2</v>
          </cell>
          <cell r="C3" t="str">
            <v>m 3</v>
          </cell>
          <cell r="E3">
            <v>16776</v>
          </cell>
          <cell r="G3" t="str">
            <v>03.1112</v>
          </cell>
        </row>
        <row r="4">
          <cell r="A4" t="str">
            <v>03.1113</v>
          </cell>
          <cell r="B4" t="str">
            <v>Ñaøo ñaát hoá theá saâu &gt;1m S ñaùy hoá £ 5 m 2  ñaát C3</v>
          </cell>
          <cell r="C4" t="str">
            <v>m 3</v>
          </cell>
          <cell r="D4" t="str">
            <v>Xi m¨ng TW   KV NghÜa Lé</v>
          </cell>
          <cell r="E4">
            <v>24428</v>
          </cell>
          <cell r="F4" t="str">
            <v xml:space="preserve">§¸ d¨m  1x2            </v>
          </cell>
          <cell r="G4" t="str">
            <v>03.1113</v>
          </cell>
        </row>
        <row r="5">
          <cell r="A5" t="str">
            <v>03.2203</v>
          </cell>
          <cell r="B5" t="str">
            <v>Laáp ñaát hoá theá</v>
          </cell>
          <cell r="C5" t="str">
            <v>m 3</v>
          </cell>
          <cell r="E5">
            <v>10890</v>
          </cell>
          <cell r="G5" t="str">
            <v>03.2203</v>
          </cell>
        </row>
        <row r="6">
          <cell r="A6" t="str">
            <v>03.1122</v>
          </cell>
          <cell r="B6" t="str">
            <v>Ñaøo moùng baèng TC ñaát C2  saâu £ 2 m dieän tích ñaùy moùng £ 15 m2</v>
          </cell>
          <cell r="C6" t="str">
            <v>m 3</v>
          </cell>
          <cell r="D6">
            <v>89429.123809523822</v>
          </cell>
          <cell r="E6">
            <v>11037</v>
          </cell>
          <cell r="F6">
            <v>0</v>
          </cell>
          <cell r="G6" t="str">
            <v>03.1122</v>
          </cell>
        </row>
        <row r="7">
          <cell r="A7" t="str">
            <v>03.1123</v>
          </cell>
          <cell r="B7" t="str">
            <v>Ñaøo moùng baèng TC ñaát C3  saâu £ 2 m dieän tích ñaùy moùng £ 15 m2</v>
          </cell>
          <cell r="C7" t="str">
            <v>m 3</v>
          </cell>
          <cell r="D7">
            <v>38</v>
          </cell>
          <cell r="E7">
            <v>16482</v>
          </cell>
          <cell r="G7" t="str">
            <v>03.1123</v>
          </cell>
        </row>
        <row r="8">
          <cell r="A8" t="str">
            <v>03.1132</v>
          </cell>
          <cell r="B8" t="str">
            <v>Ñaøo moùng baèng TC ñaát C2  saâu £ 3 m dieän tích ñaùy moùng £ 15 m2</v>
          </cell>
          <cell r="C8" t="str">
            <v>m 3</v>
          </cell>
          <cell r="D8">
            <v>1670.4761904761904</v>
          </cell>
          <cell r="E8">
            <v>11773</v>
          </cell>
          <cell r="G8" t="str">
            <v>03.1132</v>
          </cell>
        </row>
        <row r="9">
          <cell r="A9" t="str">
            <v>03.1133</v>
          </cell>
          <cell r="B9" t="str">
            <v>Ñaøo moùng baèng TC ñaát C3  saâu £ 3 m dieän tích ñaùy moùng £ 15 m2</v>
          </cell>
          <cell r="C9" t="str">
            <v>m 3</v>
          </cell>
          <cell r="D9">
            <v>1.3</v>
          </cell>
          <cell r="E9">
            <v>17659</v>
          </cell>
          <cell r="G9" t="str">
            <v>03.1133</v>
          </cell>
        </row>
        <row r="10">
          <cell r="A10" t="str">
            <v>03.1152</v>
          </cell>
          <cell r="B10" t="str">
            <v>Ñaøo moùng baèng TC ñaát C2  saâu £ 2 m dieän tích ñaùy moùng £ 25 m2</v>
          </cell>
          <cell r="C10" t="str">
            <v>m 3</v>
          </cell>
          <cell r="D10">
            <v>1</v>
          </cell>
          <cell r="E10">
            <v>11478</v>
          </cell>
          <cell r="G10" t="str">
            <v>03.1152</v>
          </cell>
        </row>
        <row r="11">
          <cell r="A11" t="str">
            <v>03.1153</v>
          </cell>
          <cell r="B11" t="str">
            <v>Ñaøo moùng baèng TC ñaát C3  saâu £ 2 m dieän tích ñaùy moùng £ 25 m2</v>
          </cell>
          <cell r="C11" t="str">
            <v>m 3</v>
          </cell>
          <cell r="D11">
            <v>0.2</v>
          </cell>
          <cell r="E11">
            <v>17365</v>
          </cell>
          <cell r="G11" t="str">
            <v>03.1153</v>
          </cell>
        </row>
        <row r="12">
          <cell r="A12" t="str">
            <v>03.1162</v>
          </cell>
          <cell r="B12" t="str">
            <v>Ñaøo moùng baèng TC ñaát C2  saâu £ 3 m dieän tích ñaùy moùng £ 25 m2</v>
          </cell>
          <cell r="C12" t="str">
            <v>m 3</v>
          </cell>
          <cell r="D12">
            <v>34538</v>
          </cell>
          <cell r="E12">
            <v>12508</v>
          </cell>
          <cell r="G12" t="str">
            <v>03.1162</v>
          </cell>
        </row>
        <row r="13">
          <cell r="A13" t="str">
            <v>03.1163</v>
          </cell>
          <cell r="B13" t="str">
            <v>Ñaøo moùng baèng TC ñaát C3  saâu £ 3 m dieän tích ñaùy moùng £ 25 m2</v>
          </cell>
          <cell r="C13" t="str">
            <v>m 3</v>
          </cell>
          <cell r="D13">
            <v>865522.27999999991</v>
          </cell>
          <cell r="E13">
            <v>18395</v>
          </cell>
          <cell r="F13">
            <v>0</v>
          </cell>
          <cell r="G13" t="str">
            <v>03.1163</v>
          </cell>
        </row>
        <row r="14">
          <cell r="A14" t="str">
            <v>03.1182</v>
          </cell>
          <cell r="B14" t="str">
            <v>Ñaøo moùng baèng TC ñaát C2  saâu £ 2 m dieän tích ñaùy moùng £ 35 m2</v>
          </cell>
          <cell r="C14" t="str">
            <v>m 3</v>
          </cell>
          <cell r="D14">
            <v>0.2</v>
          </cell>
          <cell r="E14">
            <v>12214</v>
          </cell>
          <cell r="G14" t="str">
            <v>03.1182</v>
          </cell>
        </row>
        <row r="15">
          <cell r="A15" t="str">
            <v>03.1183</v>
          </cell>
          <cell r="B15" t="str">
            <v>Ñaøo moùng baèng TC ñaát C3  saâu £ 2 m dieän tích ñaùy moùng £ 35 m2</v>
          </cell>
          <cell r="C15" t="str">
            <v>m 3</v>
          </cell>
          <cell r="D15">
            <v>5.5600000000000005</v>
          </cell>
          <cell r="E15">
            <v>18100</v>
          </cell>
          <cell r="G15" t="str">
            <v>03.1183</v>
          </cell>
        </row>
        <row r="16">
          <cell r="A16" t="str">
            <v>03.1192</v>
          </cell>
          <cell r="B16" t="str">
            <v>Ñaøo moùng baèng TC ñaát C2  saâu £ 3 m dieän tích ñaùy moùng £ 35 m2</v>
          </cell>
          <cell r="C16" t="str">
            <v>m 3</v>
          </cell>
          <cell r="E16">
            <v>13097</v>
          </cell>
          <cell r="G16" t="str">
            <v>03.1192</v>
          </cell>
        </row>
        <row r="17">
          <cell r="A17" t="str">
            <v>03.1193</v>
          </cell>
          <cell r="B17" t="str">
            <v>Ñaøo moùng baèng TC ñaát C3  saâu £ 3 m dieän tích ñaùy moùng £ 35 m2</v>
          </cell>
          <cell r="C17" t="str">
            <v>m 3</v>
          </cell>
          <cell r="E17">
            <v>19425</v>
          </cell>
          <cell r="G17" t="str">
            <v>03.1193</v>
          </cell>
        </row>
        <row r="18">
          <cell r="A18" t="str">
            <v>03.1212</v>
          </cell>
          <cell r="B18" t="str">
            <v>Ñaøo moùng baèng TC ñaát C2  saâu £ 2 m dieän tích ñaùy moùng £ 50 m2</v>
          </cell>
          <cell r="C18" t="str">
            <v>m 3</v>
          </cell>
          <cell r="D18">
            <v>5.5</v>
          </cell>
          <cell r="E18">
            <v>12803</v>
          </cell>
          <cell r="G18" t="str">
            <v>03.1212</v>
          </cell>
        </row>
        <row r="19">
          <cell r="A19" t="str">
            <v>03.1213</v>
          </cell>
          <cell r="B19" t="str">
            <v>Ñaøo moùng baèng TC ñaát C3  saâu £ 2 m dieän tích ñaùy moùng £ 50 m2</v>
          </cell>
          <cell r="C19" t="str">
            <v>m 3</v>
          </cell>
          <cell r="D19">
            <v>4.5199999999999996</v>
          </cell>
          <cell r="E19">
            <v>19130</v>
          </cell>
          <cell r="G19" t="str">
            <v>03.1213</v>
          </cell>
        </row>
        <row r="20">
          <cell r="A20" t="str">
            <v>03.1222</v>
          </cell>
          <cell r="B20" t="str">
            <v>Ñaøo moùng baèng TC ñaát C2  saâu £ 3 m dieän tích ñaùy moùng £ 50 m2</v>
          </cell>
          <cell r="C20" t="str">
            <v>m 3</v>
          </cell>
          <cell r="D20">
            <v>25.06</v>
          </cell>
          <cell r="E20">
            <v>13833</v>
          </cell>
          <cell r="G20" t="str">
            <v>03.1222</v>
          </cell>
        </row>
        <row r="21">
          <cell r="A21" t="str">
            <v>03.1223</v>
          </cell>
          <cell r="B21" t="str">
            <v>Ñaøo moùng baèng TC ñaát C3  saâu £ 3 m dieän tích ñaùy moùng £ 50 m2</v>
          </cell>
          <cell r="C21" t="str">
            <v>m 3</v>
          </cell>
          <cell r="D21">
            <v>34538</v>
          </cell>
          <cell r="E21">
            <v>20455</v>
          </cell>
          <cell r="F21">
            <v>34538</v>
          </cell>
          <cell r="G21" t="str">
            <v>03.1223</v>
          </cell>
        </row>
        <row r="22">
          <cell r="A22" t="str">
            <v>03.1252</v>
          </cell>
          <cell r="B22" t="str">
            <v>Ñaøo moùng baèng TC ñaát C2  saâu £ 2 m dieän tích ñaùy moùng £ 75 m2</v>
          </cell>
          <cell r="C22" t="str">
            <v>m 3</v>
          </cell>
          <cell r="D22">
            <v>954951.40380952368</v>
          </cell>
          <cell r="E22">
            <v>13097</v>
          </cell>
          <cell r="F22">
            <v>0</v>
          </cell>
          <cell r="G22" t="str">
            <v>03.1252</v>
          </cell>
        </row>
        <row r="23">
          <cell r="A23" t="str">
            <v>03.1253</v>
          </cell>
          <cell r="B23" t="str">
            <v>Ñaøo moùng baèng TC ñaát C3  saâu £ 2 m dieän tích ñaùy moùng £ 75 m2</v>
          </cell>
          <cell r="C23" t="str">
            <v>m 3</v>
          </cell>
          <cell r="D23">
            <v>796000</v>
          </cell>
          <cell r="E23">
            <v>19572</v>
          </cell>
          <cell r="F23">
            <v>110000</v>
          </cell>
          <cell r="G23" t="str">
            <v>03.1253</v>
          </cell>
        </row>
        <row r="24">
          <cell r="A24" t="str">
            <v>03.1262</v>
          </cell>
          <cell r="B24" t="str">
            <v>Ñaøo moùng baèng TC ñaát C2  saâu £ 3 m dieän tích ñaùy moùng £ 75 m2</v>
          </cell>
          <cell r="C24" t="str">
            <v>m 3</v>
          </cell>
          <cell r="D24">
            <v>1750951.4038095237</v>
          </cell>
          <cell r="E24">
            <v>14127</v>
          </cell>
          <cell r="F24">
            <v>110000</v>
          </cell>
          <cell r="G24" t="str">
            <v>03.1262</v>
          </cell>
        </row>
        <row r="25">
          <cell r="A25" t="str">
            <v>03.1263</v>
          </cell>
          <cell r="B25" t="str">
            <v>Ñaøo moùng baèng TC ñaát C3  saâu £ 3 m dieän tích ñaùy moùng £ 75 m2</v>
          </cell>
          <cell r="C25" t="str">
            <v>m 3</v>
          </cell>
          <cell r="D25">
            <v>639000</v>
          </cell>
          <cell r="E25">
            <v>21043</v>
          </cell>
          <cell r="F25">
            <v>73000</v>
          </cell>
          <cell r="G25" t="str">
            <v>03.1263</v>
          </cell>
        </row>
        <row r="26">
          <cell r="A26" t="str">
            <v>03.1292</v>
          </cell>
          <cell r="B26" t="str">
            <v>Ñaøo moùng baèng TC ñaát C2  saâu £ 2 m dieän tích ñaùy moùng £ 100 m2</v>
          </cell>
          <cell r="C26" t="str">
            <v>m 3</v>
          </cell>
          <cell r="D26">
            <v>1111951.4038095237</v>
          </cell>
          <cell r="E26">
            <v>13391</v>
          </cell>
          <cell r="F26">
            <v>37000</v>
          </cell>
          <cell r="G26" t="str">
            <v>03.1292</v>
          </cell>
        </row>
        <row r="27">
          <cell r="A27" t="str">
            <v>03.1293</v>
          </cell>
          <cell r="B27" t="str">
            <v>Ñaøo moùng baèng TC ñaát C3  saâu £ 2 m dieän tích ñaùy moùng £ 100 m2</v>
          </cell>
          <cell r="C27" t="str">
            <v>m 3</v>
          </cell>
          <cell r="E27">
            <v>20308</v>
          </cell>
          <cell r="G27" t="str">
            <v>03.1293</v>
          </cell>
        </row>
        <row r="28">
          <cell r="A28" t="str">
            <v>03.1302</v>
          </cell>
          <cell r="B28" t="str">
            <v>Ñaøo moùng baèng TC ñaát C2  saâu £ 3 m dieän tích ñaùy moùng £ 100 m2</v>
          </cell>
          <cell r="C28" t="str">
            <v>m 3</v>
          </cell>
          <cell r="E28">
            <v>14569</v>
          </cell>
          <cell r="G28" t="str">
            <v>03.1302</v>
          </cell>
        </row>
        <row r="29">
          <cell r="A29" t="str">
            <v>03.1303</v>
          </cell>
          <cell r="B29" t="str">
            <v>Ñaøo moùng baèng TC ñaát C3  saâu £ 3 m dieän tích ñaùy moùng £ 100 m2</v>
          </cell>
          <cell r="C29" t="str">
            <v>m 3</v>
          </cell>
          <cell r="D29" t="str">
            <v>Xi m¨ng TW   KV NghÜa Lé</v>
          </cell>
          <cell r="E29">
            <v>21632</v>
          </cell>
          <cell r="F29" t="str">
            <v xml:space="preserve">§¸ d¨m  1x2            </v>
          </cell>
          <cell r="G29" t="str">
            <v>03.1303</v>
          </cell>
        </row>
        <row r="30">
          <cell r="A30" t="str">
            <v>03.1332</v>
          </cell>
          <cell r="B30" t="str">
            <v>Ñaøo moùng baèng TC ñaát C2  saâu £ 2 m dieän tích ñaùy moùng £ 150 m2</v>
          </cell>
          <cell r="C30" t="str">
            <v>m 3</v>
          </cell>
          <cell r="E30">
            <v>14127</v>
          </cell>
          <cell r="G30" t="str">
            <v>03.1332</v>
          </cell>
        </row>
        <row r="31">
          <cell r="A31" t="str">
            <v>03.1333</v>
          </cell>
          <cell r="B31" t="str">
            <v>Ñaøo moùng baèng TC ñaát C3  saâu £ 2 m dieän tích ñaùy moùng £ 150 m2</v>
          </cell>
          <cell r="C31" t="str">
            <v>m 3</v>
          </cell>
          <cell r="D31">
            <v>89429.123809523822</v>
          </cell>
          <cell r="E31">
            <v>21191</v>
          </cell>
          <cell r="F31">
            <v>0</v>
          </cell>
          <cell r="G31" t="str">
            <v>03.1333</v>
          </cell>
        </row>
        <row r="32">
          <cell r="A32" t="str">
            <v>03.1342</v>
          </cell>
          <cell r="B32" t="str">
            <v>Ñaøo moùng baèng TC ñaát C2  saâu £ 3 m dieän tích ñaùy moùng £ 150 m2</v>
          </cell>
          <cell r="C32" t="str">
            <v>m 3</v>
          </cell>
          <cell r="D32">
            <v>38</v>
          </cell>
          <cell r="E32">
            <v>15451</v>
          </cell>
          <cell r="G32" t="str">
            <v>03.1342</v>
          </cell>
        </row>
        <row r="33">
          <cell r="A33" t="str">
            <v>03.1343</v>
          </cell>
          <cell r="B33" t="str">
            <v>Ñaøo moùng baèng TC ñaát C3  saâu £ 3 m dieän tích ñaùy moùng £ 150 m2</v>
          </cell>
          <cell r="C33" t="str">
            <v>m 3</v>
          </cell>
          <cell r="D33">
            <v>1670.4761904761904</v>
          </cell>
          <cell r="E33">
            <v>22809</v>
          </cell>
          <cell r="G33" t="str">
            <v>03.1343</v>
          </cell>
        </row>
        <row r="34">
          <cell r="A34" t="str">
            <v>03.1352</v>
          </cell>
          <cell r="B34" t="str">
            <v>Ñaøo moùng baèng TC ñaát C2  saâu £ 4 m dieän tích ñaùy moùng £ 150 m2</v>
          </cell>
          <cell r="C34" t="str">
            <v>m 3</v>
          </cell>
          <cell r="D34">
            <v>1.3</v>
          </cell>
          <cell r="E34">
            <v>16629</v>
          </cell>
          <cell r="G34" t="str">
            <v>03.1352</v>
          </cell>
        </row>
        <row r="35">
          <cell r="A35" t="str">
            <v>03.1353</v>
          </cell>
          <cell r="B35" t="str">
            <v>Ñaøo moùng baèng TC ñaát C3  saâu £ 4 m dieän tích ñaùy moùng £ 150 m2</v>
          </cell>
          <cell r="C35" t="str">
            <v>m 3</v>
          </cell>
          <cell r="D35">
            <v>1</v>
          </cell>
          <cell r="E35">
            <v>24134</v>
          </cell>
          <cell r="G35" t="str">
            <v>03.1353</v>
          </cell>
        </row>
        <row r="36">
          <cell r="A36" t="str">
            <v>03.1372</v>
          </cell>
          <cell r="B36" t="str">
            <v>Ñaøo moùng baèng TC ñaát C2  saâu £ 2 m dieän tích ñaùy moùng £ 200 m2</v>
          </cell>
          <cell r="C36" t="str">
            <v>m 3</v>
          </cell>
          <cell r="D36">
            <v>0.2</v>
          </cell>
          <cell r="E36">
            <v>14716</v>
          </cell>
          <cell r="G36" t="str">
            <v>03.1372</v>
          </cell>
        </row>
        <row r="37">
          <cell r="A37" t="str">
            <v>03.1373</v>
          </cell>
          <cell r="B37" t="str">
            <v>Ñaøo moùng baèng TC ñaát C3  saâu £ 2 m dieän tích ñaùy moùng £ 200 m2</v>
          </cell>
          <cell r="C37" t="str">
            <v>m 3</v>
          </cell>
          <cell r="D37">
            <v>34538</v>
          </cell>
          <cell r="E37">
            <v>22074</v>
          </cell>
          <cell r="G37" t="str">
            <v>03.1373</v>
          </cell>
        </row>
        <row r="38">
          <cell r="A38" t="str">
            <v>03.1382</v>
          </cell>
          <cell r="B38" t="str">
            <v>Ñaøo moùng baèng TC ñaát C2  saâu £ 3 m dieän tích ñaùy moùng £ 200 m2</v>
          </cell>
          <cell r="C38" t="str">
            <v>m 3</v>
          </cell>
          <cell r="D38">
            <v>740632.87199999997</v>
          </cell>
          <cell r="E38">
            <v>16334</v>
          </cell>
          <cell r="F38">
            <v>0</v>
          </cell>
          <cell r="G38" t="str">
            <v>03.1382</v>
          </cell>
        </row>
        <row r="39">
          <cell r="A39" t="str">
            <v>03.1383</v>
          </cell>
          <cell r="B39" t="str">
            <v>Ñaøo moùng baèng TC ñaát C3  saâu £ 3 m dieän tích ñaùy moùng £ 200 m2</v>
          </cell>
          <cell r="C39" t="str">
            <v>m 3</v>
          </cell>
          <cell r="D39">
            <v>0.2</v>
          </cell>
          <cell r="E39">
            <v>23987</v>
          </cell>
          <cell r="G39" t="str">
            <v>03.1383</v>
          </cell>
        </row>
        <row r="40">
          <cell r="A40" t="str">
            <v>03.1392</v>
          </cell>
          <cell r="B40" t="str">
            <v>Ñaøo moùng baèng TC ñaát C2  saâu £ 3 m dieän tích ñaùy moùng £ 200 m2</v>
          </cell>
          <cell r="C40" t="str">
            <v>m 3</v>
          </cell>
          <cell r="D40">
            <v>4.7</v>
          </cell>
          <cell r="E40">
            <v>17512</v>
          </cell>
          <cell r="G40" t="str">
            <v>03.1392</v>
          </cell>
        </row>
        <row r="41">
          <cell r="A41" t="str">
            <v>03.1393</v>
          </cell>
          <cell r="B41" t="str">
            <v>Ñaøo moùng baèng TC ñaát C3  saâu £ 3 m dieän tích ñaùy moùng £ 200 m2</v>
          </cell>
          <cell r="C41" t="str">
            <v>m 3</v>
          </cell>
          <cell r="E41">
            <v>25311</v>
          </cell>
          <cell r="G41" t="str">
            <v>03.1393</v>
          </cell>
        </row>
        <row r="42">
          <cell r="A42" t="str">
            <v>03.1422</v>
          </cell>
          <cell r="B42" t="str">
            <v>Ñaøo moùng baèng TC ñaát C2  saâu £ 2 m dieän tích ñaùy moùng &gt; 200 m2</v>
          </cell>
          <cell r="C42" t="str">
            <v>m 3</v>
          </cell>
          <cell r="E42">
            <v>16187</v>
          </cell>
          <cell r="G42" t="str">
            <v>03.1422</v>
          </cell>
        </row>
        <row r="43">
          <cell r="A43" t="str">
            <v>03.1423</v>
          </cell>
          <cell r="B43" t="str">
            <v>Ñaøo moùng baèng TC ñaát C3  saâu £ 2 m dieän tích ñaùy moùng &gt; 200 m2</v>
          </cell>
          <cell r="C43" t="str">
            <v>m 3</v>
          </cell>
          <cell r="D43">
            <v>4.7</v>
          </cell>
          <cell r="E43">
            <v>24281</v>
          </cell>
          <cell r="G43" t="str">
            <v>03.1423</v>
          </cell>
        </row>
        <row r="44">
          <cell r="A44" t="str">
            <v>03.1432</v>
          </cell>
          <cell r="B44" t="str">
            <v>Ñaøo moùng baèng TC ñaát C2  saâu £ 3 m dieän tích ñaùy moùng &gt; 200 m2</v>
          </cell>
          <cell r="C44" t="str">
            <v>m 3</v>
          </cell>
          <cell r="D44">
            <v>4.5199999999999996</v>
          </cell>
          <cell r="E44">
            <v>17217</v>
          </cell>
          <cell r="G44" t="str">
            <v>03.1432</v>
          </cell>
        </row>
        <row r="45">
          <cell r="A45" t="str">
            <v>03.1433</v>
          </cell>
          <cell r="B45" t="str">
            <v>Ñaøo moùng baèng TC ñaát C3  saâu £ 3 m dieän tích ñaùy moùng &gt; 200 m2</v>
          </cell>
          <cell r="C45" t="str">
            <v>m 3</v>
          </cell>
          <cell r="D45">
            <v>21.443999999999999</v>
          </cell>
          <cell r="E45">
            <v>25458</v>
          </cell>
          <cell r="G45" t="str">
            <v>03.1433</v>
          </cell>
        </row>
        <row r="46">
          <cell r="A46" t="str">
            <v>03.1442</v>
          </cell>
          <cell r="B46" t="str">
            <v>Ñaøo moùng baèng TC ñaát C2  saâu £ 3 m dieän tích ñaùy moùng &gt; 200 m2</v>
          </cell>
          <cell r="C46" t="str">
            <v>m 3</v>
          </cell>
          <cell r="D46">
            <v>34538</v>
          </cell>
          <cell r="E46">
            <v>18836</v>
          </cell>
          <cell r="G46" t="str">
            <v>03.1442</v>
          </cell>
        </row>
        <row r="47">
          <cell r="A47" t="str">
            <v>03.1443</v>
          </cell>
          <cell r="B47" t="str">
            <v>Ñaøo moùng baèng TC ñaát C3  saâu £ 3 m dieän tích ñaùy moùng &gt; 200 m2</v>
          </cell>
          <cell r="C47" t="str">
            <v>m 3</v>
          </cell>
          <cell r="D47">
            <v>830061.99580952385</v>
          </cell>
          <cell r="E47">
            <v>27960</v>
          </cell>
          <cell r="F47">
            <v>0</v>
          </cell>
          <cell r="G47" t="str">
            <v>03.1443</v>
          </cell>
        </row>
        <row r="48">
          <cell r="A48" t="str">
            <v>03.2202</v>
          </cell>
          <cell r="B48" t="str">
            <v>Laáp hoá moùng + chaân truï C2</v>
          </cell>
          <cell r="C48" t="str">
            <v>m 3</v>
          </cell>
          <cell r="D48">
            <v>796000</v>
          </cell>
          <cell r="E48">
            <v>9712</v>
          </cell>
          <cell r="F48">
            <v>110000</v>
          </cell>
          <cell r="G48" t="str">
            <v>03.2202</v>
          </cell>
        </row>
        <row r="49">
          <cell r="A49" t="str">
            <v>03.2203</v>
          </cell>
          <cell r="B49" t="str">
            <v>Laáp hoá moùng + chaân truï C3</v>
          </cell>
          <cell r="C49" t="str">
            <v>m 3</v>
          </cell>
          <cell r="D49">
            <v>1626061.9958095239</v>
          </cell>
          <cell r="E49">
            <v>10890</v>
          </cell>
          <cell r="F49">
            <v>110000</v>
          </cell>
          <cell r="G49" t="str">
            <v>03.2203</v>
          </cell>
        </row>
        <row r="50">
          <cell r="A50" t="str">
            <v>03.3102</v>
          </cell>
          <cell r="B50" t="str">
            <v>Ñaøo ñaát raõnh tieáp ñòa ñaát C2</v>
          </cell>
          <cell r="C50" t="str">
            <v>m 3</v>
          </cell>
          <cell r="D50">
            <v>639000</v>
          </cell>
          <cell r="E50">
            <v>14716</v>
          </cell>
          <cell r="F50">
            <v>73000</v>
          </cell>
          <cell r="G50" t="str">
            <v>03.3102</v>
          </cell>
        </row>
        <row r="51">
          <cell r="A51" t="str">
            <v>03.3103</v>
          </cell>
          <cell r="B51" t="str">
            <v>Ñaøo ñaát raõnh tieáp ñòa ñaát C3</v>
          </cell>
          <cell r="C51" t="str">
            <v>m 3</v>
          </cell>
          <cell r="D51">
            <v>987061.99580952385</v>
          </cell>
          <cell r="E51">
            <v>21926</v>
          </cell>
          <cell r="F51">
            <v>37000</v>
          </cell>
          <cell r="G51" t="str">
            <v>03.3103</v>
          </cell>
        </row>
        <row r="52">
          <cell r="A52" t="str">
            <v>03.3202</v>
          </cell>
          <cell r="B52" t="str">
            <v>Laáp ñaát raõnh tieáp ñòa ñaát C2</v>
          </cell>
          <cell r="C52" t="str">
            <v>m 3</v>
          </cell>
          <cell r="E52">
            <v>8682</v>
          </cell>
          <cell r="G52" t="str">
            <v>03.3202</v>
          </cell>
        </row>
        <row r="53">
          <cell r="A53" t="str">
            <v>03.3203</v>
          </cell>
          <cell r="B53" t="str">
            <v>Laáp ñaát raõnh tieáp ñòa ñaát C3</v>
          </cell>
          <cell r="C53" t="str">
            <v>m 3</v>
          </cell>
          <cell r="E53">
            <v>10007</v>
          </cell>
          <cell r="G53" t="str">
            <v>03.3203</v>
          </cell>
        </row>
        <row r="54">
          <cell r="A54" t="str">
            <v>03.4001</v>
          </cell>
          <cell r="B54" t="str">
            <v>Ñaép bôø bao ñoä saâu buøn nöôùc £ 30cm</v>
          </cell>
          <cell r="C54" t="str">
            <v>m</v>
          </cell>
          <cell r="E54">
            <v>5592</v>
          </cell>
          <cell r="G54" t="str">
            <v>03.4001</v>
          </cell>
        </row>
        <row r="55">
          <cell r="A55" t="str">
            <v>03.4002</v>
          </cell>
          <cell r="B55" t="str">
            <v>Ñaép bôø bao ñoä saâu buøn nöôùc £ 50cm</v>
          </cell>
          <cell r="C55" t="str">
            <v>m</v>
          </cell>
          <cell r="D55">
            <v>22400</v>
          </cell>
          <cell r="E55">
            <v>8241</v>
          </cell>
          <cell r="G55" t="str">
            <v>03.4002</v>
          </cell>
        </row>
        <row r="56">
          <cell r="A56" t="str">
            <v>03.4003</v>
          </cell>
          <cell r="B56" t="str">
            <v>Ñaép bôø bao ñoä saâu buøn nöôùc £ 80cm</v>
          </cell>
          <cell r="C56" t="str">
            <v>m</v>
          </cell>
          <cell r="D56">
            <v>35000</v>
          </cell>
          <cell r="E56">
            <v>12655</v>
          </cell>
          <cell r="G56" t="str">
            <v>03.4003</v>
          </cell>
        </row>
        <row r="57">
          <cell r="A57" t="str">
            <v>03.4004</v>
          </cell>
          <cell r="B57" t="str">
            <v>Ñaép bôø bao ñoä saâu buøn nöôùc £ 100cm</v>
          </cell>
          <cell r="C57" t="str">
            <v>m</v>
          </cell>
          <cell r="D57">
            <v>42000</v>
          </cell>
          <cell r="E57">
            <v>16187</v>
          </cell>
          <cell r="G57" t="str">
            <v>03.4004</v>
          </cell>
        </row>
        <row r="58">
          <cell r="A58" t="str">
            <v>03.5100</v>
          </cell>
          <cell r="B58" t="str">
            <v xml:space="preserve">Bôm taùt nöôùc baèng thuû coâng </v>
          </cell>
          <cell r="C58" t="str">
            <v>m 3</v>
          </cell>
          <cell r="G58" t="str">
            <v>03.5100</v>
          </cell>
        </row>
        <row r="59">
          <cell r="A59" t="str">
            <v>03.5200</v>
          </cell>
          <cell r="B59" t="str">
            <v>Bôm taùt nöôùc baèng maùy</v>
          </cell>
          <cell r="C59" t="str">
            <v>m 3</v>
          </cell>
          <cell r="G59" t="str">
            <v>03.5200</v>
          </cell>
        </row>
        <row r="60">
          <cell r="A60" t="str">
            <v>03.7001</v>
          </cell>
          <cell r="B60" t="str">
            <v>Ñaép caùt coâng trình</v>
          </cell>
          <cell r="C60" t="str">
            <v>m 3</v>
          </cell>
          <cell r="D60">
            <v>27750</v>
          </cell>
          <cell r="E60">
            <v>9124</v>
          </cell>
          <cell r="G60" t="str">
            <v>03.7001</v>
          </cell>
        </row>
        <row r="61">
          <cell r="A61" t="str">
            <v>04.1101</v>
          </cell>
          <cell r="B61" t="str">
            <v>SX laép döïng coát theùp £ F10</v>
          </cell>
          <cell r="C61" t="str">
            <v>kg</v>
          </cell>
          <cell r="D61">
            <v>4267.6769999999997</v>
          </cell>
          <cell r="E61">
            <v>201.59299999999999</v>
          </cell>
          <cell r="F61">
            <v>16.917999999999999</v>
          </cell>
          <cell r="G61" t="str">
            <v>04.1101</v>
          </cell>
        </row>
        <row r="62">
          <cell r="A62" t="str">
            <v>04.1102</v>
          </cell>
          <cell r="B62" t="str">
            <v>SX laép döïng coát theùp £ F18</v>
          </cell>
          <cell r="C62" t="str">
            <v>kg</v>
          </cell>
          <cell r="D62">
            <v>4316.2070000000003</v>
          </cell>
          <cell r="E62">
            <v>148.48500000000001</v>
          </cell>
          <cell r="F62">
            <v>187.36099999999999</v>
          </cell>
          <cell r="G62" t="str">
            <v>04.1102</v>
          </cell>
        </row>
        <row r="63">
          <cell r="A63" t="str">
            <v>04.1103</v>
          </cell>
          <cell r="B63" t="str">
            <v>SX laép döïng coát theùp &gt; F18</v>
          </cell>
          <cell r="C63" t="str">
            <v>kg</v>
          </cell>
          <cell r="D63">
            <v>4322.2129999999997</v>
          </cell>
          <cell r="E63">
            <v>113.02800000000001</v>
          </cell>
          <cell r="F63">
            <v>203.874</v>
          </cell>
          <cell r="G63" t="str">
            <v>04.1103</v>
          </cell>
        </row>
        <row r="64">
          <cell r="A64" t="str">
            <v>04.2002</v>
          </cell>
          <cell r="B64" t="str">
            <v>Vaùn khuoân</v>
          </cell>
          <cell r="C64" t="str">
            <v>m2</v>
          </cell>
          <cell r="D64">
            <v>19977.759999999998</v>
          </cell>
          <cell r="E64">
            <v>5702.46</v>
          </cell>
          <cell r="F64">
            <v>0</v>
          </cell>
          <cell r="G64" t="str">
            <v>04.2002</v>
          </cell>
        </row>
        <row r="65">
          <cell r="A65" t="str">
            <v>04.3210</v>
          </cell>
          <cell r="B65" t="str">
            <v>Beâ toâng loùt M#100 ñaù 4x6</v>
          </cell>
          <cell r="C65" t="str">
            <v>m 3</v>
          </cell>
          <cell r="D65">
            <v>263424</v>
          </cell>
          <cell r="E65">
            <v>39732</v>
          </cell>
          <cell r="G65" t="str">
            <v>04.3210</v>
          </cell>
        </row>
        <row r="66">
          <cell r="A66" t="str">
            <v>04.3210</v>
          </cell>
          <cell r="B66" t="str">
            <v>Beâ toâng loùt M#150 ñaù 4x6</v>
          </cell>
          <cell r="C66" t="str">
            <v>m 3</v>
          </cell>
          <cell r="D66">
            <v>306285</v>
          </cell>
          <cell r="E66">
            <v>39732</v>
          </cell>
          <cell r="G66" t="str">
            <v>04.3210</v>
          </cell>
        </row>
        <row r="67">
          <cell r="A67" t="str">
            <v>04.3333</v>
          </cell>
          <cell r="B67" t="str">
            <v>BT moùng truï coù caàu coâng taùc M#200 ñaù 2x4 (TC keát hôïp ñaàm duøi)</v>
          </cell>
          <cell r="C67" t="str">
            <v>m 3</v>
          </cell>
          <cell r="D67">
            <v>389539</v>
          </cell>
          <cell r="E67">
            <v>44589</v>
          </cell>
          <cell r="F67">
            <v>4003</v>
          </cell>
          <cell r="G67" t="str">
            <v>04.3333</v>
          </cell>
        </row>
        <row r="68">
          <cell r="A68" t="str">
            <v>04.3334</v>
          </cell>
          <cell r="B68" t="str">
            <v>BT moùng truï coù caàu coâng taùc M#250 ñaù 2x4 (TC keát hôïp ñaàm duøi)</v>
          </cell>
          <cell r="C68" t="str">
            <v>m 3</v>
          </cell>
          <cell r="D68">
            <v>436341</v>
          </cell>
          <cell r="E68">
            <v>44589</v>
          </cell>
          <cell r="F68">
            <v>4003</v>
          </cell>
          <cell r="G68" t="str">
            <v>04.3334</v>
          </cell>
        </row>
        <row r="69">
          <cell r="A69" t="str">
            <v>04.3343</v>
          </cell>
          <cell r="B69" t="str">
            <v>BT moùng truï khoâng coù caàu coâng taùc M#200 ñaù 2x4 (TC keát hôïp ñaàm duøi)</v>
          </cell>
          <cell r="C69" t="str">
            <v>m 3</v>
          </cell>
          <cell r="D69">
            <v>368838</v>
          </cell>
          <cell r="E69">
            <v>38261</v>
          </cell>
          <cell r="F69">
            <v>4003</v>
          </cell>
          <cell r="G69" t="str">
            <v>04.3343</v>
          </cell>
        </row>
        <row r="70">
          <cell r="A70" t="str">
            <v>04.3344</v>
          </cell>
          <cell r="B70" t="str">
            <v>BT moùng truï khoâng coù caàu coâng taùc M#250 ñaù 2x4 (TC keát hôïp ñaàm duøi)</v>
          </cell>
          <cell r="C70" t="str">
            <v>m 3</v>
          </cell>
          <cell r="D70">
            <v>415640</v>
          </cell>
          <cell r="E70">
            <v>38261</v>
          </cell>
          <cell r="F70">
            <v>4003</v>
          </cell>
          <cell r="G70" t="str">
            <v>04.3344</v>
          </cell>
        </row>
        <row r="71">
          <cell r="A71" t="str">
            <v>04.3353</v>
          </cell>
          <cell r="B71" t="str">
            <v>BT moùng baûnï coù caàu coâng taùc M#200 ñaù 2x4 (TC keát hôïp ñaàm duøi)</v>
          </cell>
          <cell r="C71" t="str">
            <v>m 3</v>
          </cell>
          <cell r="D71">
            <v>389539</v>
          </cell>
          <cell r="E71">
            <v>41498</v>
          </cell>
          <cell r="F71">
            <v>4003</v>
          </cell>
          <cell r="G71" t="str">
            <v>04.3353</v>
          </cell>
        </row>
        <row r="72">
          <cell r="A72" t="str">
            <v>04.3354</v>
          </cell>
          <cell r="B72" t="str">
            <v>BT moùng baûnï coù caàu coâng taùc M#250 ñaù 2x4 (TC keát hôïp ñaàm duøi)</v>
          </cell>
          <cell r="C72" t="str">
            <v>m 3</v>
          </cell>
          <cell r="D72">
            <v>436341</v>
          </cell>
          <cell r="E72">
            <v>41498</v>
          </cell>
          <cell r="F72">
            <v>4003</v>
          </cell>
          <cell r="G72" t="str">
            <v>04.3354</v>
          </cell>
        </row>
        <row r="73">
          <cell r="A73" t="str">
            <v>04.3801</v>
          </cell>
          <cell r="B73" t="str">
            <v>Laép ñaët moùng neùo troïng löôïng £ 0,25T</v>
          </cell>
          <cell r="C73" t="str">
            <v>caùi</v>
          </cell>
          <cell r="D73">
            <v>4.4000000000000004</v>
          </cell>
          <cell r="E73">
            <v>11051</v>
          </cell>
          <cell r="F73">
            <v>0.15</v>
          </cell>
          <cell r="G73" t="str">
            <v>04.3801</v>
          </cell>
        </row>
        <row r="74">
          <cell r="A74" t="str">
            <v>04.3802</v>
          </cell>
          <cell r="B74" t="str">
            <v>Laép ñaët moùng neùo troïng löôïng £ 0,5T</v>
          </cell>
          <cell r="C74" t="str">
            <v>caùi</v>
          </cell>
          <cell r="E74">
            <v>24214</v>
          </cell>
          <cell r="G74" t="str">
            <v>04.3802</v>
          </cell>
        </row>
        <row r="75">
          <cell r="A75" t="str">
            <v>04.3803</v>
          </cell>
          <cell r="B75" t="str">
            <v>Laép ñaët moùng neùo troïng löôïng &gt; 0,5T</v>
          </cell>
          <cell r="C75" t="str">
            <v>caùi</v>
          </cell>
          <cell r="E75">
            <v>42252</v>
          </cell>
          <cell r="G75" t="str">
            <v>04.3803</v>
          </cell>
        </row>
        <row r="76">
          <cell r="A76" t="str">
            <v>05.4101</v>
          </cell>
          <cell r="B76" t="str">
            <v>Laép ñaët coät theùp baèng thuû coâng (chieáu cao £15m)</v>
          </cell>
          <cell r="C76" t="str">
            <v>taán</v>
          </cell>
          <cell r="D76">
            <v>4516</v>
          </cell>
          <cell r="E76">
            <v>183473</v>
          </cell>
          <cell r="F76">
            <v>0.15</v>
          </cell>
          <cell r="G76" t="str">
            <v>05.4101</v>
          </cell>
        </row>
        <row r="77">
          <cell r="A77" t="str">
            <v>05.4201</v>
          </cell>
          <cell r="B77" t="str">
            <v>Laép ñaët coät theùp baèng thuû coâng (chieáu cao £25m)</v>
          </cell>
          <cell r="C77" t="str">
            <v>taán</v>
          </cell>
          <cell r="D77">
            <v>9686</v>
          </cell>
          <cell r="E77">
            <v>201837</v>
          </cell>
          <cell r="F77">
            <v>4.5999999999999996</v>
          </cell>
          <cell r="G77" t="str">
            <v>05.4201</v>
          </cell>
        </row>
        <row r="78">
          <cell r="A78" t="str">
            <v>05.4301</v>
          </cell>
          <cell r="B78" t="str">
            <v>Laép ñaët coät theùp baèng thuû coâng (chieáu cao £40m)</v>
          </cell>
          <cell r="C78" t="str">
            <v>taán</v>
          </cell>
          <cell r="D78">
            <v>10330</v>
          </cell>
          <cell r="E78">
            <v>232064</v>
          </cell>
          <cell r="F78">
            <v>0.89999999999999991</v>
          </cell>
          <cell r="G78" t="str">
            <v>05.4301</v>
          </cell>
        </row>
        <row r="79">
          <cell r="A79" t="str">
            <v>05.4401</v>
          </cell>
          <cell r="B79" t="str">
            <v>Laép ñaët coät theùp baèng thuû coâng (chieáu cao £55m)</v>
          </cell>
          <cell r="C79" t="str">
            <v>taán</v>
          </cell>
          <cell r="D79">
            <v>12271</v>
          </cell>
          <cell r="E79">
            <v>266841</v>
          </cell>
          <cell r="F79">
            <v>34538</v>
          </cell>
          <cell r="G79" t="str">
            <v>05.4401</v>
          </cell>
        </row>
        <row r="80">
          <cell r="A80" t="str">
            <v>05.4501</v>
          </cell>
          <cell r="B80" t="str">
            <v>Laép ñaët coät theùp baèng thuû coâng (chieáu cao £70m)</v>
          </cell>
          <cell r="C80" t="str">
            <v>taán</v>
          </cell>
          <cell r="D80">
            <v>12915</v>
          </cell>
          <cell r="E80">
            <v>307143</v>
          </cell>
          <cell r="F80">
            <v>31084.199999999997</v>
          </cell>
          <cell r="G80" t="str">
            <v>05.4501</v>
          </cell>
        </row>
        <row r="81">
          <cell r="A81" t="str">
            <v>05.4601</v>
          </cell>
          <cell r="B81" t="str">
            <v>Laép ñaët coät theùp baèng thuû coâng (chieáu cao £85m)</v>
          </cell>
          <cell r="C81" t="str">
            <v>taán</v>
          </cell>
          <cell r="D81">
            <v>13558</v>
          </cell>
          <cell r="E81">
            <v>352808</v>
          </cell>
          <cell r="F81">
            <v>110000</v>
          </cell>
          <cell r="G81" t="str">
            <v>05.4601</v>
          </cell>
        </row>
        <row r="82">
          <cell r="A82" t="str">
            <v>05.4701</v>
          </cell>
          <cell r="B82" t="str">
            <v>Laép ñaët coät theùp baèng thuû coâng (chieáu cao £100m)</v>
          </cell>
          <cell r="C82" t="str">
            <v>taán</v>
          </cell>
          <cell r="D82">
            <v>13558</v>
          </cell>
          <cell r="E82">
            <v>405786</v>
          </cell>
          <cell r="F82">
            <v>141084.20000000001</v>
          </cell>
          <cell r="G82" t="str">
            <v>05.4701</v>
          </cell>
        </row>
        <row r="83">
          <cell r="A83" t="str">
            <v>05.5101</v>
          </cell>
          <cell r="B83" t="str">
            <v>Noái coät beâ toâng baèng maët bích (ÑH bình thöôøng)</v>
          </cell>
          <cell r="C83" t="str">
            <v>moái</v>
          </cell>
          <cell r="D83">
            <v>5407</v>
          </cell>
          <cell r="E83">
            <v>48753</v>
          </cell>
          <cell r="F83">
            <v>73000</v>
          </cell>
          <cell r="G83" t="str">
            <v>05.5101</v>
          </cell>
        </row>
        <row r="84">
          <cell r="A84" t="str">
            <v>05.5102</v>
          </cell>
          <cell r="B84" t="str">
            <v>Noái coät beâ toâng baèng maët bích (ÑH söôøn ñoài)</v>
          </cell>
          <cell r="C84" t="str">
            <v>moái</v>
          </cell>
          <cell r="D84">
            <v>5407</v>
          </cell>
          <cell r="E84">
            <v>51190</v>
          </cell>
          <cell r="F84">
            <v>68084.200000000012</v>
          </cell>
          <cell r="G84" t="str">
            <v>05.5102</v>
          </cell>
        </row>
        <row r="85">
          <cell r="A85" t="str">
            <v>05.5103</v>
          </cell>
          <cell r="B85" t="str">
            <v>Noái coät beâ toâng baèng maët bích (ÑH sình laày)</v>
          </cell>
          <cell r="C85" t="str">
            <v>moái</v>
          </cell>
          <cell r="D85">
            <v>13755</v>
          </cell>
          <cell r="E85">
            <v>58503</v>
          </cell>
          <cell r="G85" t="str">
            <v>05.5103</v>
          </cell>
        </row>
        <row r="86">
          <cell r="A86" t="str">
            <v>05.5211</v>
          </cell>
          <cell r="B86" t="str">
            <v>Döïng coät beâ toâng baèng thuû coâng (chieáu cao £ 8m)</v>
          </cell>
          <cell r="C86" t="str">
            <v>coät</v>
          </cell>
          <cell r="D86">
            <v>8490</v>
          </cell>
          <cell r="E86">
            <v>74917</v>
          </cell>
          <cell r="G86" t="str">
            <v>05.5211</v>
          </cell>
        </row>
        <row r="87">
          <cell r="A87" t="str">
            <v>05.5212</v>
          </cell>
          <cell r="B87" t="str">
            <v>Döïng coät beâ toâng baèng thuû coâng (chieáu cao £ 10m)</v>
          </cell>
          <cell r="C87" t="str">
            <v>coät</v>
          </cell>
          <cell r="D87">
            <v>8490</v>
          </cell>
          <cell r="E87">
            <v>80605</v>
          </cell>
          <cell r="G87" t="str">
            <v>05.5212</v>
          </cell>
        </row>
        <row r="88">
          <cell r="A88" t="str">
            <v>05.5213</v>
          </cell>
          <cell r="B88" t="str">
            <v>Döïng coät beâ toâng baèng thuû coâng (chieáu cao £ 12m)</v>
          </cell>
          <cell r="C88" t="str">
            <v>coät</v>
          </cell>
          <cell r="D88">
            <v>8490</v>
          </cell>
          <cell r="E88">
            <v>86293</v>
          </cell>
          <cell r="F88" t="str">
            <v>§¸ d¨m  1x2            ®Ëp thñ c«ng    t¹i chç</v>
          </cell>
          <cell r="G88" t="str">
            <v>05.5213</v>
          </cell>
        </row>
        <row r="89">
          <cell r="A89" t="str">
            <v>05.5214</v>
          </cell>
          <cell r="B89" t="str">
            <v>Döïng coät beâ toâng baèng thuû coâng (chieáu cao £ 14m)</v>
          </cell>
          <cell r="C89" t="str">
            <v>coät</v>
          </cell>
          <cell r="D89">
            <v>8490</v>
          </cell>
          <cell r="E89">
            <v>107419</v>
          </cell>
          <cell r="G89" t="str">
            <v>05.5214</v>
          </cell>
        </row>
        <row r="90">
          <cell r="A90" t="str">
            <v>05.5215</v>
          </cell>
          <cell r="B90" t="str">
            <v>Döïng coät beâ toâng baèng thuû coâng (chieáu cao £ 16m)</v>
          </cell>
          <cell r="C90" t="str">
            <v>coät</v>
          </cell>
          <cell r="D90">
            <v>9854</v>
          </cell>
          <cell r="E90">
            <v>116844</v>
          </cell>
          <cell r="F90">
            <v>0</v>
          </cell>
          <cell r="G90" t="str">
            <v>05.5215</v>
          </cell>
        </row>
        <row r="91">
          <cell r="A91" t="str">
            <v>05.5216</v>
          </cell>
          <cell r="B91" t="str">
            <v>Döïng coät beâ toâng baèng thuû coâng (chieáu cao £ 18m)</v>
          </cell>
          <cell r="C91" t="str">
            <v>coät</v>
          </cell>
          <cell r="D91">
            <v>9854</v>
          </cell>
          <cell r="E91">
            <v>152271</v>
          </cell>
          <cell r="G91" t="str">
            <v>05.5216</v>
          </cell>
        </row>
        <row r="92">
          <cell r="A92" t="str">
            <v>05.5217</v>
          </cell>
          <cell r="B92" t="str">
            <v>Döïng coät beâ toâng baèng thuû coâng (chieáu cao £ 20m)</v>
          </cell>
          <cell r="C92" t="str">
            <v>coät</v>
          </cell>
          <cell r="D92">
            <v>9854</v>
          </cell>
          <cell r="E92">
            <v>177460</v>
          </cell>
          <cell r="G92" t="str">
            <v>05.5217</v>
          </cell>
        </row>
        <row r="93">
          <cell r="A93" t="str">
            <v>05.5218</v>
          </cell>
          <cell r="B93" t="str">
            <v>Döïng coät beâ toâng baèng thuû coâng (chieáu cao &gt; 20m)</v>
          </cell>
          <cell r="C93" t="str">
            <v>coät</v>
          </cell>
          <cell r="D93">
            <v>9854</v>
          </cell>
          <cell r="E93">
            <v>193711</v>
          </cell>
          <cell r="G93" t="str">
            <v>05.5218</v>
          </cell>
        </row>
        <row r="94">
          <cell r="A94" t="str">
            <v>05.6011</v>
          </cell>
          <cell r="B94" t="str">
            <v>Laép ñaët xaø theùp cho coät ñôõ (troïng löôïng 25 kg)</v>
          </cell>
          <cell r="C94" t="str">
            <v>boä</v>
          </cell>
          <cell r="D94">
            <v>1</v>
          </cell>
          <cell r="E94">
            <v>13161</v>
          </cell>
          <cell r="G94" t="str">
            <v>05.6011</v>
          </cell>
        </row>
        <row r="95">
          <cell r="A95" t="str">
            <v>05.6021</v>
          </cell>
          <cell r="B95" t="str">
            <v>Laép ñaët xaø theùp cho coät ñôõ (troïng löôïng 50 kg)</v>
          </cell>
          <cell r="C95" t="str">
            <v>boä</v>
          </cell>
          <cell r="D95">
            <v>0.2</v>
          </cell>
          <cell r="E95">
            <v>17806</v>
          </cell>
          <cell r="G95" t="str">
            <v>05.6021</v>
          </cell>
        </row>
        <row r="96">
          <cell r="A96" t="str">
            <v>05.6031</v>
          </cell>
          <cell r="B96" t="str">
            <v>Laép ñaët xaø theùp cho coät ñôõ (troïng löôïng 100 kg)</v>
          </cell>
          <cell r="C96" t="str">
            <v>boä</v>
          </cell>
          <cell r="D96">
            <v>34538</v>
          </cell>
          <cell r="E96">
            <v>23999</v>
          </cell>
          <cell r="G96" t="str">
            <v>05.6031</v>
          </cell>
        </row>
        <row r="97">
          <cell r="A97" t="str">
            <v>05.6041</v>
          </cell>
          <cell r="B97" t="str">
            <v>Laép ñaët xaø theùp cho coät ñôõ (troïng löôïng 140 kg)</v>
          </cell>
          <cell r="C97" t="str">
            <v>boä</v>
          </cell>
          <cell r="D97">
            <v>678188.16799999983</v>
          </cell>
          <cell r="E97">
            <v>28799</v>
          </cell>
          <cell r="F97">
            <v>0</v>
          </cell>
          <cell r="G97" t="str">
            <v>05.6041</v>
          </cell>
        </row>
        <row r="98">
          <cell r="A98" t="str">
            <v>05.6051</v>
          </cell>
          <cell r="B98" t="str">
            <v>Laép ñaët xaø theùp cho coät ñôõ (troïng löôïng 230 kg)</v>
          </cell>
          <cell r="C98" t="str">
            <v>boä</v>
          </cell>
          <cell r="D98">
            <v>0.2</v>
          </cell>
          <cell r="E98">
            <v>39792</v>
          </cell>
          <cell r="G98" t="str">
            <v>05.6051</v>
          </cell>
        </row>
        <row r="99">
          <cell r="A99" t="str">
            <v>05.6061</v>
          </cell>
          <cell r="B99" t="str">
            <v>Laép ñaët xaø theùp cho coät ñôõ (troïng löôïng 320 kg)</v>
          </cell>
          <cell r="C99" t="str">
            <v>boä</v>
          </cell>
          <cell r="D99">
            <v>4.96</v>
          </cell>
          <cell r="E99">
            <v>50785</v>
          </cell>
          <cell r="G99" t="str">
            <v>05.6061</v>
          </cell>
        </row>
        <row r="100">
          <cell r="A100" t="str">
            <v>05.6071</v>
          </cell>
          <cell r="B100" t="str">
            <v>Laép ñaët xaø theùp cho coät ñôõ (troïng löôïng 410 kg)</v>
          </cell>
          <cell r="C100" t="str">
            <v>boä</v>
          </cell>
          <cell r="E100">
            <v>59920</v>
          </cell>
          <cell r="G100" t="str">
            <v>05.6071</v>
          </cell>
        </row>
        <row r="101">
          <cell r="A101" t="str">
            <v>05.6081</v>
          </cell>
          <cell r="B101" t="str">
            <v>Laép ñaët xaø theùp cho coät ñôõ (troïng löôïng 500 kg)</v>
          </cell>
          <cell r="C101" t="str">
            <v>boä</v>
          </cell>
          <cell r="E101">
            <v>70759</v>
          </cell>
          <cell r="G101" t="str">
            <v>05.6081</v>
          </cell>
        </row>
        <row r="102">
          <cell r="A102" t="str">
            <v>05.6012</v>
          </cell>
          <cell r="B102" t="str">
            <v>Laép ñaët xaø theùp cho coät neùo (troïng löôïng 25 kg)</v>
          </cell>
          <cell r="C102" t="str">
            <v>boä</v>
          </cell>
          <cell r="D102">
            <v>4.3</v>
          </cell>
          <cell r="E102">
            <v>17496</v>
          </cell>
          <cell r="G102" t="str">
            <v>05.6012</v>
          </cell>
        </row>
        <row r="103">
          <cell r="A103" t="str">
            <v>05.6022</v>
          </cell>
          <cell r="B103" t="str">
            <v>Laép ñaët xaø theùp cho coät neùoõ (troïng löôïng 50 kg)</v>
          </cell>
          <cell r="C103" t="str">
            <v>boä</v>
          </cell>
          <cell r="D103">
            <v>4.5199999999999996</v>
          </cell>
          <cell r="E103">
            <v>23689</v>
          </cell>
          <cell r="G103" t="str">
            <v>05.6022</v>
          </cell>
        </row>
        <row r="104">
          <cell r="A104" t="str">
            <v>05.6032</v>
          </cell>
          <cell r="B104" t="str">
            <v>Laép ñaët xaø theùp cho coät neùo (troïng löôïng 100 kg)</v>
          </cell>
          <cell r="C104" t="str">
            <v>boä</v>
          </cell>
          <cell r="D104">
            <v>19.635999999999996</v>
          </cell>
          <cell r="E104">
            <v>31896</v>
          </cell>
          <cell r="G104" t="str">
            <v>05.6032</v>
          </cell>
        </row>
        <row r="105">
          <cell r="A105" t="str">
            <v>05.6042</v>
          </cell>
          <cell r="B105" t="str">
            <v>Laép ñaët xaø theùp cho coät neùo (troïng löôïng 140 kg)</v>
          </cell>
          <cell r="C105" t="str">
            <v>boä</v>
          </cell>
          <cell r="D105">
            <v>34538</v>
          </cell>
          <cell r="E105">
            <v>38244</v>
          </cell>
          <cell r="F105">
            <v>34538</v>
          </cell>
          <cell r="G105" t="str">
            <v>05.6042</v>
          </cell>
        </row>
        <row r="106">
          <cell r="A106" t="str">
            <v>05.6052</v>
          </cell>
          <cell r="B106" t="str">
            <v>Laép ñaët xaø theùp cho coät neùo (troïng löôïng 230 kg)</v>
          </cell>
          <cell r="C106" t="str">
            <v>boä</v>
          </cell>
          <cell r="D106">
            <v>767617.29180952371</v>
          </cell>
          <cell r="E106">
            <v>52798</v>
          </cell>
          <cell r="F106">
            <v>0</v>
          </cell>
          <cell r="G106" t="str">
            <v>05.6052</v>
          </cell>
        </row>
        <row r="107">
          <cell r="A107" t="str">
            <v>05.6062</v>
          </cell>
          <cell r="B107" t="str">
            <v>Laép ñaët xaø theùp cho coät neùo (troïng löôïng 320 kg)</v>
          </cell>
          <cell r="C107" t="str">
            <v>boä</v>
          </cell>
          <cell r="D107">
            <v>735000</v>
          </cell>
          <cell r="E107">
            <v>67507</v>
          </cell>
          <cell r="F107">
            <v>110000</v>
          </cell>
          <cell r="G107" t="str">
            <v>05.6062</v>
          </cell>
        </row>
        <row r="108">
          <cell r="A108" t="str">
            <v>05.6072</v>
          </cell>
          <cell r="B108" t="str">
            <v>Laép ñaët xaø theùp cho coät neùo (troïng löôïng 410 kg)</v>
          </cell>
          <cell r="C108" t="str">
            <v>boä</v>
          </cell>
          <cell r="D108">
            <v>1502617.2918095237</v>
          </cell>
          <cell r="E108">
            <v>79584</v>
          </cell>
          <cell r="F108">
            <v>110000</v>
          </cell>
          <cell r="G108" t="str">
            <v>05.6072</v>
          </cell>
        </row>
        <row r="109">
          <cell r="A109" t="str">
            <v>05.6082</v>
          </cell>
          <cell r="B109" t="str">
            <v>Laép ñaët xaø theùp cho coät neùo (troïng löôïng 500 kg)</v>
          </cell>
          <cell r="C109" t="str">
            <v>boä</v>
          </cell>
          <cell r="D109">
            <v>639000</v>
          </cell>
          <cell r="E109">
            <v>93984</v>
          </cell>
          <cell r="F109">
            <v>73000</v>
          </cell>
          <cell r="G109" t="str">
            <v>05.6082</v>
          </cell>
        </row>
        <row r="110">
          <cell r="A110" t="str">
            <v>05.6043</v>
          </cell>
          <cell r="B110" t="str">
            <v>Laép ñaët xaø theùp cho coät ñuùp (troïng löôïng 140 kg)</v>
          </cell>
          <cell r="C110" t="str">
            <v>boä</v>
          </cell>
          <cell r="D110">
            <v>863617.29180952371</v>
          </cell>
          <cell r="E110">
            <v>32515</v>
          </cell>
          <cell r="F110">
            <v>37000</v>
          </cell>
          <cell r="G110" t="str">
            <v>05.6043</v>
          </cell>
        </row>
        <row r="111">
          <cell r="A111" t="str">
            <v>05.6053</v>
          </cell>
          <cell r="B111" t="str">
            <v>Laép ñaët xaø theùp cho coät ñuùp (troïng löôïng 230 kg)</v>
          </cell>
          <cell r="C111" t="str">
            <v>boä</v>
          </cell>
          <cell r="E111">
            <v>46295</v>
          </cell>
          <cell r="G111" t="str">
            <v>05.6053</v>
          </cell>
        </row>
        <row r="112">
          <cell r="A112" t="str">
            <v>05.6063</v>
          </cell>
          <cell r="B112" t="str">
            <v>Laép ñaët xaø theùp cho coät ñuùp (troïng löôïng 320 kg)</v>
          </cell>
          <cell r="C112" t="str">
            <v>boä</v>
          </cell>
          <cell r="E112">
            <v>58062</v>
          </cell>
          <cell r="F112">
            <v>0</v>
          </cell>
          <cell r="G112" t="str">
            <v>05.6063</v>
          </cell>
        </row>
        <row r="113">
          <cell r="A113" t="str">
            <v>05.6073</v>
          </cell>
          <cell r="B113" t="str">
            <v>Laép ñaët xaø theùp cho coät ñuùp (troïng löôïng 410 kg)</v>
          </cell>
          <cell r="C113" t="str">
            <v>boä</v>
          </cell>
          <cell r="E113">
            <v>64101</v>
          </cell>
          <cell r="G113" t="str">
            <v>05.6073</v>
          </cell>
        </row>
        <row r="114">
          <cell r="A114" t="str">
            <v>05.6083</v>
          </cell>
          <cell r="B114" t="str">
            <v>Laép ñaët xaø theùp cho coät ñuùp (troïng löôïng 500 kg)</v>
          </cell>
          <cell r="C114" t="str">
            <v>boä</v>
          </cell>
          <cell r="E114">
            <v>69985</v>
          </cell>
          <cell r="G114" t="str">
            <v>05.6083</v>
          </cell>
        </row>
        <row r="115">
          <cell r="A115" t="str">
            <v>05.6093</v>
          </cell>
          <cell r="B115" t="str">
            <v>Laép ñaët xaø theùp cho coät ñuùp (troïng löôïng 750 kg)</v>
          </cell>
          <cell r="C115" t="str">
            <v>boä</v>
          </cell>
          <cell r="E115">
            <v>89648</v>
          </cell>
          <cell r="G115" t="str">
            <v>05.6093</v>
          </cell>
        </row>
        <row r="116">
          <cell r="A116" t="str">
            <v>05.6103</v>
          </cell>
          <cell r="B116" t="str">
            <v>Laép ñaët xaø theùp cho coät ñuùp (troïng löôïng 1000 kg)</v>
          </cell>
          <cell r="C116" t="str">
            <v>boä</v>
          </cell>
          <cell r="E116">
            <v>105751</v>
          </cell>
          <cell r="G116" t="str">
            <v>05.6103</v>
          </cell>
        </row>
        <row r="117">
          <cell r="A117" t="str">
            <v>05.6044</v>
          </cell>
          <cell r="B117" t="str">
            <v>Laép ñaët xaø theùp cho coät ñuùp (troïng löôïng 140 kg)</v>
          </cell>
          <cell r="C117" t="str">
            <v>boä</v>
          </cell>
          <cell r="E117">
            <v>36076</v>
          </cell>
          <cell r="G117" t="str">
            <v>05.6044</v>
          </cell>
        </row>
        <row r="118">
          <cell r="A118" t="str">
            <v>05.6054</v>
          </cell>
          <cell r="B118" t="str">
            <v>Laép ñaët xaø theùp cho coät ñuùp (troïng löôïng 230 kg)</v>
          </cell>
          <cell r="C118" t="str">
            <v>boä</v>
          </cell>
          <cell r="E118">
            <v>51559</v>
          </cell>
          <cell r="G118" t="str">
            <v>05.6054</v>
          </cell>
        </row>
        <row r="119">
          <cell r="A119" t="str">
            <v>05.6064</v>
          </cell>
          <cell r="B119" t="str">
            <v>Laép ñaët xaø theùp cho coät ñuùp (troïng löôïng 320 kg)</v>
          </cell>
          <cell r="C119" t="str">
            <v>boä</v>
          </cell>
          <cell r="E119">
            <v>64565</v>
          </cell>
          <cell r="G119" t="str">
            <v>05.6064</v>
          </cell>
        </row>
        <row r="120">
          <cell r="A120" t="str">
            <v>05.6074</v>
          </cell>
          <cell r="B120" t="str">
            <v>Laép ñaët xaø theùp cho coät ñuùp (troïng löôïng 410 kg)</v>
          </cell>
          <cell r="C120" t="str">
            <v>boä</v>
          </cell>
          <cell r="D120" t="str">
            <v>§¬n vÞ</v>
          </cell>
          <cell r="E120">
            <v>71223</v>
          </cell>
          <cell r="F120" t="str">
            <v>HÖ sè bËc hµng</v>
          </cell>
          <cell r="G120" t="str">
            <v>05.6074</v>
          </cell>
        </row>
        <row r="121">
          <cell r="A121" t="str">
            <v>05.6084</v>
          </cell>
          <cell r="B121" t="str">
            <v>Laép ñaët xaø theùp cho coät ñuùp (troïng löôïng 500 kg)</v>
          </cell>
          <cell r="C121" t="str">
            <v>boä</v>
          </cell>
          <cell r="E121">
            <v>77726</v>
          </cell>
          <cell r="G121" t="str">
            <v>05.6084</v>
          </cell>
        </row>
        <row r="122">
          <cell r="A122" t="str">
            <v>05.6094</v>
          </cell>
          <cell r="B122" t="str">
            <v>Laép ñaët xaø theùp cho coät ñuùp (troïng löôïng 750 kg)</v>
          </cell>
          <cell r="C122" t="str">
            <v>boä</v>
          </cell>
          <cell r="E122">
            <v>99558</v>
          </cell>
          <cell r="F122">
            <v>1.3</v>
          </cell>
          <cell r="G122" t="str">
            <v>05.6094</v>
          </cell>
        </row>
        <row r="123">
          <cell r="A123" t="str">
            <v>05.6104</v>
          </cell>
          <cell r="B123" t="str">
            <v>Laép ñaët xaø theùp cho coät ñuùp (troïng löôïng 1000 kg)</v>
          </cell>
          <cell r="C123" t="str">
            <v>boä</v>
          </cell>
          <cell r="E123">
            <v>117518</v>
          </cell>
          <cell r="F123">
            <v>1.3</v>
          </cell>
          <cell r="G123" t="str">
            <v>05.6104</v>
          </cell>
        </row>
        <row r="124">
          <cell r="A124" t="str">
            <v>06.1105</v>
          </cell>
          <cell r="B124" t="str">
            <v>Laép ñaët söù ñöùng 22 kV</v>
          </cell>
          <cell r="C124" t="str">
            <v>söù</v>
          </cell>
          <cell r="D124">
            <v>155</v>
          </cell>
          <cell r="E124">
            <v>3499.2</v>
          </cell>
          <cell r="G124" t="str">
            <v>06.1105</v>
          </cell>
        </row>
        <row r="125">
          <cell r="A125" t="str">
            <v>06.1106</v>
          </cell>
          <cell r="B125" t="str">
            <v>Laép ñaët söù ñöùng 35 kV</v>
          </cell>
          <cell r="C125" t="str">
            <v>söù</v>
          </cell>
          <cell r="D125">
            <v>155</v>
          </cell>
          <cell r="E125">
            <v>4459.2</v>
          </cell>
          <cell r="G125" t="str">
            <v>06.1106</v>
          </cell>
        </row>
        <row r="126">
          <cell r="A126" t="str">
            <v>06.1213</v>
          </cell>
          <cell r="B126" t="str">
            <v>Laép ñaët söù ñöùng haï theá loaïi 2 söù</v>
          </cell>
          <cell r="C126" t="str">
            <v>söù</v>
          </cell>
          <cell r="D126">
            <v>4735.5</v>
          </cell>
          <cell r="E126">
            <v>2884.3</v>
          </cell>
          <cell r="G126" t="str">
            <v>06.1213</v>
          </cell>
        </row>
        <row r="127">
          <cell r="A127" t="str">
            <v>06.1214</v>
          </cell>
          <cell r="B127" t="str">
            <v>Laép ñaët söù ñöùng haï theá loaïi 3 söù</v>
          </cell>
          <cell r="C127" t="str">
            <v>söù</v>
          </cell>
          <cell r="D127">
            <v>14490</v>
          </cell>
          <cell r="E127">
            <v>4017.4</v>
          </cell>
          <cell r="G127" t="str">
            <v>06.1214</v>
          </cell>
        </row>
        <row r="128">
          <cell r="A128" t="str">
            <v>06.1215</v>
          </cell>
          <cell r="B128" t="str">
            <v>Laép ñaët söù ñöùng haï theá loaïi 4 söù</v>
          </cell>
          <cell r="C128" t="str">
            <v>söù</v>
          </cell>
          <cell r="D128">
            <v>21000</v>
          </cell>
          <cell r="E128">
            <v>5665.5</v>
          </cell>
          <cell r="G128" t="str">
            <v>06.1215</v>
          </cell>
        </row>
        <row r="129">
          <cell r="A129" t="str">
            <v>06.1411</v>
          </cell>
          <cell r="B129" t="str">
            <v>Laép ñaët chuoãi söù ñôõ £ 2 baùt chieàu cao £ 20m</v>
          </cell>
          <cell r="C129" t="str">
            <v>chuoãi</v>
          </cell>
          <cell r="D129">
            <v>405</v>
          </cell>
          <cell r="E129">
            <v>2925</v>
          </cell>
          <cell r="G129" t="str">
            <v>06.1411</v>
          </cell>
        </row>
        <row r="130">
          <cell r="A130" t="str">
            <v>06.1412</v>
          </cell>
          <cell r="B130" t="str">
            <v>Laép ñaët chuoãi söù ñôõ £ 2 baùt chieàu cao £ 30m</v>
          </cell>
          <cell r="C130" t="str">
            <v>chuoãi</v>
          </cell>
          <cell r="D130">
            <v>405</v>
          </cell>
          <cell r="E130">
            <v>3738</v>
          </cell>
          <cell r="G130" t="str">
            <v>06.1412</v>
          </cell>
        </row>
        <row r="131">
          <cell r="A131" t="str">
            <v>06.1421</v>
          </cell>
          <cell r="B131" t="str">
            <v>Laép ñaët chuoãi söù ñôõ £ 5 baùt chieàu cao £ 20m</v>
          </cell>
          <cell r="C131" t="str">
            <v>chuoãi</v>
          </cell>
          <cell r="D131">
            <v>610</v>
          </cell>
          <cell r="E131">
            <v>6500</v>
          </cell>
          <cell r="G131" t="str">
            <v>06.1421</v>
          </cell>
        </row>
        <row r="132">
          <cell r="A132" t="str">
            <v>06.1422</v>
          </cell>
          <cell r="B132" t="str">
            <v>Laép ñaët chuoãi söù ñôõ £ 5 baùt chieàu cao £ 30m</v>
          </cell>
          <cell r="C132" t="str">
            <v>chuoãi</v>
          </cell>
          <cell r="D132">
            <v>610</v>
          </cell>
          <cell r="E132">
            <v>6825</v>
          </cell>
          <cell r="G132" t="str">
            <v>06.1422</v>
          </cell>
        </row>
        <row r="133">
          <cell r="A133" t="str">
            <v>06.1431</v>
          </cell>
          <cell r="B133" t="str">
            <v>Laép ñaët chuoãi söù ñôõ £ 8 baùt chieàu cao £ 20m</v>
          </cell>
          <cell r="C133" t="str">
            <v>chuoãi</v>
          </cell>
          <cell r="D133">
            <v>975</v>
          </cell>
          <cell r="E133">
            <v>10401</v>
          </cell>
          <cell r="G133" t="str">
            <v>06.1431</v>
          </cell>
        </row>
        <row r="134">
          <cell r="A134" t="str">
            <v>06.1432</v>
          </cell>
          <cell r="B134" t="str">
            <v>Laép ñaët chuoãi söù ñôõ £ 8 baùt chieàu cao £ 30m</v>
          </cell>
          <cell r="C134" t="str">
            <v>chuoãi</v>
          </cell>
          <cell r="D134">
            <v>975</v>
          </cell>
          <cell r="E134">
            <v>10888</v>
          </cell>
          <cell r="G134" t="str">
            <v>06.1432</v>
          </cell>
        </row>
        <row r="135">
          <cell r="A135" t="str">
            <v>06.1441</v>
          </cell>
          <cell r="B135" t="str">
            <v>Laép ñaët chuoãi söù ñôõ £ 11 baùt chieàu cao £ 20m</v>
          </cell>
          <cell r="C135" t="str">
            <v>chuoãi</v>
          </cell>
          <cell r="D135">
            <v>1335</v>
          </cell>
          <cell r="E135">
            <v>14626</v>
          </cell>
          <cell r="G135" t="str">
            <v>06.1441</v>
          </cell>
        </row>
        <row r="136">
          <cell r="A136" t="str">
            <v>06.1442</v>
          </cell>
          <cell r="B136" t="str">
            <v>Laép ñaët chuoãi söù ñôõ £ 11 baùt chieàu cao £ 30m</v>
          </cell>
          <cell r="C136" t="str">
            <v>chuoãi</v>
          </cell>
          <cell r="D136">
            <v>1335</v>
          </cell>
          <cell r="E136">
            <v>15438</v>
          </cell>
          <cell r="G136" t="str">
            <v>06.1442</v>
          </cell>
        </row>
        <row r="137">
          <cell r="A137" t="str">
            <v>06.1511</v>
          </cell>
          <cell r="B137" t="str">
            <v>Laép ñaët chuoãi söù neùo £ 2 baùt chieàu cao £ 20m</v>
          </cell>
          <cell r="C137" t="str">
            <v>chuoãi</v>
          </cell>
          <cell r="D137">
            <v>405</v>
          </cell>
          <cell r="E137">
            <v>3088</v>
          </cell>
          <cell r="G137" t="str">
            <v>06.1511</v>
          </cell>
        </row>
        <row r="138">
          <cell r="A138" t="str">
            <v>06.1512</v>
          </cell>
          <cell r="B138" t="str">
            <v>Laép ñaët chuoãi söù neùo £ 2 baùt chieàu cao £ 30m</v>
          </cell>
          <cell r="C138" t="str">
            <v>chuoãi</v>
          </cell>
          <cell r="D138">
            <v>405</v>
          </cell>
          <cell r="E138">
            <v>3900</v>
          </cell>
          <cell r="G138" t="str">
            <v>06.1512</v>
          </cell>
        </row>
        <row r="139">
          <cell r="A139" t="str">
            <v>06.1521</v>
          </cell>
          <cell r="B139" t="str">
            <v>Laép ñaët chuoãi söù neùo £ 5 baùt chieàu cao £ 20m</v>
          </cell>
          <cell r="C139" t="str">
            <v>chuoãi</v>
          </cell>
          <cell r="D139">
            <v>610</v>
          </cell>
          <cell r="E139">
            <v>7313</v>
          </cell>
          <cell r="G139" t="str">
            <v>06.1521</v>
          </cell>
        </row>
        <row r="140">
          <cell r="A140" t="str">
            <v>06.1522</v>
          </cell>
          <cell r="B140" t="str">
            <v>Laép ñaët chuoãi söù neùo £ 5 baùt chieàu cao £ 30m</v>
          </cell>
          <cell r="C140" t="str">
            <v>chuoãi</v>
          </cell>
          <cell r="D140">
            <v>610</v>
          </cell>
          <cell r="E140">
            <v>7638</v>
          </cell>
          <cell r="G140" t="str">
            <v>06.1522</v>
          </cell>
        </row>
        <row r="141">
          <cell r="A141" t="str">
            <v>06.1531</v>
          </cell>
          <cell r="B141" t="str">
            <v>Laép ñaët chuoãi söù neùo £ 8 baùt chieàu cao £ 20m</v>
          </cell>
          <cell r="C141" t="str">
            <v>chuoãi</v>
          </cell>
          <cell r="D141">
            <v>975</v>
          </cell>
          <cell r="E141">
            <v>11538</v>
          </cell>
          <cell r="G141" t="str">
            <v>06.1531</v>
          </cell>
        </row>
        <row r="142">
          <cell r="A142" t="str">
            <v>06.1532</v>
          </cell>
          <cell r="B142" t="str">
            <v>Laép ñaët chuoãi söù neùo £ 8 baùt chieàu cao £ 30m</v>
          </cell>
          <cell r="C142" t="str">
            <v>chuoãi</v>
          </cell>
          <cell r="D142">
            <v>975</v>
          </cell>
          <cell r="E142">
            <v>12188</v>
          </cell>
          <cell r="G142" t="str">
            <v>06.1532</v>
          </cell>
        </row>
        <row r="143">
          <cell r="A143" t="str">
            <v>06.1541</v>
          </cell>
          <cell r="B143" t="str">
            <v>Laép ñaët chuoãi söù neùo £ 11 baùt chieàu cao £ 20m</v>
          </cell>
          <cell r="C143" t="str">
            <v>chuoãi</v>
          </cell>
          <cell r="D143">
            <v>1335</v>
          </cell>
          <cell r="E143">
            <v>16413</v>
          </cell>
          <cell r="G143" t="str">
            <v>06.1541</v>
          </cell>
        </row>
        <row r="144">
          <cell r="A144" t="str">
            <v>06.1542</v>
          </cell>
          <cell r="B144" t="str">
            <v>Laép ñaët chuoãi söù neùo £ 11 baùt chieàu cao £ 30m</v>
          </cell>
          <cell r="C144" t="str">
            <v>chuoãi</v>
          </cell>
          <cell r="D144">
            <v>1335</v>
          </cell>
          <cell r="E144">
            <v>17389</v>
          </cell>
          <cell r="G144" t="str">
            <v>06.1542</v>
          </cell>
        </row>
        <row r="145">
          <cell r="A145" t="str">
            <v>06.2011</v>
          </cell>
          <cell r="B145" t="str">
            <v>Laép taï choáng rung (Coät coù chieàu cao £ 20m)</v>
          </cell>
          <cell r="C145" t="str">
            <v>boä</v>
          </cell>
          <cell r="E145">
            <v>5850</v>
          </cell>
          <cell r="G145" t="str">
            <v>06.2011</v>
          </cell>
        </row>
        <row r="146">
          <cell r="A146" t="str">
            <v>06.2012</v>
          </cell>
          <cell r="B146" t="str">
            <v>Laép taï choáng rung (Coät coù chieàu cao £ 30m)</v>
          </cell>
          <cell r="C146" t="str">
            <v>boä</v>
          </cell>
          <cell r="E146">
            <v>6175</v>
          </cell>
          <cell r="G146" t="str">
            <v>06.2012</v>
          </cell>
        </row>
        <row r="147">
          <cell r="A147" t="str">
            <v>06.2013</v>
          </cell>
          <cell r="B147" t="str">
            <v>Laép taï choáng rung (Coät coù chieàu cao £ 40m)</v>
          </cell>
          <cell r="C147" t="str">
            <v>boä</v>
          </cell>
          <cell r="E147">
            <v>6988</v>
          </cell>
          <cell r="G147" t="str">
            <v>06.2013</v>
          </cell>
        </row>
        <row r="148">
          <cell r="A148" t="str">
            <v>06.2014</v>
          </cell>
          <cell r="B148" t="str">
            <v>Laép taï choáng rung (Coät coù chieàu cao £ 50m)</v>
          </cell>
          <cell r="C148" t="str">
            <v>boä</v>
          </cell>
          <cell r="E148">
            <v>7963</v>
          </cell>
          <cell r="G148" t="str">
            <v>06.2014</v>
          </cell>
        </row>
        <row r="149">
          <cell r="A149" t="str">
            <v>06.2015</v>
          </cell>
          <cell r="B149" t="str">
            <v>Laép taï choáng rung (Coät coù chieàu cao &gt; 50m)</v>
          </cell>
          <cell r="C149" t="str">
            <v>boä</v>
          </cell>
          <cell r="E149">
            <v>8776</v>
          </cell>
          <cell r="G149" t="str">
            <v>06.2015</v>
          </cell>
        </row>
        <row r="150">
          <cell r="A150" t="str">
            <v>06.2110</v>
          </cell>
          <cell r="B150" t="str">
            <v>Laép ñaët coå deà</v>
          </cell>
          <cell r="C150" t="str">
            <v>boä</v>
          </cell>
          <cell r="E150">
            <v>5688</v>
          </cell>
          <cell r="G150" t="str">
            <v>06.2110</v>
          </cell>
        </row>
        <row r="151">
          <cell r="A151" t="str">
            <v>06.2120</v>
          </cell>
          <cell r="B151" t="str">
            <v xml:space="preserve">Laép ñaët daây neùo </v>
          </cell>
          <cell r="C151" t="str">
            <v>boä</v>
          </cell>
          <cell r="E151">
            <v>7313</v>
          </cell>
          <cell r="G151" t="str">
            <v>06.2120</v>
          </cell>
        </row>
        <row r="152">
          <cell r="A152" t="str">
            <v>06.2141</v>
          </cell>
          <cell r="B152" t="str">
            <v>Laép ñaët khoùa ñôõ daây choáng seùt tieát dieän £ 70 (Coät coù chieàu cao £ 20m)</v>
          </cell>
          <cell r="C152" t="str">
            <v>boä</v>
          </cell>
          <cell r="E152">
            <v>1788</v>
          </cell>
          <cell r="G152" t="str">
            <v>06.2141</v>
          </cell>
        </row>
        <row r="153">
          <cell r="A153" t="str">
            <v>06.2142</v>
          </cell>
          <cell r="B153" t="str">
            <v>Laép ñaët khoùa ñôõ daây choáng seùt tieát dieän £ 70 (Coät coù chieàu cao £ 30m)</v>
          </cell>
          <cell r="C153" t="str">
            <v>boä</v>
          </cell>
          <cell r="E153">
            <v>1950</v>
          </cell>
          <cell r="G153" t="str">
            <v>06.2142</v>
          </cell>
        </row>
        <row r="154">
          <cell r="A154" t="str">
            <v>06.2151</v>
          </cell>
          <cell r="B154" t="str">
            <v>Laép ñaët khoùa ñôõ daây choáng seùt tieát dieän £ 240 (Coät coù chieàu cao £ 20m)</v>
          </cell>
          <cell r="C154" t="str">
            <v>boä</v>
          </cell>
          <cell r="D154">
            <v>75046</v>
          </cell>
          <cell r="E154">
            <v>2763</v>
          </cell>
          <cell r="G154" t="str">
            <v>06.2151</v>
          </cell>
        </row>
        <row r="155">
          <cell r="A155" t="str">
            <v>06.2152</v>
          </cell>
          <cell r="B155" t="str">
            <v>Laép ñaët khoùa ñôõ daây choáng seùt tieát dieän £ 240 (Coät coù chieàu cao £ 30m)</v>
          </cell>
          <cell r="C155" t="str">
            <v>boä</v>
          </cell>
          <cell r="E155">
            <v>2925</v>
          </cell>
          <cell r="G155" t="str">
            <v>06.2152</v>
          </cell>
        </row>
        <row r="156">
          <cell r="A156" t="str">
            <v>06.2161</v>
          </cell>
          <cell r="B156" t="str">
            <v>Laép ñaët khoùa ñôõ daây choáng seùt tieát dieän &gt; 240 (Coät coù chieàu cao £ 20m)</v>
          </cell>
          <cell r="C156" t="str">
            <v>boä</v>
          </cell>
          <cell r="E156">
            <v>5688</v>
          </cell>
          <cell r="G156" t="str">
            <v>06.2161</v>
          </cell>
        </row>
        <row r="157">
          <cell r="A157" t="str">
            <v>06.2162</v>
          </cell>
          <cell r="B157" t="str">
            <v>Laép ñaët khoùa ñôõ daây choáng seùt tieát dieän &gt; 240 (Coät coù chieàu cao £ 30m)</v>
          </cell>
          <cell r="C157" t="str">
            <v>boä</v>
          </cell>
          <cell r="E157">
            <v>5850</v>
          </cell>
          <cell r="G157" t="str">
            <v>06.2162</v>
          </cell>
        </row>
        <row r="158">
          <cell r="A158" t="str">
            <v>06.5011</v>
          </cell>
          <cell r="B158" t="str">
            <v>Vöôït ñöôøng daây thoâng tin tieát dieän daây £ 50</v>
          </cell>
          <cell r="C158" t="str">
            <v>V.trí</v>
          </cell>
          <cell r="D158">
            <v>75046</v>
          </cell>
          <cell r="E158">
            <v>78346</v>
          </cell>
          <cell r="G158" t="str">
            <v>06.5011</v>
          </cell>
        </row>
        <row r="159">
          <cell r="A159" t="str">
            <v>06.5012</v>
          </cell>
          <cell r="B159" t="str">
            <v>Vöôït ñöôøng daây thoâng tin tieát dieän daây £ 95</v>
          </cell>
          <cell r="C159" t="str">
            <v>V.trí</v>
          </cell>
          <cell r="D159">
            <v>104623</v>
          </cell>
          <cell r="E159">
            <v>90887</v>
          </cell>
          <cell r="G159" t="str">
            <v>06.5012</v>
          </cell>
        </row>
        <row r="160">
          <cell r="A160" t="str">
            <v>06.5013</v>
          </cell>
          <cell r="B160" t="str">
            <v>Vöôït ñöôøng daây thoâng tin tieát dieän daây £ 150</v>
          </cell>
          <cell r="C160" t="str">
            <v>V.trí</v>
          </cell>
          <cell r="D160">
            <v>134516</v>
          </cell>
          <cell r="E160">
            <v>127737</v>
          </cell>
          <cell r="G160" t="str">
            <v>06.5013</v>
          </cell>
        </row>
        <row r="161">
          <cell r="A161" t="str">
            <v>06.5014</v>
          </cell>
          <cell r="B161" t="str">
            <v>Vöôït ñöôøng daây thoâng tin tieát dieän daây £ 240</v>
          </cell>
          <cell r="C161" t="str">
            <v>V.trí</v>
          </cell>
          <cell r="D161">
            <v>163462</v>
          </cell>
          <cell r="E161">
            <v>143530</v>
          </cell>
          <cell r="G161" t="str">
            <v>06.5014</v>
          </cell>
        </row>
        <row r="162">
          <cell r="A162" t="str">
            <v>06.5015</v>
          </cell>
          <cell r="B162" t="str">
            <v>Vöôït ñöôøng daây thoâng tin tieát dieän daây &gt; 240</v>
          </cell>
          <cell r="C162" t="str">
            <v>V.trí</v>
          </cell>
          <cell r="D162">
            <v>223247</v>
          </cell>
          <cell r="E162">
            <v>226521</v>
          </cell>
          <cell r="G162" t="str">
            <v>06.5015</v>
          </cell>
        </row>
        <row r="163">
          <cell r="A163" t="str">
            <v>06.5011</v>
          </cell>
          <cell r="B163" t="str">
            <v>Vöôït ñöôøng daây haï theá tieát dieän daây £ 50</v>
          </cell>
          <cell r="C163" t="str">
            <v>V.trí</v>
          </cell>
          <cell r="D163">
            <v>75046</v>
          </cell>
          <cell r="E163">
            <v>78346</v>
          </cell>
          <cell r="G163" t="str">
            <v>06.5011</v>
          </cell>
        </row>
        <row r="164">
          <cell r="A164" t="str">
            <v>06.5012</v>
          </cell>
          <cell r="B164" t="str">
            <v>Vöôït ñöôøng daây haï theá tieát dieän daây £ 95</v>
          </cell>
          <cell r="C164" t="str">
            <v>V.trí</v>
          </cell>
          <cell r="D164">
            <v>104623</v>
          </cell>
          <cell r="E164">
            <v>90887</v>
          </cell>
          <cell r="G164" t="str">
            <v>06.5012</v>
          </cell>
        </row>
        <row r="165">
          <cell r="A165" t="str">
            <v>06.5013</v>
          </cell>
          <cell r="B165" t="str">
            <v>Vöôït ñöôøng daây haï theá tieát dieän daây £ 150</v>
          </cell>
          <cell r="C165" t="str">
            <v>V.trí</v>
          </cell>
          <cell r="D165">
            <v>134516</v>
          </cell>
          <cell r="E165">
            <v>127737</v>
          </cell>
          <cell r="G165" t="str">
            <v>06.5013</v>
          </cell>
        </row>
        <row r="166">
          <cell r="A166" t="str">
            <v>06.5014</v>
          </cell>
          <cell r="B166" t="str">
            <v>Vöôït ñöôøng daây haï theá tieát dieän daây £ 240</v>
          </cell>
          <cell r="C166" t="str">
            <v>V.trí</v>
          </cell>
          <cell r="D166">
            <v>163462</v>
          </cell>
          <cell r="E166">
            <v>143530</v>
          </cell>
          <cell r="G166" t="str">
            <v>06.5014</v>
          </cell>
        </row>
        <row r="167">
          <cell r="A167" t="str">
            <v>06.5015</v>
          </cell>
          <cell r="B167" t="str">
            <v>Vöôït ñöôøng daây haï theá tieát dieän daây &gt; 240</v>
          </cell>
          <cell r="C167" t="str">
            <v>V.trí</v>
          </cell>
          <cell r="D167">
            <v>223247</v>
          </cell>
          <cell r="E167">
            <v>226521</v>
          </cell>
          <cell r="G167" t="str">
            <v>06.5015</v>
          </cell>
        </row>
        <row r="168">
          <cell r="A168" t="str">
            <v>06.5021</v>
          </cell>
          <cell r="B168" t="str">
            <v>Vöôït ñöôøng daây 35 kV tieát dieän daây £ 50</v>
          </cell>
          <cell r="C168" t="str">
            <v>V.trí</v>
          </cell>
          <cell r="D168">
            <v>119570</v>
          </cell>
          <cell r="E168">
            <v>105596</v>
          </cell>
          <cell r="G168" t="str">
            <v>06.5021</v>
          </cell>
        </row>
        <row r="169">
          <cell r="A169" t="str">
            <v>06.5022</v>
          </cell>
          <cell r="B169" t="str">
            <v>Vöôït ñöôøng daây 35 kV tieát dieän daây £ 95</v>
          </cell>
          <cell r="C169" t="str">
            <v>V.trí</v>
          </cell>
          <cell r="D169">
            <v>149462</v>
          </cell>
          <cell r="E169">
            <v>121544</v>
          </cell>
          <cell r="G169" t="str">
            <v>06.5022</v>
          </cell>
        </row>
        <row r="170">
          <cell r="A170" t="str">
            <v>06.5023</v>
          </cell>
          <cell r="B170" t="str">
            <v>Vöôït ñöôøng daây 35 kV tieát dieän daây £ 150</v>
          </cell>
          <cell r="C170" t="str">
            <v>V.trí</v>
          </cell>
          <cell r="D170">
            <v>178093</v>
          </cell>
          <cell r="E170">
            <v>148495</v>
          </cell>
          <cell r="G170" t="str">
            <v>06.5023</v>
          </cell>
        </row>
        <row r="171">
          <cell r="A171" t="str">
            <v>06.5024</v>
          </cell>
          <cell r="B171" t="str">
            <v>Vöôït ñöôøng daây 35 kV tieát dieän daây £ 240</v>
          </cell>
          <cell r="C171" t="str">
            <v>V.trí</v>
          </cell>
          <cell r="D171">
            <v>224193</v>
          </cell>
          <cell r="E171">
            <v>166446</v>
          </cell>
          <cell r="G171" t="str">
            <v>06.5024</v>
          </cell>
        </row>
        <row r="172">
          <cell r="A172" t="str">
            <v>06.5025</v>
          </cell>
          <cell r="B172" t="str">
            <v>Vöôït ñöôøng daây 35 kV tieát dieän daây &gt; 240</v>
          </cell>
          <cell r="C172" t="str">
            <v>V.trí</v>
          </cell>
          <cell r="D172">
            <v>313870</v>
          </cell>
          <cell r="E172">
            <v>290467</v>
          </cell>
          <cell r="G172" t="str">
            <v>06.5025</v>
          </cell>
        </row>
        <row r="173">
          <cell r="A173" t="str">
            <v>06.5061</v>
          </cell>
          <cell r="B173" t="str">
            <v>Vöôït ñöôøng giao thoâng &gt;10m tieát dieän daây £ 50</v>
          </cell>
          <cell r="C173" t="str">
            <v>V.trí</v>
          </cell>
          <cell r="D173">
            <v>177462</v>
          </cell>
          <cell r="E173">
            <v>143995</v>
          </cell>
          <cell r="G173" t="str">
            <v>06.5061</v>
          </cell>
        </row>
        <row r="174">
          <cell r="A174" t="str">
            <v>06.5062</v>
          </cell>
          <cell r="B174" t="str">
            <v>Vöôït ñöôøng giao thoâng &gt;10m tieát dieän daây £ 95</v>
          </cell>
          <cell r="C174" t="str">
            <v>V.trí</v>
          </cell>
          <cell r="D174">
            <v>252130</v>
          </cell>
          <cell r="E174">
            <v>190445</v>
          </cell>
          <cell r="G174" t="str">
            <v>06.5062</v>
          </cell>
        </row>
        <row r="175">
          <cell r="A175" t="str">
            <v>06.5063</v>
          </cell>
          <cell r="B175" t="str">
            <v>Vöôït ñöôøng giao thoâng &gt;10m tieát dieän daây £ 150</v>
          </cell>
          <cell r="C175" t="str">
            <v>V.trí</v>
          </cell>
          <cell r="D175">
            <v>328186</v>
          </cell>
          <cell r="E175">
            <v>233024</v>
          </cell>
          <cell r="G175" t="str">
            <v>06.5063</v>
          </cell>
        </row>
        <row r="176">
          <cell r="A176" t="str">
            <v>06.5064</v>
          </cell>
          <cell r="B176" t="str">
            <v>Vöôït ñöôøng giao thoâng &gt;10m tieát dieän daây £ 240</v>
          </cell>
          <cell r="C176" t="str">
            <v>V.trí</v>
          </cell>
          <cell r="D176">
            <v>285447</v>
          </cell>
          <cell r="E176">
            <v>261823</v>
          </cell>
          <cell r="G176" t="str">
            <v>06.5064</v>
          </cell>
        </row>
        <row r="177">
          <cell r="A177" t="str">
            <v>06.5065</v>
          </cell>
          <cell r="B177" t="str">
            <v>Vöôït ñöôøng giao thoâng &gt;10m tieát dieän daây &gt; 240</v>
          </cell>
          <cell r="C177" t="str">
            <v>V.trí</v>
          </cell>
          <cell r="D177">
            <v>532260</v>
          </cell>
          <cell r="E177">
            <v>410618</v>
          </cell>
          <cell r="G177" t="str">
            <v>06.5065</v>
          </cell>
        </row>
        <row r="178">
          <cell r="A178" t="str">
            <v>06.5071</v>
          </cell>
          <cell r="B178" t="str">
            <v>Vò trí beû goùc tieát dieän daây £ 50</v>
          </cell>
          <cell r="C178" t="str">
            <v>V.trí</v>
          </cell>
          <cell r="E178">
            <v>30697</v>
          </cell>
          <cell r="G178" t="str">
            <v>06.5071</v>
          </cell>
        </row>
        <row r="179">
          <cell r="A179" t="str">
            <v>06.5072</v>
          </cell>
          <cell r="B179" t="str">
            <v>Vò trí beû goùc tieát dieän daây £ 95</v>
          </cell>
          <cell r="C179" t="str">
            <v>V.trí</v>
          </cell>
          <cell r="E179">
            <v>61933</v>
          </cell>
          <cell r="G179" t="str">
            <v>06.5072</v>
          </cell>
        </row>
        <row r="180">
          <cell r="A180" t="str">
            <v>06.5073</v>
          </cell>
          <cell r="B180" t="str">
            <v>Vò trí beû goùc tieát dieän daây £ 150</v>
          </cell>
          <cell r="C180" t="str">
            <v>V.trí</v>
          </cell>
          <cell r="E180">
            <v>78346</v>
          </cell>
          <cell r="G180" t="str">
            <v>06.5073</v>
          </cell>
        </row>
        <row r="181">
          <cell r="A181" t="str">
            <v>06.5074</v>
          </cell>
          <cell r="B181" t="str">
            <v>Vò trí beû goùc tieát dieän daây £ 240</v>
          </cell>
          <cell r="C181" t="str">
            <v>V.trí</v>
          </cell>
          <cell r="E181">
            <v>80978</v>
          </cell>
          <cell r="G181" t="str">
            <v>06.5074</v>
          </cell>
        </row>
        <row r="182">
          <cell r="A182" t="str">
            <v>06.5075</v>
          </cell>
          <cell r="B182" t="str">
            <v>Vò trí beû goùc tieát dieän daây &gt; 240</v>
          </cell>
          <cell r="C182" t="str">
            <v>V.trí</v>
          </cell>
          <cell r="E182">
            <v>150188</v>
          </cell>
          <cell r="G182" t="str">
            <v>06.5075</v>
          </cell>
        </row>
        <row r="183">
          <cell r="A183" t="str">
            <v>06.6104</v>
          </cell>
          <cell r="B183" t="str">
            <v>Raûi caêng daây laáy ñoä voõng daây AC-50mm 2</v>
          </cell>
          <cell r="C183" t="str">
            <v>km</v>
          </cell>
          <cell r="D183">
            <v>212189</v>
          </cell>
          <cell r="E183">
            <v>261153</v>
          </cell>
          <cell r="G183" t="str">
            <v>06.6104</v>
          </cell>
        </row>
        <row r="184">
          <cell r="A184" t="str">
            <v>06.6105</v>
          </cell>
          <cell r="B184" t="str">
            <v>Raûi caêng daây laáy ñoä voõng daây AC-70mm 2</v>
          </cell>
          <cell r="C184" t="str">
            <v>km</v>
          </cell>
          <cell r="D184">
            <v>212789</v>
          </cell>
          <cell r="E184">
            <v>348908</v>
          </cell>
          <cell r="G184" t="str">
            <v>06.6105</v>
          </cell>
        </row>
        <row r="185">
          <cell r="A185" t="str">
            <v>06.6106</v>
          </cell>
          <cell r="B185" t="str">
            <v>Raûi caêng daây laáy ñoä voõng daây AC-95mm 2</v>
          </cell>
          <cell r="C185" t="str">
            <v>km</v>
          </cell>
          <cell r="D185">
            <v>212789</v>
          </cell>
          <cell r="E185">
            <v>475178</v>
          </cell>
          <cell r="G185" t="str">
            <v>06.6106</v>
          </cell>
        </row>
        <row r="186">
          <cell r="A186" t="str">
            <v>06.6107</v>
          </cell>
          <cell r="B186" t="str">
            <v>Raûi caêng daây laáy ñoä voõng daây AC-120mm 2</v>
          </cell>
          <cell r="C186" t="str">
            <v>km</v>
          </cell>
          <cell r="D186">
            <v>298671</v>
          </cell>
          <cell r="E186">
            <v>588862</v>
          </cell>
          <cell r="G186" t="str">
            <v>06.6107</v>
          </cell>
        </row>
        <row r="187">
          <cell r="A187" t="str">
            <v>06.6108</v>
          </cell>
          <cell r="B187" t="str">
            <v>Raûi caêng daây laáy ñoä voõng daây AC-150mm 2</v>
          </cell>
          <cell r="C187" t="str">
            <v>km</v>
          </cell>
          <cell r="D187">
            <v>298671</v>
          </cell>
          <cell r="E187">
            <v>712550</v>
          </cell>
          <cell r="G187" t="str">
            <v>06.6108</v>
          </cell>
        </row>
        <row r="188">
          <cell r="A188" t="str">
            <v>06.6109</v>
          </cell>
          <cell r="B188" t="str">
            <v>Raûi caêng daây laáy ñoä voõng daây AC-185mm 2</v>
          </cell>
          <cell r="C188" t="str">
            <v>km</v>
          </cell>
          <cell r="D188">
            <v>298671</v>
          </cell>
          <cell r="E188">
            <v>840899</v>
          </cell>
          <cell r="G188" t="str">
            <v>06.6109</v>
          </cell>
        </row>
        <row r="189">
          <cell r="A189" t="str">
            <v>06.6110</v>
          </cell>
          <cell r="B189" t="str">
            <v>Raûi caêng daây laáy ñoä voõng daây AC-240mm 2</v>
          </cell>
          <cell r="C189" t="str">
            <v>km</v>
          </cell>
          <cell r="D189">
            <v>298671</v>
          </cell>
          <cell r="E189">
            <v>924792</v>
          </cell>
          <cell r="G189" t="str">
            <v>06.6110</v>
          </cell>
        </row>
        <row r="190">
          <cell r="A190" t="str">
            <v>06.6124</v>
          </cell>
          <cell r="B190" t="str">
            <v>Raûi caêng daây laáy ñoä voõng daây A-50mm 2</v>
          </cell>
          <cell r="C190" t="str">
            <v>km</v>
          </cell>
          <cell r="D190">
            <v>212189</v>
          </cell>
          <cell r="E190">
            <v>208012</v>
          </cell>
          <cell r="G190" t="str">
            <v>06.6124</v>
          </cell>
        </row>
        <row r="191">
          <cell r="A191" t="str">
            <v>06.6125</v>
          </cell>
          <cell r="B191" t="str">
            <v>Raûi caêng daây laáy ñoä voõng daây A-70mm 2</v>
          </cell>
          <cell r="C191" t="str">
            <v>km</v>
          </cell>
          <cell r="D191">
            <v>212189</v>
          </cell>
          <cell r="E191">
            <v>279516</v>
          </cell>
          <cell r="G191" t="str">
            <v>06.6125</v>
          </cell>
        </row>
        <row r="192">
          <cell r="A192" t="str">
            <v>06.6126</v>
          </cell>
          <cell r="B192" t="str">
            <v>Raûi caêng daây laáy ñoä voõng daây A-95mm 2</v>
          </cell>
          <cell r="C192" t="str">
            <v>km</v>
          </cell>
          <cell r="D192">
            <v>212189</v>
          </cell>
          <cell r="E192">
            <v>381897</v>
          </cell>
          <cell r="G192" t="str">
            <v>06.6126</v>
          </cell>
        </row>
        <row r="193">
          <cell r="A193" t="str">
            <v>06.6133</v>
          </cell>
          <cell r="B193" t="str">
            <v>Raûi caêng daây choáng seùt tieát dieän 35mm 2</v>
          </cell>
          <cell r="C193" t="str">
            <v>km</v>
          </cell>
          <cell r="D193">
            <v>211789</v>
          </cell>
          <cell r="E193">
            <v>365484</v>
          </cell>
          <cell r="G193" t="str">
            <v>06.6133</v>
          </cell>
        </row>
        <row r="194">
          <cell r="A194" t="str">
            <v>06.6134</v>
          </cell>
          <cell r="B194" t="str">
            <v>Raûi caêng daây choáng seùt tieát dieän 50mm 2</v>
          </cell>
          <cell r="C194" t="str">
            <v>km</v>
          </cell>
          <cell r="D194">
            <v>211789</v>
          </cell>
          <cell r="E194">
            <v>409524</v>
          </cell>
          <cell r="G194" t="str">
            <v>06.6134</v>
          </cell>
        </row>
        <row r="195">
          <cell r="A195" t="str">
            <v>06.6135</v>
          </cell>
          <cell r="B195" t="str">
            <v>Raûi caêng daây choáng seùt tieát dieän 70mm 2</v>
          </cell>
          <cell r="C195" t="str">
            <v>km</v>
          </cell>
          <cell r="D195">
            <v>211789</v>
          </cell>
          <cell r="E195">
            <v>491429</v>
          </cell>
          <cell r="G195" t="str">
            <v>06.6135</v>
          </cell>
        </row>
        <row r="197">
          <cell r="A197" t="str">
            <v>02.1211</v>
          </cell>
          <cell r="B197" t="str">
            <v>Vaän chuyeån xi maêng cöï ly 100m</v>
          </cell>
          <cell r="C197" t="str">
            <v>taán</v>
          </cell>
          <cell r="E197">
            <v>71813</v>
          </cell>
        </row>
        <row r="198">
          <cell r="A198" t="str">
            <v>02.1212</v>
          </cell>
          <cell r="B198" t="str">
            <v>Vaän chuyeån xi maêng cöï ly 300m</v>
          </cell>
          <cell r="C198" t="str">
            <v>taán</v>
          </cell>
          <cell r="E198">
            <v>67545</v>
          </cell>
        </row>
        <row r="199">
          <cell r="A199" t="str">
            <v>02.1213</v>
          </cell>
          <cell r="B199" t="str">
            <v>Vaän chuyeån xi maêng cöï ly 500m</v>
          </cell>
          <cell r="C199" t="str">
            <v>taán</v>
          </cell>
          <cell r="E199">
            <v>66956</v>
          </cell>
        </row>
        <row r="200">
          <cell r="A200" t="str">
            <v>02.1214</v>
          </cell>
          <cell r="B200" t="str">
            <v>Vaän chuyeån xi maêng cöï ly &gt;500m</v>
          </cell>
          <cell r="C200" t="str">
            <v>taán</v>
          </cell>
          <cell r="E200">
            <v>66515</v>
          </cell>
        </row>
        <row r="202">
          <cell r="A202" t="str">
            <v>02.1241</v>
          </cell>
          <cell r="B202" t="str">
            <v xml:space="preserve">Vaän chuyeån ñaù </v>
          </cell>
          <cell r="C202" t="str">
            <v>m3</v>
          </cell>
          <cell r="E202">
            <v>70635</v>
          </cell>
        </row>
        <row r="203">
          <cell r="A203" t="str">
            <v>02.1242</v>
          </cell>
          <cell r="B203" t="str">
            <v xml:space="preserve">Vaän chuyeån ñaù </v>
          </cell>
          <cell r="C203" t="str">
            <v>m3</v>
          </cell>
          <cell r="E203">
            <v>67692</v>
          </cell>
        </row>
        <row r="204">
          <cell r="A204" t="str">
            <v>02.1243</v>
          </cell>
          <cell r="B204" t="str">
            <v xml:space="preserve">Vaän chuyeån ñaù </v>
          </cell>
          <cell r="C204" t="str">
            <v>m3</v>
          </cell>
          <cell r="E204">
            <v>67104</v>
          </cell>
        </row>
        <row r="205">
          <cell r="A205" t="str">
            <v>02.1244</v>
          </cell>
          <cell r="B205" t="str">
            <v xml:space="preserve">Vaän chuyeån ñaù </v>
          </cell>
          <cell r="C205" t="str">
            <v>m3</v>
          </cell>
          <cell r="E205">
            <v>66662</v>
          </cell>
        </row>
        <row r="207">
          <cell r="A207" t="str">
            <v>02.1231</v>
          </cell>
          <cell r="B207" t="str">
            <v>Vaän chuyeån caùt</v>
          </cell>
          <cell r="C207" t="str">
            <v>m3</v>
          </cell>
          <cell r="E207">
            <v>67251</v>
          </cell>
        </row>
        <row r="208">
          <cell r="A208" t="str">
            <v>02.1232</v>
          </cell>
          <cell r="B208" t="str">
            <v>Vaän chuyeån caùt</v>
          </cell>
          <cell r="C208" t="str">
            <v>m3</v>
          </cell>
          <cell r="E208">
            <v>64308</v>
          </cell>
        </row>
        <row r="209">
          <cell r="A209" t="str">
            <v>02.1233</v>
          </cell>
          <cell r="B209" t="str">
            <v>Vaän chuyeån caùt</v>
          </cell>
          <cell r="C209" t="str">
            <v>m3</v>
          </cell>
          <cell r="E209">
            <v>63719</v>
          </cell>
        </row>
        <row r="210">
          <cell r="A210" t="str">
            <v>02.1234</v>
          </cell>
          <cell r="B210" t="str">
            <v>Vaän chuyeån caùt</v>
          </cell>
          <cell r="C210" t="str">
            <v>m3</v>
          </cell>
          <cell r="E210">
            <v>62983</v>
          </cell>
        </row>
        <row r="212">
          <cell r="A212" t="str">
            <v>02.1351</v>
          </cell>
          <cell r="B212" t="str">
            <v>Vaän chuyeån coát theùp + bulon</v>
          </cell>
          <cell r="C212" t="str">
            <v>Taán</v>
          </cell>
          <cell r="E212">
            <v>110221</v>
          </cell>
        </row>
        <row r="213">
          <cell r="A213" t="str">
            <v>02.1352</v>
          </cell>
          <cell r="B213" t="str">
            <v>Vaän chuyeån coát theùp + bulon</v>
          </cell>
          <cell r="C213" t="str">
            <v>Taán</v>
          </cell>
          <cell r="E213">
            <v>103451</v>
          </cell>
        </row>
        <row r="214">
          <cell r="A214" t="str">
            <v>02.1353</v>
          </cell>
          <cell r="B214" t="str">
            <v>Vaän chuyeån coát theùp + bulon</v>
          </cell>
          <cell r="C214" t="str">
            <v>Taán</v>
          </cell>
          <cell r="E214">
            <v>102127</v>
          </cell>
        </row>
        <row r="215">
          <cell r="A215" t="str">
            <v>02.1354</v>
          </cell>
          <cell r="B215" t="str">
            <v>Vaän chuyeån coát theùp + bulon</v>
          </cell>
          <cell r="C215" t="str">
            <v>Taán</v>
          </cell>
          <cell r="E215">
            <v>93739</v>
          </cell>
        </row>
        <row r="217">
          <cell r="A217" t="str">
            <v>02.1331</v>
          </cell>
          <cell r="B217" t="str">
            <v>Vaän chuyeån vaùn khuoân</v>
          </cell>
          <cell r="C217" t="str">
            <v>m3</v>
          </cell>
          <cell r="E217">
            <v>57391</v>
          </cell>
        </row>
        <row r="218">
          <cell r="A218" t="str">
            <v>02.1332</v>
          </cell>
          <cell r="B218" t="str">
            <v>Vaän chuyeån vaùn khuoân</v>
          </cell>
          <cell r="C218" t="str">
            <v>m3</v>
          </cell>
          <cell r="E218">
            <v>55037</v>
          </cell>
        </row>
        <row r="219">
          <cell r="A219" t="str">
            <v>02.1333</v>
          </cell>
          <cell r="B219" t="str">
            <v>Vaän chuyeån vaùn khuoân</v>
          </cell>
          <cell r="C219" t="str">
            <v>m3</v>
          </cell>
          <cell r="E219">
            <v>54301</v>
          </cell>
        </row>
        <row r="220">
          <cell r="A220" t="str">
            <v>02.1334</v>
          </cell>
          <cell r="B220" t="str">
            <v>Vaän chuyeån vaùn khuoân</v>
          </cell>
          <cell r="C220" t="str">
            <v>m3</v>
          </cell>
          <cell r="E220">
            <v>53859</v>
          </cell>
        </row>
        <row r="222">
          <cell r="A222" t="str">
            <v>02.1321</v>
          </cell>
          <cell r="B222" t="str">
            <v>Vaän chuyeån nöôùc</v>
          </cell>
          <cell r="C222" t="str">
            <v>m3</v>
          </cell>
          <cell r="E222">
            <v>57833</v>
          </cell>
        </row>
        <row r="223">
          <cell r="A223" t="str">
            <v>02.1322</v>
          </cell>
          <cell r="B223" t="str">
            <v>Vaän chuyeån nöôùc</v>
          </cell>
          <cell r="C223" t="str">
            <v>m3</v>
          </cell>
          <cell r="E223">
            <v>56950</v>
          </cell>
        </row>
        <row r="224">
          <cell r="A224" t="str">
            <v>02.1323</v>
          </cell>
          <cell r="B224" t="str">
            <v>Vaän chuyeån nöôùc</v>
          </cell>
          <cell r="C224" t="str">
            <v>m3</v>
          </cell>
          <cell r="E224">
            <v>49592</v>
          </cell>
        </row>
        <row r="225">
          <cell r="A225" t="str">
            <v>02.1324</v>
          </cell>
          <cell r="B225" t="str">
            <v>Vaän chuyeån nöôùc</v>
          </cell>
          <cell r="C225" t="str">
            <v>m3</v>
          </cell>
          <cell r="E225">
            <v>48415</v>
          </cell>
        </row>
        <row r="227">
          <cell r="A227" t="str">
            <v>02.1391</v>
          </cell>
          <cell r="B227" t="str">
            <v>Vaän chuyeån coïc tre</v>
          </cell>
          <cell r="C227" t="str">
            <v>coïc</v>
          </cell>
          <cell r="E227">
            <v>17953</v>
          </cell>
        </row>
        <row r="228">
          <cell r="A228" t="str">
            <v>02.1392</v>
          </cell>
          <cell r="B228" t="str">
            <v>Vaän chuyeån coïc tre</v>
          </cell>
          <cell r="C228" t="str">
            <v>coïc</v>
          </cell>
          <cell r="E228">
            <v>16923</v>
          </cell>
        </row>
        <row r="229">
          <cell r="A229" t="str">
            <v>02.1393</v>
          </cell>
          <cell r="B229" t="str">
            <v>Vaän chuyeån coïc tre</v>
          </cell>
          <cell r="C229" t="str">
            <v>coïc</v>
          </cell>
          <cell r="E229">
            <v>16776</v>
          </cell>
        </row>
        <row r="230">
          <cell r="A230" t="str">
            <v>02.1394</v>
          </cell>
          <cell r="B230" t="str">
            <v>Vaän chuyeån coïc tre</v>
          </cell>
          <cell r="C230" t="str">
            <v>coïc</v>
          </cell>
          <cell r="E230">
            <v>16629</v>
          </cell>
        </row>
        <row r="232">
          <cell r="A232" t="str">
            <v>02.1391</v>
          </cell>
          <cell r="B232" t="str">
            <v>Vaän chuyeån coùt eùp</v>
          </cell>
          <cell r="C232" t="str">
            <v>taám</v>
          </cell>
          <cell r="E232">
            <v>17953</v>
          </cell>
        </row>
        <row r="233">
          <cell r="A233" t="str">
            <v>02.1392</v>
          </cell>
          <cell r="B233" t="str">
            <v>Vaän chuyeån coùt eùp</v>
          </cell>
          <cell r="C233" t="str">
            <v>taám</v>
          </cell>
          <cell r="E233">
            <v>16923</v>
          </cell>
        </row>
        <row r="234">
          <cell r="A234" t="str">
            <v>02.1393</v>
          </cell>
          <cell r="B234" t="str">
            <v>Vaän chuyeån coùt eùp</v>
          </cell>
          <cell r="C234" t="str">
            <v>taám</v>
          </cell>
          <cell r="E234">
            <v>16776</v>
          </cell>
        </row>
        <row r="235">
          <cell r="A235" t="str">
            <v>02.1394</v>
          </cell>
          <cell r="B235" t="str">
            <v>Vaän chuyeån coùt eùp</v>
          </cell>
          <cell r="C235" t="str">
            <v>taám</v>
          </cell>
          <cell r="E235">
            <v>16629</v>
          </cell>
        </row>
        <row r="237">
          <cell r="A237" t="str">
            <v>02.1481</v>
          </cell>
          <cell r="B237" t="str">
            <v>Vaän chuyeån DCTC</v>
          </cell>
          <cell r="C237" t="str">
            <v>Taán</v>
          </cell>
          <cell r="E237">
            <v>91090</v>
          </cell>
        </row>
        <row r="238">
          <cell r="A238" t="str">
            <v>02.1482</v>
          </cell>
          <cell r="B238" t="str">
            <v>Vaän chuyeån DCTC</v>
          </cell>
          <cell r="C238" t="str">
            <v>Taán</v>
          </cell>
          <cell r="E238">
            <v>84615</v>
          </cell>
        </row>
        <row r="239">
          <cell r="A239" t="str">
            <v>02.1483</v>
          </cell>
          <cell r="B239" t="str">
            <v>Vaän chuyeån DCTC</v>
          </cell>
          <cell r="C239" t="str">
            <v>Taán</v>
          </cell>
          <cell r="E239">
            <v>83585</v>
          </cell>
        </row>
        <row r="240">
          <cell r="A240" t="str">
            <v>02.1484</v>
          </cell>
          <cell r="B240" t="str">
            <v>Vaän chuyeån DCTC</v>
          </cell>
          <cell r="C240" t="str">
            <v>Taán</v>
          </cell>
          <cell r="E240">
            <v>82849</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refreshError="1"/>
      <sheetData sheetId="115" refreshError="1"/>
      <sheetData sheetId="116" refreshError="1"/>
      <sheetData sheetId="117" refreshError="1"/>
      <sheetData sheetId="118"/>
      <sheetData sheetId="119" refreshError="1"/>
      <sheetData sheetId="120" refreshError="1"/>
      <sheetData sheetId="121" refreshError="1"/>
      <sheetData sheetId="122" refreshError="1"/>
      <sheetData sheetId="123" refreshError="1"/>
      <sheetData sheetId="124" refreshError="1"/>
      <sheetData sheetId="125"/>
      <sheetData sheetId="126"/>
      <sheetData sheetId="127"/>
      <sheetData sheetId="128"/>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refreshError="1"/>
      <sheetData sheetId="159"/>
      <sheetData sheetId="160"/>
      <sheetData sheetId="161"/>
      <sheetData sheetId="162"/>
      <sheetData sheetId="163"/>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
      <sheetName val="00"/>
      <sheetName val="000"/>
      <sheetName val="TH"/>
      <sheetName val="Chao_thau"/>
      <sheetName val="CT-35"/>
      <sheetName val="Che_do"/>
      <sheetName val="CT-0.4KV"/>
      <sheetName val="CT tram"/>
      <sheetName val="THVL_CTo"/>
      <sheetName val="TN"/>
      <sheetName val="TBA-31,5"/>
      <sheetName val="Don_gia"/>
      <sheetName val="CT-BETONG"/>
      <sheetName val="Chi tiet VC"/>
      <sheetName val="50Slon"/>
      <sheetName val="50Snanh"/>
      <sheetName val="XXXXXXXX"/>
      <sheetName val="149-2"/>
      <sheetName val="95.2ThanhLam_NgheAn"/>
      <sheetName val="KLHT"/>
      <sheetName val="Sheet1"/>
      <sheetName val="GVL"/>
      <sheetName val="IBASE"/>
      <sheetName val="Don gi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GIAgoi1"/>
      <sheetName val="kh«ng GTGT"/>
      <sheetName val="b¶ngtÝnhgãi1"/>
      <sheetName val="B¶ngtænghîp"/>
      <sheetName val="PS"/>
      <sheetName val="TTgãi1"/>
      <sheetName val="ph©ngiao"/>
      <sheetName val="Ng.thu"/>
      <sheetName val="QT"/>
      <sheetName val="Sheet16"/>
      <sheetName val="KH-Q1,Q2,01"/>
      <sheetName val="CT-35"/>
      <sheetName val="CT-0.4KV"/>
      <sheetName val="Gia MBA (2)"/>
      <sheetName val="Gi¸ tñ bï"/>
      <sheetName val="Gia-NC"/>
      <sheetName val="Gia-TN"/>
      <sheetName val="Gia KH"/>
      <sheetName val="GiaVT"/>
      <sheetName val="GiaVT XDCB"/>
      <sheetName val="Gia MBA"/>
      <sheetName val="Cac HS hay SD"/>
      <sheetName val="00000000"/>
    </sheetNames>
    <sheetDataSet>
      <sheetData sheetId="0" refreshError="1">
        <row r="3">
          <cell r="B3" t="str">
            <v xml:space="preserve">§ång hå v«n+chuyÓn m¹ch </v>
          </cell>
          <cell r="C3" t="str">
            <v>bé</v>
          </cell>
          <cell r="F3" t="str">
            <v>Nhµ m¸y thiÕt bÞ ®o ®iÖn</v>
          </cell>
        </row>
        <row r="4">
          <cell r="B4" t="str">
            <v>§Çu cèt Ðp M/A-50</v>
          </cell>
          <cell r="C4" t="str">
            <v>c¸i</v>
          </cell>
          <cell r="D4">
            <v>18000</v>
          </cell>
          <cell r="E4">
            <v>1983.3115189641462</v>
          </cell>
          <cell r="F4" t="str">
            <v>Ngo¹i(óc)</v>
          </cell>
          <cell r="G4">
            <v>1210</v>
          </cell>
        </row>
        <row r="5">
          <cell r="B5" t="str">
            <v>§Çu cèt hµn d©y §CH-M16</v>
          </cell>
          <cell r="C5" t="str">
            <v>c¸i</v>
          </cell>
          <cell r="D5">
            <v>5000</v>
          </cell>
          <cell r="E5">
            <v>1983.3115189641462</v>
          </cell>
          <cell r="F5" t="str">
            <v>ViÖt nam</v>
          </cell>
          <cell r="G5">
            <v>1210</v>
          </cell>
        </row>
        <row r="6">
          <cell r="B6" t="str">
            <v>§Çu cèt hµn d©y §CH-M25</v>
          </cell>
          <cell r="C6" t="str">
            <v>c¸i</v>
          </cell>
          <cell r="D6">
            <v>5500</v>
          </cell>
          <cell r="E6">
            <v>1983.3115189641462</v>
          </cell>
          <cell r="F6" t="str">
            <v>ViÖt nam</v>
          </cell>
          <cell r="G6">
            <v>1210</v>
          </cell>
        </row>
        <row r="7">
          <cell r="B7" t="str">
            <v>§Çu cèt hµn d©y §CH-M35</v>
          </cell>
          <cell r="C7" t="str">
            <v>c¸i</v>
          </cell>
          <cell r="D7">
            <v>6000</v>
          </cell>
          <cell r="E7">
            <v>1983.3115189641462</v>
          </cell>
          <cell r="F7" t="str">
            <v>ViÖt nam</v>
          </cell>
          <cell r="G7">
            <v>1210</v>
          </cell>
        </row>
        <row r="8">
          <cell r="B8" t="str">
            <v>§Çu cèt hµn d©y §CH-M70</v>
          </cell>
          <cell r="C8" t="str">
            <v>c¸i</v>
          </cell>
          <cell r="D8">
            <v>7000</v>
          </cell>
          <cell r="E8">
            <v>1983.3115189641462</v>
          </cell>
          <cell r="F8" t="str">
            <v>ViÖt nam</v>
          </cell>
          <cell r="G8">
            <v>1210</v>
          </cell>
        </row>
        <row r="9">
          <cell r="B9" t="str">
            <v>§Çu cèt van bãp §CB-F8</v>
          </cell>
          <cell r="C9" t="str">
            <v>c¸i</v>
          </cell>
          <cell r="D9">
            <v>12000</v>
          </cell>
          <cell r="E9">
            <v>1983.3115189641462</v>
          </cell>
          <cell r="F9" t="str">
            <v>ViÖt nam</v>
          </cell>
          <cell r="G9">
            <v>1210</v>
          </cell>
        </row>
        <row r="10">
          <cell r="B10" t="str">
            <v>§èng hå ®o ®iÖn</v>
          </cell>
          <cell r="C10" t="str">
            <v>c¸i</v>
          </cell>
          <cell r="F10" t="str">
            <v>Nhµ m¸y thiÕt bÞ ®o ®iÖn</v>
          </cell>
        </row>
        <row r="11">
          <cell r="B11" t="str">
            <v>ATM nh¸nh 100A</v>
          </cell>
          <cell r="C11" t="str">
            <v>c¸i</v>
          </cell>
          <cell r="F11" t="str">
            <v>Liªn x«</v>
          </cell>
        </row>
        <row r="12">
          <cell r="B12" t="str">
            <v>ATM nh¸nh 75A</v>
          </cell>
          <cell r="C12" t="str">
            <v>c¸i</v>
          </cell>
          <cell r="F12" t="str">
            <v>Liªn x«</v>
          </cell>
        </row>
        <row r="13">
          <cell r="B13" t="str">
            <v>ATM tæng 100A</v>
          </cell>
          <cell r="C13" t="str">
            <v>c¸i</v>
          </cell>
          <cell r="F13" t="str">
            <v>Liªn x«</v>
          </cell>
        </row>
        <row r="14">
          <cell r="B14" t="str">
            <v>ATM tæng 200A</v>
          </cell>
          <cell r="C14" t="str">
            <v>c¸i</v>
          </cell>
          <cell r="F14" t="str">
            <v>Liªn x«</v>
          </cell>
        </row>
        <row r="15">
          <cell r="B15" t="str">
            <v>B¨ng dÝnh c¸ch ®iÖn PVC-500</v>
          </cell>
          <cell r="C15" t="str">
            <v>cuén</v>
          </cell>
          <cell r="D15">
            <v>5000</v>
          </cell>
          <cell r="F15" t="str">
            <v>ViÖt nam</v>
          </cell>
        </row>
        <row r="16">
          <cell r="B16" t="str">
            <v>B¨ng nh«m</v>
          </cell>
          <cell r="C16" t="str">
            <v>kg</v>
          </cell>
          <cell r="D16">
            <v>25000</v>
          </cell>
          <cell r="F16" t="str">
            <v>ViÖt nam</v>
          </cell>
        </row>
        <row r="17">
          <cell r="B17" t="str">
            <v>BiÕn an toµn, s¬ ®å tªn tr¹m</v>
          </cell>
          <cell r="C17" t="str">
            <v>c¸i</v>
          </cell>
          <cell r="D17">
            <v>20000</v>
          </cell>
          <cell r="G17">
            <v>1210</v>
          </cell>
        </row>
        <row r="18">
          <cell r="B18" t="str">
            <v>C¸p ®ång bäc PVC 4 lâi M-3x25+1x16</v>
          </cell>
          <cell r="C18" t="str">
            <v>m</v>
          </cell>
          <cell r="D18">
            <v>42000</v>
          </cell>
          <cell r="E18">
            <v>2680.4022405522014</v>
          </cell>
          <cell r="F18" t="str">
            <v>ViÖt nam  tiªu chuÈn IEC</v>
          </cell>
        </row>
        <row r="19">
          <cell r="B19" t="str">
            <v>C¸p ®ång bäc PVC 4 lâi M-3x35+1x16</v>
          </cell>
          <cell r="C19" t="str">
            <v>m</v>
          </cell>
          <cell r="D19">
            <v>72000</v>
          </cell>
          <cell r="E19">
            <v>2680.4022405522014</v>
          </cell>
          <cell r="F19" t="str">
            <v>ViÖt nam  tiªu chuÈn IEC</v>
          </cell>
        </row>
        <row r="20">
          <cell r="B20" t="str">
            <v>C¸p ®ång bäc PVC 4 lâi M-3x70+1x35</v>
          </cell>
          <cell r="C20" t="str">
            <v>m</v>
          </cell>
          <cell r="D20">
            <v>120000</v>
          </cell>
          <cell r="E20">
            <v>2680.4022405522014</v>
          </cell>
          <cell r="F20" t="str">
            <v>ViÖt nam  tiªu chuÈn IEC</v>
          </cell>
        </row>
        <row r="21">
          <cell r="B21" t="str">
            <v>C¸p ®ång trÇn nhiÒu sîi M-95</v>
          </cell>
          <cell r="C21" t="str">
            <v>m</v>
          </cell>
          <cell r="D21">
            <v>34000</v>
          </cell>
        </row>
        <row r="22">
          <cell r="B22" t="str">
            <v>C«liª sø ghÕ</v>
          </cell>
          <cell r="C22" t="str">
            <v>bé</v>
          </cell>
          <cell r="D22">
            <v>7600</v>
          </cell>
          <cell r="E22">
            <v>23016.092850297202</v>
          </cell>
          <cell r="F22" t="str">
            <v xml:space="preserve">ThÐp Th¸i nguyªn </v>
          </cell>
        </row>
        <row r="23">
          <cell r="B23" t="str">
            <v>C«ng b¶o vÖ vËt t­ hiÖn tr­êng</v>
          </cell>
          <cell r="C23" t="str">
            <v>c«ng</v>
          </cell>
          <cell r="E23">
            <v>13448.545963881706</v>
          </cell>
        </row>
        <row r="24">
          <cell r="B24" t="str">
            <v>C«ng t¬ 3 pha h÷u c«ng</v>
          </cell>
          <cell r="C24" t="str">
            <v>c¸i</v>
          </cell>
          <cell r="F24" t="str">
            <v>Nhµ m¸y thiÕt bÞ ®o ®iÖn</v>
          </cell>
        </row>
        <row r="25">
          <cell r="B25" t="str">
            <v>Cæ dÒ nÐo d©y cét ®¬n CND-2</v>
          </cell>
          <cell r="C25" t="str">
            <v>bé</v>
          </cell>
          <cell r="D25">
            <v>119260</v>
          </cell>
          <cell r="E25">
            <v>17809.176109691216</v>
          </cell>
          <cell r="F25" t="str">
            <v xml:space="preserve">ThÐp Th¸i nguyªn </v>
          </cell>
        </row>
        <row r="26">
          <cell r="B26" t="str">
            <v>Cæ dÒ nÐo d©y cét kÐp CNDK(D)</v>
          </cell>
          <cell r="C26" t="str">
            <v>bé</v>
          </cell>
          <cell r="D26">
            <v>104930.99999999999</v>
          </cell>
          <cell r="E26">
            <v>17713.342829818412</v>
          </cell>
          <cell r="F26" t="str">
            <v xml:space="preserve">ThÐp Th¸i nguyªn </v>
          </cell>
        </row>
        <row r="27">
          <cell r="B27" t="str">
            <v>Cæ dÒ nÐo d©y cét kÐp CNDK(N)</v>
          </cell>
          <cell r="C27" t="str">
            <v>bé</v>
          </cell>
          <cell r="D27">
            <v>104930.99999999999</v>
          </cell>
          <cell r="E27">
            <v>17713.342829818412</v>
          </cell>
          <cell r="F27" t="str">
            <v xml:space="preserve">ThÐp Th¸i nguyªn </v>
          </cell>
        </row>
        <row r="28">
          <cell r="B28" t="str">
            <v>Cæ dÒ nÐo gãc CDG</v>
          </cell>
          <cell r="C28" t="str">
            <v>bé</v>
          </cell>
          <cell r="D28">
            <v>101460</v>
          </cell>
          <cell r="E28">
            <v>17690.128557054191</v>
          </cell>
          <cell r="F28" t="str">
            <v xml:space="preserve">ThÐp Th¸i nguyªn </v>
          </cell>
        </row>
        <row r="29">
          <cell r="B29" t="str">
            <v>CÆp c¸p ®ång nh«m Cu/A-35/95</v>
          </cell>
          <cell r="C29" t="str">
            <v>bé</v>
          </cell>
          <cell r="D29">
            <v>6500</v>
          </cell>
          <cell r="F29" t="str">
            <v>Nhµ m¸y c¬ khÝ Yªn viªn</v>
          </cell>
        </row>
        <row r="30">
          <cell r="B30" t="str">
            <v>CÆp c¸p 3 bu l«ng cho d©y AC-50</v>
          </cell>
          <cell r="C30" t="str">
            <v>bé</v>
          </cell>
          <cell r="D30">
            <v>5500</v>
          </cell>
          <cell r="F30" t="str">
            <v>Nhµ m¸y c¬ khÝ Yªn viªn</v>
          </cell>
        </row>
        <row r="31">
          <cell r="B31" t="str">
            <v>CÇu ch× tù r¬i SI-35</v>
          </cell>
          <cell r="C31" t="str">
            <v>bé</v>
          </cell>
          <cell r="D31">
            <v>2690000</v>
          </cell>
          <cell r="E31">
            <v>47601.958309065951</v>
          </cell>
          <cell r="F31" t="str">
            <v>Liªn doanh SKODA-VINA</v>
          </cell>
          <cell r="H31">
            <v>30000</v>
          </cell>
        </row>
        <row r="32">
          <cell r="B32" t="str">
            <v>CÇu dao liªn ®éng 35kV CD-35/200A</v>
          </cell>
          <cell r="C32" t="str">
            <v>bé</v>
          </cell>
          <cell r="D32">
            <v>5600000</v>
          </cell>
          <cell r="E32">
            <v>122572.56079191838</v>
          </cell>
          <cell r="F32" t="str">
            <v>Liªn doanh SKODA-VINA</v>
          </cell>
          <cell r="H32">
            <v>30000</v>
          </cell>
        </row>
        <row r="33">
          <cell r="B33" t="str">
            <v>Cét bª t«ng ly t©m LT-10B</v>
          </cell>
          <cell r="C33" t="str">
            <v>cét</v>
          </cell>
          <cell r="D33">
            <v>1174677</v>
          </cell>
          <cell r="E33">
            <v>147868.39158951858</v>
          </cell>
          <cell r="F33" t="str">
            <v>Cty ®iÖn lùc vµ Cty XDn«ng nghiÖp vµ PTNT s¶n xuÊt</v>
          </cell>
        </row>
        <row r="34">
          <cell r="B34" t="str">
            <v>Cét bª t«ng ly t©m LT-12B</v>
          </cell>
          <cell r="C34" t="str">
            <v>cét</v>
          </cell>
          <cell r="D34">
            <v>1588477</v>
          </cell>
          <cell r="E34">
            <v>166890.25077695589</v>
          </cell>
          <cell r="F34" t="str">
            <v>Cty ®iÖn lùc vµ Cty XDn«ng nghiÖp vµ PTNT s¶n xuÊt</v>
          </cell>
        </row>
        <row r="35">
          <cell r="B35" t="str">
            <v>Cét bª t«ng ly t©m LT-12C</v>
          </cell>
          <cell r="C35" t="str">
            <v>cét</v>
          </cell>
          <cell r="D35">
            <v>1816377</v>
          </cell>
          <cell r="E35">
            <v>166890.25077695589</v>
          </cell>
          <cell r="F35" t="str">
            <v>Cty ®iÖn lùc vµ Cty XDn«ng nghiÖp vµ PTNT s¶n xuÊt</v>
          </cell>
        </row>
        <row r="36">
          <cell r="B36" t="str">
            <v>Cét bª t«ng ly t©m LT-14B</v>
          </cell>
          <cell r="C36" t="str">
            <v>cét</v>
          </cell>
          <cell r="D36">
            <v>3692262</v>
          </cell>
          <cell r="E36">
            <v>268653.72283424844</v>
          </cell>
          <cell r="F36" t="str">
            <v>Cty ®iÖn lùc vµ Cty XDn«ng nghiÖp vµ PTNT s¶n xuÊt</v>
          </cell>
        </row>
        <row r="37">
          <cell r="B37" t="str">
            <v>Cét bª t«ng ly t©m LT-14C</v>
          </cell>
          <cell r="C37" t="str">
            <v>cét</v>
          </cell>
          <cell r="D37">
            <v>4245284</v>
          </cell>
          <cell r="E37">
            <v>211425.41321229746</v>
          </cell>
          <cell r="F37" t="str">
            <v>Cty ®iÖn lùc vµ Cty XDn«ng nghiÖp vµ PTNT s¶n xuÊt</v>
          </cell>
        </row>
        <row r="38">
          <cell r="B38" t="str">
            <v>Cét bª t«ng ly t©m LT-16C</v>
          </cell>
          <cell r="C38" t="str">
            <v>cét</v>
          </cell>
          <cell r="D38">
            <v>4756284</v>
          </cell>
          <cell r="E38">
            <v>245581.07473760252</v>
          </cell>
          <cell r="F38" t="str">
            <v>Bª t«ng ChÌm-Bª t«ng ThÞnh liÖt</v>
          </cell>
        </row>
        <row r="39">
          <cell r="B39" t="str">
            <v>Chèng sÐt van h¹ thÕ</v>
          </cell>
          <cell r="C39" t="str">
            <v>c¸i</v>
          </cell>
          <cell r="F39" t="str">
            <v>Nhµ m¸y thiÕt bÞ ®o ®iÖn</v>
          </cell>
        </row>
        <row r="40">
          <cell r="B40" t="str">
            <v>Chuçi sø nÐo 4xPC-70§</v>
          </cell>
          <cell r="C40" t="str">
            <v>chuçi</v>
          </cell>
          <cell r="D40">
            <v>279800</v>
          </cell>
          <cell r="E40">
            <v>8559.2937288003759</v>
          </cell>
          <cell r="F40" t="str">
            <v>Sø: Liªn x« ; Phô kiÖn: ViÖt nam</v>
          </cell>
        </row>
        <row r="41">
          <cell r="B41" t="str">
            <v>D©y buéc</v>
          </cell>
          <cell r="C41" t="str">
            <v>kg</v>
          </cell>
          <cell r="D41">
            <v>25000</v>
          </cell>
        </row>
        <row r="42">
          <cell r="B42" t="str">
            <v>D©y dÉn nh«m AC-50</v>
          </cell>
          <cell r="C42" t="str">
            <v>kg</v>
          </cell>
          <cell r="D42">
            <v>21200</v>
          </cell>
          <cell r="E42">
            <v>1598.3692733350056</v>
          </cell>
          <cell r="F42" t="str">
            <v xml:space="preserve"> C.Ty d©y vµ c¸p ®iÖn Th¨ng longN.M¸y d©y c¸p ®iÖn-C.Ty VL ®iÖn </v>
          </cell>
        </row>
        <row r="43">
          <cell r="B43" t="str">
            <v>D©y nÐo F18 DN-14</v>
          </cell>
          <cell r="C43" t="str">
            <v>bé</v>
          </cell>
          <cell r="D43">
            <v>272675</v>
          </cell>
          <cell r="E43">
            <v>23016.092850297202</v>
          </cell>
          <cell r="F43" t="str">
            <v xml:space="preserve">ThÐp Th¸i nguyªn </v>
          </cell>
        </row>
        <row r="44">
          <cell r="B44" t="str">
            <v>D©y nÐo F18 DN-17</v>
          </cell>
          <cell r="C44" t="str">
            <v>bé</v>
          </cell>
          <cell r="D44">
            <v>311675</v>
          </cell>
          <cell r="E44">
            <v>23016.092850297202</v>
          </cell>
          <cell r="F44" t="str">
            <v xml:space="preserve">ThÐp Th¸i nguyªn </v>
          </cell>
        </row>
        <row r="45">
          <cell r="B45" t="str">
            <v>D©y nÐo F18 DN-19</v>
          </cell>
          <cell r="C45" t="str">
            <v>bé</v>
          </cell>
          <cell r="D45">
            <v>337675</v>
          </cell>
          <cell r="E45">
            <v>26108.353030043938</v>
          </cell>
          <cell r="F45" t="str">
            <v xml:space="preserve">ThÐp Th¸i nguyªn </v>
          </cell>
        </row>
        <row r="46">
          <cell r="B46" t="str">
            <v>DÎ lau</v>
          </cell>
          <cell r="C46" t="str">
            <v>kg</v>
          </cell>
          <cell r="D46">
            <v>5000</v>
          </cell>
        </row>
        <row r="47">
          <cell r="B47" t="str">
            <v>èng nèi d©y 450mm</v>
          </cell>
          <cell r="C47" t="str">
            <v>èng</v>
          </cell>
          <cell r="D47">
            <v>80000</v>
          </cell>
          <cell r="F47" t="str">
            <v>Liªn x«</v>
          </cell>
        </row>
        <row r="48">
          <cell r="B48" t="str">
            <v>èng nèi lÌo 300mm</v>
          </cell>
          <cell r="C48" t="str">
            <v>èng</v>
          </cell>
          <cell r="D48">
            <v>70000</v>
          </cell>
          <cell r="F48" t="str">
            <v>Liªn x«</v>
          </cell>
        </row>
        <row r="49">
          <cell r="B49" t="str">
            <v>èng nhùa cøng F21</v>
          </cell>
          <cell r="C49" t="str">
            <v>m</v>
          </cell>
          <cell r="D49">
            <v>2800</v>
          </cell>
          <cell r="F49" t="str">
            <v>Nhùa TiÒn phong</v>
          </cell>
          <cell r="G49">
            <v>1210</v>
          </cell>
        </row>
        <row r="50">
          <cell r="B50" t="str">
            <v>GhÕ c¸ch ®iÖn 35kV</v>
          </cell>
          <cell r="C50" t="str">
            <v>qu¶</v>
          </cell>
          <cell r="D50">
            <v>914280</v>
          </cell>
          <cell r="E50">
            <v>37226.257737854336</v>
          </cell>
          <cell r="F50" t="str">
            <v xml:space="preserve">ThÐp Th¸i nguyªn </v>
          </cell>
        </row>
        <row r="51">
          <cell r="B51" t="str">
            <v>GhÕ c¸ch ®iÖn 35kV G§-2</v>
          </cell>
          <cell r="C51" t="str">
            <v>bé</v>
          </cell>
          <cell r="D51">
            <v>1104888</v>
          </cell>
          <cell r="E51">
            <v>37226.257737854336</v>
          </cell>
          <cell r="F51" t="str">
            <v xml:space="preserve">ThÐp Th¸i nguyªn </v>
          </cell>
        </row>
        <row r="52">
          <cell r="B52" t="str">
            <v>GhÕ thao t¸c tñ ®iÖn 0.4kV</v>
          </cell>
          <cell r="C52" t="str">
            <v>bé</v>
          </cell>
          <cell r="D52">
            <v>127680</v>
          </cell>
          <cell r="E52">
            <v>23016.092850297202</v>
          </cell>
          <cell r="F52" t="str">
            <v xml:space="preserve">ThÐp Th¸i nguyªn </v>
          </cell>
        </row>
        <row r="53">
          <cell r="B53" t="str">
            <v>GhÕ thÝ nghiÖm MBA</v>
          </cell>
          <cell r="C53" t="str">
            <v>bé</v>
          </cell>
          <cell r="D53">
            <v>141512</v>
          </cell>
          <cell r="E53">
            <v>23016.092850297202</v>
          </cell>
          <cell r="F53" t="str">
            <v xml:space="preserve">ThÐp Th¸i nguyªn </v>
          </cell>
          <cell r="G53">
            <v>0</v>
          </cell>
        </row>
        <row r="54">
          <cell r="B54" t="str">
            <v>GhÝp nh«m 3 bu l«ng A-50</v>
          </cell>
          <cell r="C54" t="str">
            <v>bé</v>
          </cell>
          <cell r="D54">
            <v>5500</v>
          </cell>
          <cell r="F54" t="str">
            <v>Nhµ mµy c¬ khÝ Yªn viªn</v>
          </cell>
        </row>
        <row r="55">
          <cell r="B55" t="str">
            <v>Gi¸ ®ì m¸y biÕn ¸p</v>
          </cell>
          <cell r="C55" t="str">
            <v>bé</v>
          </cell>
          <cell r="D55">
            <v>1861772</v>
          </cell>
          <cell r="E55">
            <v>68247.880659615606</v>
          </cell>
          <cell r="F55" t="str">
            <v xml:space="preserve">ThÐp Th¸i nguyªn </v>
          </cell>
        </row>
        <row r="56">
          <cell r="B56" t="str">
            <v>Gi¸ ®ì tñ</v>
          </cell>
          <cell r="C56" t="str">
            <v>bé</v>
          </cell>
          <cell r="D56">
            <v>265550</v>
          </cell>
          <cell r="E56">
            <v>23016.092850297202</v>
          </cell>
          <cell r="F56" t="str">
            <v xml:space="preserve">ThÐp Th¸i nguyªn </v>
          </cell>
        </row>
        <row r="57">
          <cell r="B57" t="str">
            <v>Kho¸ Minh khai</v>
          </cell>
          <cell r="C57" t="str">
            <v>c¸i</v>
          </cell>
          <cell r="D57">
            <v>12500</v>
          </cell>
        </row>
        <row r="58">
          <cell r="B58" t="str">
            <v>Kho¸ nÐo HKK-1</v>
          </cell>
          <cell r="C58" t="str">
            <v>bé</v>
          </cell>
          <cell r="D58">
            <v>46000</v>
          </cell>
          <cell r="F58" t="str">
            <v>Nhµ m¸y c¬ khÝ Yªn viªn</v>
          </cell>
        </row>
        <row r="59">
          <cell r="B59" t="str">
            <v>M¸y biÕn ¸p 100KVA</v>
          </cell>
          <cell r="C59" t="str">
            <v>m¸y</v>
          </cell>
          <cell r="D59">
            <v>33000000</v>
          </cell>
          <cell r="E59">
            <v>119994.53502583172</v>
          </cell>
          <cell r="F59" t="str">
            <v>Liªn doanh Takaoka-VINA</v>
          </cell>
          <cell r="H59">
            <v>424000</v>
          </cell>
        </row>
        <row r="60">
          <cell r="B60" t="str">
            <v>M¸y biÕn ¸p 50KVA</v>
          </cell>
          <cell r="C60" t="str">
            <v>m¸y</v>
          </cell>
          <cell r="D60">
            <v>25000000</v>
          </cell>
          <cell r="E60">
            <v>98177.487853744504</v>
          </cell>
          <cell r="F60" t="str">
            <v>Liªn doanh Takaoka-VINA</v>
          </cell>
          <cell r="H60">
            <v>424000</v>
          </cell>
        </row>
        <row r="61">
          <cell r="B61" t="str">
            <v>M¸y biÕn dßng</v>
          </cell>
          <cell r="C61" t="str">
            <v>c¸i</v>
          </cell>
          <cell r="F61" t="str">
            <v>Nhµ m¸y thiÕt bÞ ®o ®iÖn</v>
          </cell>
        </row>
        <row r="62">
          <cell r="B62" t="str">
            <v>Mãng cét MK8</v>
          </cell>
          <cell r="C62" t="str">
            <v>mãng</v>
          </cell>
          <cell r="D62">
            <v>1092372.473</v>
          </cell>
          <cell r="E62">
            <v>1024910.3519676777</v>
          </cell>
        </row>
        <row r="63">
          <cell r="B63" t="str">
            <v>Mãng cét MT-3</v>
          </cell>
          <cell r="C63" t="str">
            <v>mãng</v>
          </cell>
          <cell r="D63">
            <v>506990.45100000006</v>
          </cell>
          <cell r="E63">
            <v>414813.62814909278</v>
          </cell>
        </row>
        <row r="64">
          <cell r="B64" t="str">
            <v>Mãng cét MT-4</v>
          </cell>
          <cell r="C64" t="str">
            <v>mãng</v>
          </cell>
          <cell r="D64">
            <v>582191.48699999996</v>
          </cell>
          <cell r="E64">
            <v>472422.01176804473</v>
          </cell>
        </row>
        <row r="65">
          <cell r="B65" t="str">
            <v>Mãng cét MT-6a</v>
          </cell>
          <cell r="C65" t="str">
            <v>mãng</v>
          </cell>
          <cell r="D65">
            <v>772906.78399999999</v>
          </cell>
          <cell r="E65">
            <v>752783.90746637899</v>
          </cell>
        </row>
        <row r="66">
          <cell r="B66" t="str">
            <v>Mãng nÐo b¶n MN-15-5</v>
          </cell>
          <cell r="C66" t="str">
            <v>mãng</v>
          </cell>
          <cell r="D66">
            <v>180062.76164000001</v>
          </cell>
          <cell r="E66">
            <v>175373.50293180568</v>
          </cell>
        </row>
        <row r="67">
          <cell r="B67" t="str">
            <v>Mì bét nh«m</v>
          </cell>
          <cell r="C67" t="str">
            <v>kg</v>
          </cell>
          <cell r="D67">
            <v>20000</v>
          </cell>
        </row>
        <row r="68">
          <cell r="B68" t="str">
            <v>Nhùa th«ng</v>
          </cell>
          <cell r="C68" t="str">
            <v>kg</v>
          </cell>
          <cell r="D68">
            <v>15000</v>
          </cell>
        </row>
        <row r="69">
          <cell r="B69" t="str">
            <v xml:space="preserve">Que hµn </v>
          </cell>
          <cell r="C69" t="str">
            <v>kg</v>
          </cell>
          <cell r="D69">
            <v>7500</v>
          </cell>
        </row>
        <row r="70">
          <cell r="B70" t="str">
            <v>S¬n ®en</v>
          </cell>
          <cell r="C70" t="str">
            <v>kg</v>
          </cell>
          <cell r="D70">
            <v>15000</v>
          </cell>
        </row>
        <row r="71">
          <cell r="B71" t="str">
            <v>S¬n xanh, vµng, ®á</v>
          </cell>
          <cell r="C71" t="str">
            <v>kg</v>
          </cell>
          <cell r="D71">
            <v>18500</v>
          </cell>
        </row>
        <row r="72">
          <cell r="B72" t="str">
            <v>Sè lÇn bÎ gãc</v>
          </cell>
          <cell r="C72" t="str">
            <v>VT</v>
          </cell>
          <cell r="E72">
            <v>76087.436749749191</v>
          </cell>
        </row>
        <row r="73">
          <cell r="B73" t="str">
            <v>Sè lÇn v­ît ®­êng giao th«ng</v>
          </cell>
          <cell r="C73" t="str">
            <v>VT</v>
          </cell>
          <cell r="D73">
            <v>163975</v>
          </cell>
          <cell r="E73">
            <v>202393.63654225157</v>
          </cell>
        </row>
        <row r="74">
          <cell r="B74" t="str">
            <v>Sè lÇn v­ît s«ng suèi</v>
          </cell>
          <cell r="C74" t="str">
            <v>VT</v>
          </cell>
          <cell r="D74">
            <v>164625</v>
          </cell>
          <cell r="E74">
            <v>204486.14963397896</v>
          </cell>
        </row>
        <row r="75">
          <cell r="B75" t="str">
            <v>Sø ®øng 35kV c¶ ty VH§-35</v>
          </cell>
          <cell r="C75" t="str">
            <v>qu¶</v>
          </cell>
          <cell r="D75">
            <v>135000</v>
          </cell>
          <cell r="E75">
            <v>433.70397364490486</v>
          </cell>
          <cell r="F75" t="str">
            <v>Hoµng Liªn s¬n</v>
          </cell>
          <cell r="H75">
            <v>5000</v>
          </cell>
        </row>
        <row r="76">
          <cell r="B76" t="str">
            <v>Tay ®ì d©y trung gian</v>
          </cell>
          <cell r="C76" t="str">
            <v>c¸i</v>
          </cell>
          <cell r="D76">
            <v>7600</v>
          </cell>
          <cell r="E76">
            <v>23016.092850297202</v>
          </cell>
          <cell r="F76" t="str">
            <v xml:space="preserve">ThÐp Th¸i nguyªn </v>
          </cell>
        </row>
        <row r="77">
          <cell r="B77" t="str">
            <v>Thang trÌo</v>
          </cell>
          <cell r="C77" t="str">
            <v>c¸i</v>
          </cell>
          <cell r="D77">
            <v>161963.655</v>
          </cell>
          <cell r="E77">
            <v>25183.411687748165</v>
          </cell>
          <cell r="F77" t="str">
            <v xml:space="preserve">ThÐp Th¸i nguyªn </v>
          </cell>
        </row>
        <row r="78">
          <cell r="B78" t="str">
            <v>Thang trÌo vµ gi¸ b¾t thang</v>
          </cell>
          <cell r="C78" t="str">
            <v>bé</v>
          </cell>
          <cell r="D78">
            <v>443688</v>
          </cell>
          <cell r="E78">
            <v>31021.622921761274</v>
          </cell>
          <cell r="F78" t="str">
            <v xml:space="preserve">ThÐp Th¸i nguyªn </v>
          </cell>
        </row>
        <row r="79">
          <cell r="B79" t="str">
            <v>Thanh dÉn ®ång MT-F8</v>
          </cell>
          <cell r="C79" t="str">
            <v>m</v>
          </cell>
          <cell r="D79">
            <v>15500</v>
          </cell>
        </row>
        <row r="80">
          <cell r="B80" t="str">
            <v>ThiÕc hµn</v>
          </cell>
          <cell r="C80" t="str">
            <v>bé</v>
          </cell>
          <cell r="D80">
            <v>45000</v>
          </cell>
        </row>
        <row r="81">
          <cell r="B81" t="str">
            <v>Thu l«i sõng 35kV+gi¸ ®ì</v>
          </cell>
          <cell r="C81" t="str">
            <v>bé</v>
          </cell>
          <cell r="D81">
            <v>30400</v>
          </cell>
          <cell r="E81">
            <v>24317.204771231918</v>
          </cell>
          <cell r="H81">
            <v>50000</v>
          </cell>
        </row>
        <row r="82">
          <cell r="B82" t="str">
            <v>TiÕp ®Þa RC-2</v>
          </cell>
          <cell r="C82" t="str">
            <v>bé</v>
          </cell>
          <cell r="D82">
            <v>143632</v>
          </cell>
          <cell r="E82">
            <v>198311.60729674395</v>
          </cell>
          <cell r="H82">
            <v>30000</v>
          </cell>
        </row>
        <row r="83">
          <cell r="B83" t="str">
            <v>TiÕp ®Þa tr¹m</v>
          </cell>
          <cell r="C83" t="str">
            <v>bé</v>
          </cell>
          <cell r="D83">
            <v>817961</v>
          </cell>
          <cell r="E83">
            <v>518982.00632650801</v>
          </cell>
          <cell r="H83">
            <v>30000</v>
          </cell>
        </row>
        <row r="84">
          <cell r="B84" t="str">
            <v>Tñ ®iÖn 400V trän bé</v>
          </cell>
          <cell r="C84" t="str">
            <v>tñ</v>
          </cell>
          <cell r="D84">
            <v>4200000</v>
          </cell>
          <cell r="E84">
            <v>99168.678265615366</v>
          </cell>
          <cell r="H84">
            <v>249000</v>
          </cell>
        </row>
        <row r="85">
          <cell r="B85" t="str">
            <v>Tñ ®iÖn 400V trän bé-</v>
          </cell>
          <cell r="C85" t="str">
            <v>tñ</v>
          </cell>
          <cell r="D85">
            <v>3315000</v>
          </cell>
          <cell r="E85">
            <v>99168.678265615366</v>
          </cell>
          <cell r="H85">
            <v>249000</v>
          </cell>
        </row>
        <row r="86">
          <cell r="B86" t="str">
            <v>VËn chuyÓn d©y dÉn (c¶ ru l«)</v>
          </cell>
          <cell r="C86" t="str">
            <v>tÊn</v>
          </cell>
          <cell r="E86">
            <v>54631.34420808818</v>
          </cell>
        </row>
        <row r="87">
          <cell r="B87" t="str">
            <v>VËn chuyÓn dông cô thi c«ng</v>
          </cell>
          <cell r="C87" t="str">
            <v>tÊn</v>
          </cell>
          <cell r="E87">
            <v>48679.315586945311</v>
          </cell>
        </row>
        <row r="88">
          <cell r="B88" t="str">
            <v>VËn chuyÓn mãng nÐo MN15-5</v>
          </cell>
          <cell r="C88" t="str">
            <v>tÊn</v>
          </cell>
          <cell r="E88">
            <v>49086.960094362621</v>
          </cell>
        </row>
        <row r="89">
          <cell r="B89" t="str">
            <v>VËn chuyÓn sø, phô kiÖn</v>
          </cell>
          <cell r="C89" t="str">
            <v>tÊn</v>
          </cell>
          <cell r="E89">
            <v>72243.82059704994</v>
          </cell>
        </row>
        <row r="90">
          <cell r="B90" t="str">
            <v>VËn chuyÓn xµ, tiÕp ®Þa vµo vÞ trÝ</v>
          </cell>
          <cell r="C90" t="str">
            <v>tÊn</v>
          </cell>
          <cell r="E90">
            <v>59523.776318512762</v>
          </cell>
        </row>
        <row r="91">
          <cell r="B91" t="str">
            <v>X¨ng</v>
          </cell>
          <cell r="C91" t="str">
            <v>kg</v>
          </cell>
          <cell r="D91">
            <v>5000</v>
          </cell>
        </row>
        <row r="92">
          <cell r="B92" t="str">
            <v>X¨ng A-83</v>
          </cell>
          <cell r="C92" t="str">
            <v>kg</v>
          </cell>
          <cell r="D92">
            <v>5000</v>
          </cell>
        </row>
        <row r="93">
          <cell r="B93" t="str">
            <v>Xµ ®ãn d©y+xµ thu l«i</v>
          </cell>
          <cell r="C93" t="str">
            <v>bé</v>
          </cell>
          <cell r="D93">
            <v>606176</v>
          </cell>
          <cell r="E93">
            <v>31021.622921761274</v>
          </cell>
          <cell r="F93" t="str">
            <v xml:space="preserve">ThÐp Th¸i nguyªn </v>
          </cell>
          <cell r="G93">
            <v>0</v>
          </cell>
        </row>
        <row r="94">
          <cell r="B94" t="str">
            <v>Xµ ®ì cÇu ch× tù r¬i</v>
          </cell>
          <cell r="C94" t="str">
            <v>bé</v>
          </cell>
          <cell r="D94">
            <v>375288</v>
          </cell>
          <cell r="E94">
            <v>23016.092850297202</v>
          </cell>
          <cell r="F94" t="str">
            <v xml:space="preserve">ThÐp Th¸i nguyªn </v>
          </cell>
        </row>
        <row r="95">
          <cell r="B95" t="str">
            <v>Xµ ®ì ghÕ c¸ch ®iÖn</v>
          </cell>
          <cell r="C95" t="str">
            <v>qu¶</v>
          </cell>
          <cell r="D95">
            <v>1306592</v>
          </cell>
          <cell r="E95">
            <v>68247.880659615606</v>
          </cell>
          <cell r="F95" t="str">
            <v xml:space="preserve">ThÐp Th¸i nguyªn </v>
          </cell>
        </row>
        <row r="96">
          <cell r="B96" t="str">
            <v>Xµ ®ì sø trung gian</v>
          </cell>
          <cell r="C96" t="str">
            <v>bé</v>
          </cell>
          <cell r="D96">
            <v>269420</v>
          </cell>
          <cell r="E96">
            <v>23016.092850297202</v>
          </cell>
          <cell r="F96" t="str">
            <v xml:space="preserve">ThÐp Th¸i nguyªn </v>
          </cell>
        </row>
        <row r="97">
          <cell r="B97" t="str">
            <v>Xµ ®ì th¼ng X§T-1L</v>
          </cell>
          <cell r="C97" t="str">
            <v>bé</v>
          </cell>
          <cell r="D97">
            <v>187872</v>
          </cell>
          <cell r="E97">
            <v>23016.092850297202</v>
          </cell>
          <cell r="F97" t="str">
            <v xml:space="preserve">ThÐp Th¸i nguyªn </v>
          </cell>
        </row>
        <row r="98">
          <cell r="B98" t="str">
            <v>Xµ ®ì v­ît X§V-1N</v>
          </cell>
          <cell r="C98" t="str">
            <v>bé</v>
          </cell>
          <cell r="D98">
            <v>1005480.0000000001</v>
          </cell>
          <cell r="E98">
            <v>37226.257737854336</v>
          </cell>
          <cell r="F98" t="str">
            <v xml:space="preserve">ThÐp Th¸i nguyªn </v>
          </cell>
        </row>
        <row r="99">
          <cell r="B99" t="str">
            <v>Xµ nÐo cuèi cã cÇu dao XND-2</v>
          </cell>
          <cell r="C99" t="str">
            <v>bé</v>
          </cell>
          <cell r="D99">
            <v>1199888</v>
          </cell>
          <cell r="E99">
            <v>68247.880659615606</v>
          </cell>
          <cell r="F99" t="str">
            <v xml:space="preserve">ThÐp Th¸i nguyªn </v>
          </cell>
        </row>
        <row r="100">
          <cell r="B100" t="str">
            <v>Xµ nÐo XN1-2§</v>
          </cell>
          <cell r="C100" t="str">
            <v>bé</v>
          </cell>
          <cell r="D100">
            <v>687420</v>
          </cell>
          <cell r="E100">
            <v>41229.798352938378</v>
          </cell>
          <cell r="F100" t="str">
            <v xml:space="preserve">ThÐp Th¸i nguyªn </v>
          </cell>
        </row>
        <row r="101">
          <cell r="B101" t="str">
            <v>Xµ nÐo XN1-2K(D)</v>
          </cell>
          <cell r="C101" t="str">
            <v>bé</v>
          </cell>
          <cell r="D101">
            <v>828400</v>
          </cell>
          <cell r="E101">
            <v>49435.427897221452</v>
          </cell>
          <cell r="F101" t="str">
            <v xml:space="preserve">ThÐp Th¸i nguyªn </v>
          </cell>
        </row>
        <row r="102">
          <cell r="B102" t="str">
            <v>Xµ nÐo XN1-2K(N)</v>
          </cell>
          <cell r="C102" t="str">
            <v>bé</v>
          </cell>
          <cell r="D102">
            <v>624872</v>
          </cell>
          <cell r="E102">
            <v>41229.798352938378</v>
          </cell>
          <cell r="F102" t="str">
            <v xml:space="preserve">ThÐp Th¸i nguyªn </v>
          </cell>
        </row>
        <row r="103">
          <cell r="B103" t="str">
            <v>Xµ nÐo XN1-2L</v>
          </cell>
          <cell r="C103" t="str">
            <v>bé</v>
          </cell>
          <cell r="D103">
            <v>596524</v>
          </cell>
          <cell r="E103">
            <v>41229.798352938378</v>
          </cell>
          <cell r="F103" t="str">
            <v xml:space="preserve">ThÐp Th¸i nguyªn </v>
          </cell>
        </row>
        <row r="104">
          <cell r="B104" t="str">
            <v>Xµ nÐo XN2-5L</v>
          </cell>
          <cell r="C104" t="str">
            <v>bé</v>
          </cell>
          <cell r="D104">
            <v>952280</v>
          </cell>
          <cell r="E104">
            <v>49435.427897221452</v>
          </cell>
          <cell r="F104" t="str">
            <v xml:space="preserve">ThÐp Th¸i nguyªn </v>
          </cell>
        </row>
        <row r="105">
          <cell r="B105" t="str">
            <v>Xµ nÐo XN2-6L</v>
          </cell>
          <cell r="C105" t="str">
            <v>bé</v>
          </cell>
          <cell r="D105">
            <v>1243284</v>
          </cell>
          <cell r="E105">
            <v>68247.880659615606</v>
          </cell>
          <cell r="F105" t="str">
            <v xml:space="preserve">ThÐp Th¸i nguyªn </v>
          </cell>
        </row>
        <row r="106">
          <cell r="B106" t="str">
            <v>Xµ rÏ nh¸nh XR-3§</v>
          </cell>
          <cell r="C106" t="str">
            <v>bé</v>
          </cell>
          <cell r="D106">
            <v>186580</v>
          </cell>
          <cell r="E106">
            <v>23016.092850297202</v>
          </cell>
          <cell r="F106" t="str">
            <v xml:space="preserve">ThÐp Th¸i nguyªn </v>
          </cell>
        </row>
        <row r="107">
          <cell r="B107" t="str">
            <v>Bª t«ng chÌn M200</v>
          </cell>
          <cell r="D107">
            <v>299866.7</v>
          </cell>
          <cell r="E107">
            <v>70605.606213080784</v>
          </cell>
        </row>
        <row r="108">
          <cell r="B108" t="str">
            <v>Bª t«ng M150</v>
          </cell>
          <cell r="D108">
            <v>226052.9</v>
          </cell>
          <cell r="E108">
            <v>72619.018974949664</v>
          </cell>
        </row>
        <row r="109">
          <cell r="B109" t="str">
            <v>Bª t«ng M50</v>
          </cell>
          <cell r="D109">
            <v>148966.79999999999</v>
          </cell>
          <cell r="E109">
            <v>37135.360613377925</v>
          </cell>
        </row>
        <row r="110">
          <cell r="B110" t="str">
            <v>Bª t«ng ®óc s½n M200</v>
          </cell>
          <cell r="D110">
            <v>266225.67000000004</v>
          </cell>
          <cell r="E110">
            <v>72715.55184678745</v>
          </cell>
        </row>
        <row r="111">
          <cell r="B111" t="str">
            <v>VËt liÖu dïng cho triÕt tÝnh</v>
          </cell>
        </row>
        <row r="112">
          <cell r="B112" t="str">
            <v>Xi m¨ng</v>
          </cell>
          <cell r="C112" t="str">
            <v>kg</v>
          </cell>
          <cell r="D112">
            <v>790</v>
          </cell>
        </row>
        <row r="113">
          <cell r="B113" t="str">
            <v>C¸t vµng</v>
          </cell>
          <cell r="C113" t="str">
            <v>m3</v>
          </cell>
          <cell r="D113">
            <v>10000</v>
          </cell>
        </row>
        <row r="114">
          <cell r="B114" t="str">
            <v>§¸ d¨m 4x6</v>
          </cell>
          <cell r="D114">
            <v>25000</v>
          </cell>
        </row>
        <row r="115">
          <cell r="B115" t="str">
            <v>V/c Xi m¨ng</v>
          </cell>
          <cell r="C115" t="str">
            <v>tÊn</v>
          </cell>
          <cell r="E115">
            <v>38486.806858678836</v>
          </cell>
        </row>
        <row r="116">
          <cell r="B116" t="str">
            <v>V/c c¸t vµng</v>
          </cell>
          <cell r="C116" t="str">
            <v>m3</v>
          </cell>
          <cell r="E116">
            <v>34165.356267205229</v>
          </cell>
        </row>
        <row r="117">
          <cell r="B117" t="str">
            <v>V/c ®¸ d¨m</v>
          </cell>
          <cell r="C117" t="str">
            <v>m3</v>
          </cell>
          <cell r="E117">
            <v>38650.143870212494</v>
          </cell>
        </row>
        <row r="118">
          <cell r="B118" t="str">
            <v>V/c n­íc</v>
          </cell>
          <cell r="C118" t="str">
            <v>m3</v>
          </cell>
          <cell r="E118">
            <v>33105.061735070121</v>
          </cell>
        </row>
        <row r="119">
          <cell r="B119" t="str">
            <v>§¸ d¨m 1x2</v>
          </cell>
          <cell r="D119">
            <v>37600</v>
          </cell>
        </row>
        <row r="120">
          <cell r="B120" t="str">
            <v>Gç kª</v>
          </cell>
          <cell r="D120">
            <v>1350000</v>
          </cell>
        </row>
        <row r="121">
          <cell r="B121" t="str">
            <v>S¬n</v>
          </cell>
          <cell r="D121">
            <v>18200</v>
          </cell>
        </row>
        <row r="122">
          <cell r="B122" t="str">
            <v>Gç cèp pha</v>
          </cell>
          <cell r="D122">
            <v>1350000</v>
          </cell>
        </row>
        <row r="123">
          <cell r="B123" t="str">
            <v>V/c cèt thÐp</v>
          </cell>
          <cell r="E123">
            <v>59523.776318512762</v>
          </cell>
        </row>
        <row r="124">
          <cell r="B124" t="str">
            <v>§æ bª t«ng M50</v>
          </cell>
          <cell r="E124">
            <v>38450.121955328686</v>
          </cell>
        </row>
        <row r="125">
          <cell r="B125" t="str">
            <v>§æ bª t«ng M150</v>
          </cell>
          <cell r="E125">
            <v>80005.66363611196</v>
          </cell>
        </row>
        <row r="126">
          <cell r="B126" t="str">
            <v>§æ bª t«ng M200</v>
          </cell>
          <cell r="E126">
            <v>80005.66363611196</v>
          </cell>
        </row>
        <row r="127">
          <cell r="B127" t="str">
            <v>Gia c«ng ®Æt buéc cèt thÐp</v>
          </cell>
          <cell r="E127">
            <v>203.0776975307258</v>
          </cell>
        </row>
        <row r="128">
          <cell r="B128" t="str">
            <v xml:space="preserve">ThÐp lµm xµ </v>
          </cell>
          <cell r="D128">
            <v>7600</v>
          </cell>
        </row>
        <row r="129">
          <cell r="B129" t="str">
            <v xml:space="preserve">ThÐp lµm ghÕ </v>
          </cell>
          <cell r="D129">
            <v>7600</v>
          </cell>
        </row>
        <row r="130">
          <cell r="B130" t="str">
            <v>ThÐp lµm cæ dÒ</v>
          </cell>
          <cell r="D130">
            <v>8900</v>
          </cell>
        </row>
        <row r="131">
          <cell r="B131" t="str">
            <v>ThÐp lµm d©y nÐo</v>
          </cell>
          <cell r="D131">
            <v>6500</v>
          </cell>
        </row>
        <row r="132">
          <cell r="B132" t="str">
            <v>ThÐp ®Öm</v>
          </cell>
          <cell r="D132">
            <v>4500</v>
          </cell>
        </row>
        <row r="133">
          <cell r="B133" t="str">
            <v>Cét LT12C</v>
          </cell>
          <cell r="D133">
            <v>1796100</v>
          </cell>
        </row>
        <row r="134">
          <cell r="B134" t="str">
            <v>Cét LT12B</v>
          </cell>
          <cell r="D134">
            <v>1568200</v>
          </cell>
        </row>
        <row r="135">
          <cell r="B135" t="str">
            <v>Cét LT16C</v>
          </cell>
          <cell r="D135">
            <v>4746000</v>
          </cell>
        </row>
        <row r="136">
          <cell r="B136" t="str">
            <v>Cét LT10B</v>
          </cell>
          <cell r="D136">
            <v>1154400</v>
          </cell>
        </row>
        <row r="137">
          <cell r="B137" t="str">
            <v>Cét LT14C</v>
          </cell>
          <cell r="D137">
            <v>4235000</v>
          </cell>
        </row>
        <row r="138">
          <cell r="B138" t="str">
            <v>Cét LT14B</v>
          </cell>
          <cell r="D138">
            <v>3677200</v>
          </cell>
        </row>
        <row r="139">
          <cell r="B139" t="str">
            <v>Dùng cét LT12m</v>
          </cell>
          <cell r="E139">
            <v>76087.436749749191</v>
          </cell>
        </row>
        <row r="140">
          <cell r="B140" t="str">
            <v>Dùng cét LT10m</v>
          </cell>
          <cell r="E140">
            <v>57065.57756231189</v>
          </cell>
        </row>
        <row r="141">
          <cell r="B141" t="str">
            <v>Dùng cét LT14m</v>
          </cell>
          <cell r="E141">
            <v>90354.99450935518</v>
          </cell>
        </row>
        <row r="142">
          <cell r="B142" t="str">
            <v>Dùng cét LT16m</v>
          </cell>
          <cell r="E142">
            <v>109376.85369679247</v>
          </cell>
        </row>
        <row r="143">
          <cell r="B143" t="str">
            <v>Nèi cét bª t«ng mÆt bÝch</v>
          </cell>
          <cell r="E143">
            <v>57228.309621950975</v>
          </cell>
        </row>
        <row r="144">
          <cell r="B144" t="str">
            <v>V/c cét</v>
          </cell>
          <cell r="E144">
            <v>75669.01168933892</v>
          </cell>
        </row>
        <row r="145">
          <cell r="B145" t="str">
            <v>ThÐp c¸c lo¹i</v>
          </cell>
          <cell r="D145">
            <v>4700</v>
          </cell>
          <cell r="E145">
            <v>0</v>
          </cell>
        </row>
        <row r="146">
          <cell r="B146" t="str">
            <v>§Ço ®Êt cÊp II s©u 2m</v>
          </cell>
          <cell r="E146">
            <v>19401.893069922997</v>
          </cell>
        </row>
        <row r="147">
          <cell r="B147" t="str">
            <v>§Ço ®Êt cÊp II s©u 2m-</v>
          </cell>
          <cell r="E147">
            <v>28722.805722398796</v>
          </cell>
        </row>
        <row r="148">
          <cell r="B148" t="str">
            <v>§µo ®Êt tiÕp ®Þa</v>
          </cell>
          <cell r="E148">
            <v>39185.371181035713</v>
          </cell>
        </row>
        <row r="149">
          <cell r="B149" t="str">
            <v>LÊp ®Êt tiÕp ®Þa</v>
          </cell>
          <cell r="E149">
            <v>11793.459626688882</v>
          </cell>
        </row>
        <row r="150">
          <cell r="B150" t="str">
            <v xml:space="preserve">LÊp ®Êt </v>
          </cell>
          <cell r="E150">
            <v>12744.319912255143</v>
          </cell>
        </row>
        <row r="151">
          <cell r="B151" t="str">
            <v>§¾p ®Êt ch©n cét</v>
          </cell>
          <cell r="E151">
            <v>12744.319912255143</v>
          </cell>
        </row>
        <row r="152">
          <cell r="B152" t="str">
            <v>V/c cù ly 100m</v>
          </cell>
          <cell r="C152" t="str">
            <v>kg</v>
          </cell>
          <cell r="E152">
            <v>59.523776318512759</v>
          </cell>
        </row>
        <row r="153">
          <cell r="B153" t="str">
            <v>L¾p xµ nÐo &gt;140kg</v>
          </cell>
          <cell r="E153">
            <v>68247.880659615606</v>
          </cell>
        </row>
        <row r="154">
          <cell r="B154" t="str">
            <v>L¾p xµ nÐo &lt;140kg</v>
          </cell>
          <cell r="E154">
            <v>49435.427897221452</v>
          </cell>
        </row>
        <row r="155">
          <cell r="B155" t="str">
            <v>L¾p xµ nÐo &lt;100kg</v>
          </cell>
          <cell r="E155">
            <v>41229.798352938378</v>
          </cell>
        </row>
        <row r="156">
          <cell r="B156" t="str">
            <v>L¾p xµ ®ì &lt;50kg</v>
          </cell>
          <cell r="E156">
            <v>23016.092850297202</v>
          </cell>
        </row>
        <row r="157">
          <cell r="B157" t="str">
            <v>L¾p xµ ®ì &lt;100kg</v>
          </cell>
          <cell r="E157">
            <v>31021.622921761274</v>
          </cell>
        </row>
        <row r="158">
          <cell r="B158" t="str">
            <v>L¾p xµ ®ì &lt;140kg</v>
          </cell>
          <cell r="E158">
            <v>37226.257737854336</v>
          </cell>
        </row>
        <row r="159">
          <cell r="B159" t="str">
            <v>G¹ch XM M75</v>
          </cell>
          <cell r="D159">
            <v>244315.4</v>
          </cell>
          <cell r="E159">
            <v>28897.584499346169</v>
          </cell>
        </row>
        <row r="160">
          <cell r="B160" t="str">
            <v>L¾p ghÕ</v>
          </cell>
          <cell r="E160">
            <v>37226.257737854336</v>
          </cell>
        </row>
        <row r="161">
          <cell r="B161" t="str">
            <v>L¾p gi¸ ®ì MBA</v>
          </cell>
          <cell r="E161">
            <v>68247.880659615606</v>
          </cell>
        </row>
        <row r="162">
          <cell r="B162" t="str">
            <v>L¾p d©y nÐo</v>
          </cell>
          <cell r="E162">
            <v>23016.092850297202</v>
          </cell>
        </row>
        <row r="163">
          <cell r="B163" t="str">
            <v>L¾p cæ dÒ</v>
          </cell>
          <cell r="E163">
            <v>17011.557507023146</v>
          </cell>
        </row>
        <row r="164">
          <cell r="B164" t="str">
            <v>L¾p thu l«i sõng</v>
          </cell>
          <cell r="E164">
            <v>24317.204771231918</v>
          </cell>
        </row>
        <row r="165">
          <cell r="B165" t="str">
            <v>R¶i tiÕp ®Þa</v>
          </cell>
          <cell r="E165">
            <v>424.95543855421363</v>
          </cell>
        </row>
        <row r="166">
          <cell r="B166" t="str">
            <v>V/c tiÕp ®Þa</v>
          </cell>
          <cell r="E166">
            <v>59523.776318512762</v>
          </cell>
        </row>
        <row r="167">
          <cell r="B167" t="str">
            <v>L¾p mãng nÐo</v>
          </cell>
          <cell r="E167">
            <v>56659.654841056035</v>
          </cell>
        </row>
        <row r="168">
          <cell r="B168" t="str">
            <v>§óc s½n mãng nÐo</v>
          </cell>
          <cell r="E168">
            <v>80005.66363611196</v>
          </cell>
        </row>
        <row r="169">
          <cell r="B169" t="str">
            <v>Chi phÝ chung</v>
          </cell>
          <cell r="D169">
            <v>0.68</v>
          </cell>
        </row>
        <row r="170">
          <cell r="B170" t="str">
            <v>L·i ®Þnh møc</v>
          </cell>
          <cell r="D170">
            <v>6.5642379203734655E-2</v>
          </cell>
        </row>
        <row r="171">
          <cell r="B171" t="str">
            <v>LTP</v>
          </cell>
          <cell r="D171">
            <v>0.03</v>
          </cell>
        </row>
        <row r="172">
          <cell r="B172" t="str">
            <v>V/c Cét 16,18m</v>
          </cell>
          <cell r="D172">
            <v>280000</v>
          </cell>
        </row>
        <row r="173">
          <cell r="B173" t="str">
            <v>V/c Cét 10,12m</v>
          </cell>
          <cell r="D173">
            <v>140000</v>
          </cell>
        </row>
        <row r="174">
          <cell r="B174" t="str">
            <v>M¸y c¾t uèn</v>
          </cell>
          <cell r="G174">
            <v>52795.600000000006</v>
          </cell>
        </row>
        <row r="175">
          <cell r="B175" t="str">
            <v>M¸y hµn</v>
          </cell>
          <cell r="G175">
            <v>103070.00000000001</v>
          </cell>
        </row>
        <row r="176">
          <cell r="B176" t="str">
            <v>§ãng cäc tiÕp ®Þa</v>
          </cell>
          <cell r="E176">
            <v>15464.897163241547</v>
          </cell>
        </row>
        <row r="177">
          <cell r="B177" t="str">
            <v>Mãc treo ch÷ U MT12</v>
          </cell>
          <cell r="D177">
            <v>9000</v>
          </cell>
        </row>
        <row r="178">
          <cell r="B178" t="str">
            <v>Mãc treo ch÷ U MT6</v>
          </cell>
          <cell r="D178">
            <v>7500</v>
          </cell>
        </row>
        <row r="179">
          <cell r="B179" t="str">
            <v>M¾t nèi l¾p r¸p</v>
          </cell>
          <cell r="D179">
            <v>11000</v>
          </cell>
        </row>
        <row r="180">
          <cell r="B180" t="str">
            <v>Vßng treo ®Çu trßn</v>
          </cell>
          <cell r="D180">
            <v>5300</v>
          </cell>
        </row>
        <row r="181">
          <cell r="B181" t="str">
            <v>M¾t nèi kÐp</v>
          </cell>
          <cell r="D181">
            <v>8000</v>
          </cell>
        </row>
        <row r="182">
          <cell r="B182" t="str">
            <v>M¾t nèi trung gian</v>
          </cell>
          <cell r="D182">
            <v>8500</v>
          </cell>
        </row>
        <row r="183">
          <cell r="B183" t="str">
            <v>Sø PC-70</v>
          </cell>
          <cell r="D183">
            <v>62000</v>
          </cell>
        </row>
        <row r="184">
          <cell r="B184" t="str">
            <v>Kho¸ nÐo d©y</v>
          </cell>
          <cell r="D184">
            <v>46000</v>
          </cell>
        </row>
        <row r="185">
          <cell r="B185" t="str">
            <v>D©y ®ång M95</v>
          </cell>
          <cell r="D185">
            <v>34000</v>
          </cell>
        </row>
        <row r="186">
          <cell r="B186" t="str">
            <v>HÖ sè KK</v>
          </cell>
          <cell r="D186">
            <v>1.5</v>
          </cell>
        </row>
        <row r="187">
          <cell r="B187" t="str">
            <v>Hª sè NC</v>
          </cell>
          <cell r="D187">
            <v>1.5511587040232648</v>
          </cell>
        </row>
        <row r="188">
          <cell r="B188" t="str">
            <v>hsvc</v>
          </cell>
          <cell r="D188">
            <v>2.3267380560348974</v>
          </cell>
        </row>
        <row r="190">
          <cell r="B190" t="str">
            <v>L¾p chuçi sø</v>
          </cell>
          <cell r="E190">
            <v>8559.2937288003759</v>
          </cell>
        </row>
        <row r="191">
          <cell r="B191" t="str">
            <v>Mua c«ng t¬ 1 pha 220V-3ö9A</v>
          </cell>
          <cell r="C191" t="str">
            <v>c¸i</v>
          </cell>
          <cell r="D191">
            <v>97000</v>
          </cell>
          <cell r="F191" t="str">
            <v>Nhµ m¸y thiÕt bÞ ®o ®iÖn</v>
          </cell>
        </row>
        <row r="192">
          <cell r="B192" t="str">
            <v>Chi phÝ thö nghiÖm</v>
          </cell>
          <cell r="C192" t="str">
            <v>c¸i</v>
          </cell>
          <cell r="D192">
            <v>8000</v>
          </cell>
          <cell r="F192" t="str">
            <v>Thuª §iÖn lùc Thanh ho¸</v>
          </cell>
        </row>
        <row r="193">
          <cell r="B193" t="str">
            <v>Chi phÝ vËn chuyÓn</v>
          </cell>
          <cell r="C193" t="str">
            <v>c¸i</v>
          </cell>
          <cell r="D193">
            <v>2000</v>
          </cell>
        </row>
        <row r="194">
          <cell r="B194" t="str">
            <v>Chi phÝ l¾p ®Æt</v>
          </cell>
          <cell r="C194" t="str">
            <v>c¸i</v>
          </cell>
          <cell r="E194">
            <v>5092.7642570491826</v>
          </cell>
        </row>
        <row r="196">
          <cell r="B196" t="str">
            <v>D©y AC-50</v>
          </cell>
          <cell r="D196">
            <v>21200</v>
          </cell>
          <cell r="E196">
            <v>1559.6109361451875</v>
          </cell>
        </row>
        <row r="197">
          <cell r="B197" t="str">
            <v>V/c d©y</v>
          </cell>
          <cell r="E197">
            <v>38758.337189818107</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ONGIA"/>
      <sheetName val="CHITIET"/>
      <sheetName val="DGIAgoi1"/>
    </sheetNames>
    <sheetDataSet>
      <sheetData sheetId="0" refreshError="1"/>
      <sheetData sheetId="1" refreshError="1"/>
      <sheetData sheetId="2"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G"/>
      <sheetName val="dongia (2)"/>
      <sheetName val="DONGIA"/>
    </sheetNames>
    <sheetDataSet>
      <sheetData sheetId="0" refreshError="1"/>
      <sheetData sheetId="1" refreshError="1"/>
      <sheetData sheetId="2"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T_10KV"/>
      <sheetName val="TT_0,4KV"/>
      <sheetName val="TBA"/>
      <sheetName val="T_TBA"/>
      <sheetName val="10KV"/>
      <sheetName val="T_10KV"/>
      <sheetName val="0,4KV"/>
      <sheetName val="T_0,4KV"/>
      <sheetName val="CP_Xaylap"/>
      <sheetName val="CP_Thietbi"/>
      <sheetName val="CP_Khac"/>
      <sheetName val="Tong_DT"/>
      <sheetName val="TTVanChuyen"/>
      <sheetName val="Gia_GC_Satthep"/>
      <sheetName val="Phuluc"/>
      <sheetName val="4"/>
      <sheetName val="Tong hop"/>
      <sheetName val="D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ia_GC_Satthep"/>
      <sheetName val="T.Tinh"/>
      <sheetName val="ctTBA"/>
    </sheetNames>
    <sheetDataSet>
      <sheetData sheetId="0" refreshError="1"/>
      <sheetData sheetId="1" refreshError="1"/>
      <sheetData sheetId="2"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TTr"/>
      <sheetName val="BTTr"/>
      <sheetName val="TT35"/>
      <sheetName val="BT35"/>
      <sheetName val="TT04"/>
      <sheetName val="BT04"/>
      <sheetName val="TTCto"/>
      <sheetName val="Cto"/>
      <sheetName val="TH"/>
      <sheetName val="TH TB"/>
      <sheetName val="bia "/>
      <sheetName val="ChiphiVC"/>
      <sheetName val="Gia MBA (2)"/>
      <sheetName val="Gi¸ tñ bï"/>
      <sheetName val="Gia-NC"/>
      <sheetName val="Gia-TN"/>
      <sheetName val="Gia KH"/>
      <sheetName val="GiaVT"/>
      <sheetName val="GiaVT XDCB"/>
      <sheetName val="Gia MBA"/>
      <sheetName val="Cac HS hay SD"/>
      <sheetName val="00000000"/>
      <sheetName val="DGIAgoi1"/>
      <sheetName val="gvl"/>
      <sheetName val="Sheet1"/>
      <sheetName val="Sheet2"/>
      <sheetName val="Sheet3"/>
      <sheetName val="XL4Test5"/>
      <sheetName val="dtct cong"/>
      <sheetName val="Gia"/>
      <sheetName val="tra-vat-lieu"/>
      <sheetName val="VAT &amp; CIT COMIN"/>
      <sheetName val="VN 9"/>
      <sheetName val="VN 8"/>
      <sheetName val="VN 6"/>
      <sheetName val="VN 3"/>
      <sheetName val="VN 1"/>
      <sheetName val="lot 10.1"/>
      <sheetName val="lot 10.2"/>
      <sheetName val="lot 11.1"/>
      <sheetName val="lot 11.2"/>
      <sheetName val="lot 12.1"/>
      <sheetName val="lot 12.2"/>
      <sheetName val="Gia_GC_Satthep"/>
      <sheetName val="Gia_NC"/>
      <sheetName val="COAT&amp;WRAP-QIOT-#3"/>
      <sheetName val="PNT-QUOT-#3"/>
      <sheetName val="gia vt,nc,may"/>
      <sheetName val="TTTram"/>
      <sheetName val="XL4Poppy"/>
    </sheetNames>
    <sheetDataSet>
      <sheetData sheetId="0" refreshError="1"/>
      <sheetData sheetId="1" refreshError="1"/>
      <sheetData sheetId="2" refreshError="1"/>
      <sheetData sheetId="3" refreshError="1"/>
      <sheetData sheetId="4" refreshError="1">
        <row r="20">
          <cell r="J20">
            <v>62276.4</v>
          </cell>
        </row>
        <row r="37">
          <cell r="J37">
            <v>2815</v>
          </cell>
        </row>
      </sheetData>
      <sheetData sheetId="5" refreshError="1"/>
      <sheetData sheetId="6" refreshError="1"/>
      <sheetData sheetId="7" refreshError="1"/>
      <sheetData sheetId="8" refreshError="1"/>
      <sheetData sheetId="9" refreshError="1"/>
      <sheetData sheetId="10" refreshError="1"/>
      <sheetData sheetId="11" refreshError="1"/>
      <sheetData sheetId="12"/>
      <sheetData sheetId="13"/>
      <sheetData sheetId="14"/>
      <sheetData sheetId="15"/>
      <sheetData sheetId="16"/>
      <sheetData sheetId="17"/>
      <sheetData sheetId="18"/>
      <sheetData sheetId="19"/>
      <sheetData sheetId="20"/>
      <sheetData sheetId="21"/>
      <sheetData sheetId="22" refreshError="1"/>
      <sheetData sheetId="23" refreshError="1"/>
      <sheetData sheetId="24"/>
      <sheetData sheetId="25"/>
      <sheetData sheetId="26"/>
      <sheetData sheetId="27"/>
      <sheetData sheetId="28" refreshError="1"/>
      <sheetData sheetId="29" refreshError="1"/>
      <sheetData sheetId="30" refreshError="1"/>
      <sheetData sheetId="31"/>
      <sheetData sheetId="32"/>
      <sheetData sheetId="33"/>
      <sheetData sheetId="34"/>
      <sheetData sheetId="35"/>
      <sheetData sheetId="36"/>
      <sheetData sheetId="37"/>
      <sheetData sheetId="38"/>
      <sheetData sheetId="39"/>
      <sheetData sheetId="40"/>
      <sheetData sheetId="41"/>
      <sheetData sheetId="42"/>
      <sheetData sheetId="43" refreshError="1"/>
      <sheetData sheetId="44"/>
      <sheetData sheetId="45"/>
      <sheetData sheetId="46"/>
      <sheetData sheetId="47"/>
      <sheetData sheetId="48"/>
      <sheetData sheetId="49"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ce-Location"/>
      <sheetName val="bimson"/>
      <sheetName val="tamdiep"/>
      <sheetName val="haiphong"/>
      <sheetName val="tiendo"/>
      <sheetName val="fls guisang"/>
      <sheetName val="td2"/>
      <sheetName val="BS"/>
      <sheetName val="XL4Poppy"/>
    </sheetNames>
    <sheetDataSet>
      <sheetData sheetId="0"/>
      <sheetData sheetId="1"/>
      <sheetData sheetId="2"/>
      <sheetData sheetId="3"/>
      <sheetData sheetId="4"/>
      <sheetData sheetId="5"/>
      <sheetData sheetId="6"/>
      <sheetData sheetId="7"/>
      <sheetData sheetId="8">
        <row r="26">
          <cell r="A26" t="b">
            <v>1</v>
          </cell>
        </row>
      </sheetData>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PA Chon"/>
      <sheetName val="Case 1"/>
      <sheetName val="Case 2"/>
      <sheetName val="Case 3"/>
      <sheetName val="Tong Hop"/>
      <sheetName val="FIRR &amp; NPV"/>
      <sheetName val="Sheet2"/>
      <sheetName val="Sheet3"/>
      <sheetName val="XL4Poppy"/>
      <sheetName val="dtxl"/>
      <sheetName val="TTTram"/>
      <sheetName val="TT04"/>
      <sheetName val="xaydung"/>
      <sheetName val="tongho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NHCHINH"/>
      <sheetName val="TONG HOP VL-NC"/>
      <sheetName val="DON GIA"/>
      <sheetName val="TONG HOP VL-NC TT"/>
      <sheetName val="CHITIET VL-NC-TT -1p"/>
      <sheetName val="TDTKP1"/>
      <sheetName val="KPVC-BD "/>
      <sheetName val="XL4Poppy"/>
      <sheetName val="149-2"/>
    </sheetNames>
    <sheetDataSet>
      <sheetData sheetId="0" refreshError="1">
        <row r="38">
          <cell r="I38">
            <v>3796545</v>
          </cell>
          <cell r="J38">
            <v>7140136</v>
          </cell>
          <cell r="K38">
            <v>6113655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dt"/>
      <sheetName val="Saving"/>
      <sheetName val="Import"/>
      <sheetName val="Imp NVO"/>
      <sheetName val="Spout"/>
      <sheetName val="Blue2L-1L"/>
      <sheetName val="Pink2L-1L"/>
      <sheetName val="Pink2L-1L (4EQ)"/>
      <sheetName val="Yellow2L-1L"/>
      <sheetName val="Purple2L-1L"/>
      <sheetName val="Peach"/>
      <sheetName val="Vanilla-Yellow"/>
      <sheetName val="Price"/>
      <sheetName val="Labor"/>
      <sheetName val="STD labor"/>
      <sheetName val="STD2000"/>
      <sheetName val="Sheet3"/>
      <sheetName val="Freight"/>
      <sheetName val="VFC"/>
      <sheetName val="VFC (2)"/>
      <sheetName val="Sheet4"/>
      <sheetName val="Net ASP"/>
      <sheetName val="CLASSIC"/>
      <sheetName val="Classic - Tradix2"/>
      <sheetName val="Junior Brush"/>
      <sheetName val="Premier"/>
      <sheetName val="Nova"/>
      <sheetName val="TWISTER"/>
      <sheetName val="JEWEL-TWISTER"/>
      <sheetName val="JEWEL_2"/>
      <sheetName val="Jewel (handle)"/>
      <sheetName val="Character"/>
      <sheetName val="LPP (stripe)"/>
      <sheetName val="LPP (China)"/>
      <sheetName val="Tube200"/>
      <sheetName val="Tube110 and 40"/>
      <sheetName val="Tube175"/>
      <sheetName val="Tube250"/>
      <sheetName val="GRF-ICM"/>
      <sheetName val="GRF-ICM 50-100G"/>
      <sheetName val="Gel"/>
      <sheetName val="Junior Paste"/>
      <sheetName val="NewPOS"/>
      <sheetName val="Protex"/>
      <sheetName val="Protex (anti)"/>
      <sheetName val="POSH"/>
      <sheetName val="POSH (2)"/>
      <sheetName val="Sheet1"/>
      <sheetName val="Botanical (2)"/>
      <sheetName val="Conditioner"/>
      <sheetName val="Combo (3)"/>
      <sheetName val="Total"/>
      <sheetName val="Total Tube"/>
      <sheetName val="Sens Tube"/>
      <sheetName val="Total (ICM)"/>
      <sheetName val="CSS (stripe)"/>
      <sheetName val="CSS Vs Stripe"/>
      <sheetName val="Triple act."/>
      <sheetName val="Sensation"/>
      <sheetName val="Sensation (Aus)"/>
      <sheetName val="Sens Vs China-Aus"/>
      <sheetName val="Sh.Cream"/>
      <sheetName val="S.C.(Pal)"/>
      <sheetName val="Sheet2"/>
      <sheetName val="Combo"/>
      <sheetName val="TNHCHIN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row r="3">
          <cell r="B3" t="str">
            <v>PRODUCTION COST SHEET</v>
          </cell>
          <cell r="S3" t="str">
            <v>PRODUCTION COST SHEET</v>
          </cell>
          <cell r="AJ3" t="str">
            <v>PRODUCTION COST SHEET</v>
          </cell>
          <cell r="BA3" t="str">
            <v>PRODUCTION COST SHEET</v>
          </cell>
        </row>
        <row r="4">
          <cell r="O4" t="str">
            <v>Prepared:</v>
          </cell>
          <cell r="P4">
            <v>36538</v>
          </cell>
          <cell r="Z4" t="str">
            <v>Prepared:</v>
          </cell>
          <cell r="AC4" t="str">
            <v>Prepared:</v>
          </cell>
          <cell r="AF4" t="str">
            <v>Prepared:</v>
          </cell>
          <cell r="AG4">
            <v>36538</v>
          </cell>
          <cell r="AQ4" t="str">
            <v>Prepared:</v>
          </cell>
          <cell r="AT4" t="str">
            <v>Prepared:</v>
          </cell>
          <cell r="AW4" t="str">
            <v>Prepared:</v>
          </cell>
          <cell r="AX4">
            <v>36538</v>
          </cell>
          <cell r="BH4" t="str">
            <v>Prepared:</v>
          </cell>
          <cell r="BK4" t="str">
            <v>Prepared:</v>
          </cell>
          <cell r="BN4" t="str">
            <v>Prepared:</v>
          </cell>
          <cell r="BO4">
            <v>36538</v>
          </cell>
        </row>
        <row r="5">
          <cell r="B5" t="str">
            <v>Cost Sheet No.</v>
          </cell>
          <cell r="C5" t="str">
            <v xml:space="preserve"> New POS - Mixing</v>
          </cell>
          <cell r="O5" t="str">
            <v>Reason</v>
          </cell>
          <cell r="P5" t="str">
            <v>Current 2000 - Q1</v>
          </cell>
          <cell r="S5" t="str">
            <v>Cost Sheet No.</v>
          </cell>
          <cell r="T5" t="str">
            <v xml:space="preserve"> New POS - Mixing</v>
          </cell>
          <cell r="Z5" t="str">
            <v>Reason</v>
          </cell>
          <cell r="AC5" t="str">
            <v>Reason</v>
          </cell>
          <cell r="AF5" t="str">
            <v>Reason</v>
          </cell>
          <cell r="AG5" t="str">
            <v>Current 2000 - Q1</v>
          </cell>
          <cell r="AJ5" t="str">
            <v>Cost Sheet No.</v>
          </cell>
          <cell r="AK5" t="str">
            <v xml:space="preserve"> New POS - Mixing</v>
          </cell>
          <cell r="AQ5" t="str">
            <v>Reason</v>
          </cell>
          <cell r="AT5" t="str">
            <v>Reason</v>
          </cell>
          <cell r="AW5" t="str">
            <v>Reason</v>
          </cell>
          <cell r="AX5" t="str">
            <v>Current 2000 - Q1</v>
          </cell>
          <cell r="BA5" t="str">
            <v>Cost Sheet No.</v>
          </cell>
          <cell r="BB5" t="str">
            <v xml:space="preserve"> New POS - Mixing</v>
          </cell>
          <cell r="BH5" t="str">
            <v>Reason</v>
          </cell>
          <cell r="BK5" t="str">
            <v>Reason</v>
          </cell>
          <cell r="BN5" t="str">
            <v>Reason</v>
          </cell>
          <cell r="BO5" t="str">
            <v>Current 2000 - Q1</v>
          </cell>
        </row>
        <row r="6">
          <cell r="B6" t="str">
            <v>PRODUCT</v>
          </cell>
          <cell r="C6" t="str">
            <v>Palmolive Soap</v>
          </cell>
          <cell r="O6" t="str">
            <v>Approved</v>
          </cell>
          <cell r="Q6">
            <v>0</v>
          </cell>
          <cell r="S6" t="str">
            <v>PRODUCT</v>
          </cell>
          <cell r="T6" t="str">
            <v>Palmolive Soap</v>
          </cell>
          <cell r="Z6" t="str">
            <v>Approved:</v>
          </cell>
          <cell r="AC6" t="str">
            <v>Approved:</v>
          </cell>
          <cell r="AF6" t="str">
            <v>Approved:</v>
          </cell>
          <cell r="AJ6" t="str">
            <v>PRODUCT</v>
          </cell>
          <cell r="AK6" t="str">
            <v>Palmolive Soap</v>
          </cell>
          <cell r="AQ6" t="str">
            <v>Approved:</v>
          </cell>
          <cell r="AT6" t="str">
            <v>Approved:</v>
          </cell>
          <cell r="AW6" t="str">
            <v>Approved:</v>
          </cell>
          <cell r="BA6" t="str">
            <v>PRODUCT</v>
          </cell>
          <cell r="BB6" t="str">
            <v>Palmolive Soap</v>
          </cell>
          <cell r="BH6" t="str">
            <v>Approved:</v>
          </cell>
          <cell r="BK6" t="str">
            <v>Approved:</v>
          </cell>
          <cell r="BN6" t="str">
            <v>Approved:</v>
          </cell>
        </row>
        <row r="7">
          <cell r="B7" t="str">
            <v>VARIANT</v>
          </cell>
          <cell r="C7" t="str">
            <v>White</v>
          </cell>
          <cell r="S7" t="str">
            <v>VARIANT</v>
          </cell>
          <cell r="T7" t="str">
            <v>Pink UBS</v>
          </cell>
          <cell r="AJ7" t="str">
            <v>VARIANT</v>
          </cell>
          <cell r="AK7" t="str">
            <v>Green</v>
          </cell>
          <cell r="BA7" t="str">
            <v>VARIANT</v>
          </cell>
          <cell r="BB7" t="str">
            <v>Peach</v>
          </cell>
        </row>
        <row r="9">
          <cell r="H9" t="str">
            <v>BUD 2000</v>
          </cell>
          <cell r="K9" t="str">
            <v>Current 2000</v>
          </cell>
          <cell r="Q9">
            <v>0</v>
          </cell>
          <cell r="Y9" t="str">
            <v>BUD 2000</v>
          </cell>
          <cell r="AB9" t="str">
            <v>Current 2000</v>
          </cell>
          <cell r="AE9">
            <v>0</v>
          </cell>
          <cell r="AP9" t="str">
            <v>BUD 2000</v>
          </cell>
          <cell r="AS9" t="str">
            <v>Current 2000</v>
          </cell>
          <cell r="AV9">
            <v>0</v>
          </cell>
          <cell r="BG9" t="str">
            <v>BUD 2000</v>
          </cell>
          <cell r="BJ9" t="str">
            <v>Current 2000</v>
          </cell>
          <cell r="BM9">
            <v>0</v>
          </cell>
        </row>
        <row r="10">
          <cell r="B10" t="str">
            <v>M#</v>
          </cell>
          <cell r="C10" t="str">
            <v>DESCRIPTION</v>
          </cell>
          <cell r="D10" t="str">
            <v>% Formula</v>
          </cell>
          <cell r="E10" t="str">
            <v>% Loss</v>
          </cell>
          <cell r="F10" t="str">
            <v>Standard</v>
          </cell>
          <cell r="G10" t="str">
            <v>Unit</v>
          </cell>
          <cell r="H10" t="str">
            <v>Std. Unit</v>
          </cell>
          <cell r="I10" t="str">
            <v>Standard</v>
          </cell>
          <cell r="J10" t="str">
            <v>%</v>
          </cell>
          <cell r="K10" t="str">
            <v>Std. Unit</v>
          </cell>
          <cell r="L10" t="str">
            <v>Standard</v>
          </cell>
          <cell r="M10" t="str">
            <v>%</v>
          </cell>
          <cell r="N10" t="str">
            <v>Std. Unit</v>
          </cell>
          <cell r="O10" t="str">
            <v>Standard</v>
          </cell>
          <cell r="P10" t="str">
            <v>Remaks</v>
          </cell>
          <cell r="S10" t="str">
            <v>M #</v>
          </cell>
          <cell r="T10" t="str">
            <v>MATERIAL DESCRIPTION</v>
          </cell>
          <cell r="U10" t="str">
            <v>% Formula</v>
          </cell>
          <cell r="V10" t="str">
            <v>% Loss</v>
          </cell>
          <cell r="W10" t="str">
            <v>Standard</v>
          </cell>
          <cell r="X10" t="str">
            <v>Unit</v>
          </cell>
          <cell r="Y10" t="str">
            <v>Std. Unit</v>
          </cell>
          <cell r="Z10" t="str">
            <v>Standard</v>
          </cell>
          <cell r="AA10" t="str">
            <v>%</v>
          </cell>
          <cell r="AB10" t="str">
            <v>Std. Unit</v>
          </cell>
          <cell r="AC10" t="str">
            <v>Standard</v>
          </cell>
          <cell r="AD10" t="str">
            <v>%</v>
          </cell>
          <cell r="AE10" t="str">
            <v>Std. Unit</v>
          </cell>
          <cell r="AF10" t="str">
            <v>Standard</v>
          </cell>
          <cell r="AG10" t="str">
            <v>Remark</v>
          </cell>
          <cell r="AJ10" t="str">
            <v>M #</v>
          </cell>
          <cell r="AK10" t="str">
            <v>MATERIAL DESCRIPTION</v>
          </cell>
          <cell r="AL10" t="str">
            <v>% Formula</v>
          </cell>
          <cell r="AM10" t="str">
            <v>% Loss</v>
          </cell>
          <cell r="AN10" t="str">
            <v>Standard</v>
          </cell>
          <cell r="AO10" t="str">
            <v>Unit</v>
          </cell>
          <cell r="AP10" t="str">
            <v>Std. Unit</v>
          </cell>
          <cell r="AQ10" t="str">
            <v>Standard</v>
          </cell>
          <cell r="AR10" t="str">
            <v>%</v>
          </cell>
          <cell r="AS10" t="str">
            <v>Std. Unit</v>
          </cell>
          <cell r="AT10" t="str">
            <v>Standard</v>
          </cell>
          <cell r="AU10" t="str">
            <v>%</v>
          </cell>
          <cell r="AV10" t="str">
            <v>Std. Unit</v>
          </cell>
          <cell r="AW10" t="str">
            <v>Standard</v>
          </cell>
          <cell r="AX10" t="str">
            <v>Remark</v>
          </cell>
          <cell r="BA10" t="str">
            <v>M #</v>
          </cell>
          <cell r="BB10" t="str">
            <v>MATERIAL DESCRIPTION</v>
          </cell>
          <cell r="BC10" t="str">
            <v>% Formula</v>
          </cell>
          <cell r="BD10" t="str">
            <v>% Loss</v>
          </cell>
          <cell r="BE10" t="str">
            <v>Standard</v>
          </cell>
          <cell r="BF10" t="str">
            <v>Unit</v>
          </cell>
          <cell r="BG10" t="str">
            <v>Std. Unit</v>
          </cell>
          <cell r="BH10" t="str">
            <v>Standard</v>
          </cell>
          <cell r="BI10" t="str">
            <v>%</v>
          </cell>
          <cell r="BJ10" t="str">
            <v>Std. Unit</v>
          </cell>
          <cell r="BK10" t="str">
            <v>Standard</v>
          </cell>
          <cell r="BL10" t="str">
            <v>%</v>
          </cell>
          <cell r="BM10" t="str">
            <v>Std. Unit</v>
          </cell>
          <cell r="BN10" t="str">
            <v>Standard</v>
          </cell>
          <cell r="BO10" t="str">
            <v>Remark</v>
          </cell>
        </row>
        <row r="11">
          <cell r="D11" t="str">
            <v>Amount</v>
          </cell>
          <cell r="E11" t="str">
            <v>Allowance</v>
          </cell>
          <cell r="F11" t="str">
            <v>Usage</v>
          </cell>
          <cell r="H11" t="str">
            <v>Price</v>
          </cell>
          <cell r="I11" t="str">
            <v>Cost</v>
          </cell>
          <cell r="J11" t="str">
            <v>VFC</v>
          </cell>
          <cell r="K11" t="str">
            <v>Price</v>
          </cell>
          <cell r="L11" t="str">
            <v>Cost</v>
          </cell>
          <cell r="M11" t="str">
            <v>VFC</v>
          </cell>
          <cell r="N11" t="str">
            <v>Price</v>
          </cell>
          <cell r="O11" t="str">
            <v>Cost</v>
          </cell>
          <cell r="U11" t="str">
            <v>Amount</v>
          </cell>
          <cell r="V11" t="str">
            <v>Allowance</v>
          </cell>
          <cell r="W11" t="str">
            <v>Usage</v>
          </cell>
          <cell r="Y11" t="str">
            <v>Price</v>
          </cell>
          <cell r="Z11" t="str">
            <v>Cost</v>
          </cell>
          <cell r="AA11" t="str">
            <v>VFC</v>
          </cell>
          <cell r="AB11" t="str">
            <v>Price</v>
          </cell>
          <cell r="AC11" t="str">
            <v>Cost</v>
          </cell>
          <cell r="AD11" t="str">
            <v>VFC</v>
          </cell>
          <cell r="AE11" t="str">
            <v>Price</v>
          </cell>
          <cell r="AF11" t="str">
            <v>Cost</v>
          </cell>
          <cell r="AL11" t="str">
            <v>Amount</v>
          </cell>
          <cell r="AM11" t="str">
            <v>Allowance</v>
          </cell>
          <cell r="AN11" t="str">
            <v>Usage</v>
          </cell>
          <cell r="AP11" t="str">
            <v>Price</v>
          </cell>
          <cell r="AQ11" t="str">
            <v>Cost</v>
          </cell>
          <cell r="AR11" t="str">
            <v>VFC</v>
          </cell>
          <cell r="AS11" t="str">
            <v>Price</v>
          </cell>
          <cell r="AT11" t="str">
            <v>Cost</v>
          </cell>
          <cell r="AU11" t="str">
            <v>VFC</v>
          </cell>
          <cell r="AV11" t="str">
            <v>Price</v>
          </cell>
          <cell r="AW11" t="str">
            <v>Cost</v>
          </cell>
          <cell r="BC11" t="str">
            <v>Amount</v>
          </cell>
          <cell r="BD11" t="str">
            <v>Allowance</v>
          </cell>
          <cell r="BE11" t="str">
            <v>Usage</v>
          </cell>
          <cell r="BG11" t="str">
            <v>Price</v>
          </cell>
          <cell r="BH11" t="str">
            <v>Cost</v>
          </cell>
          <cell r="BI11" t="str">
            <v>VFC</v>
          </cell>
          <cell r="BJ11" t="str">
            <v>Price</v>
          </cell>
          <cell r="BK11" t="str">
            <v>Cost</v>
          </cell>
          <cell r="BL11" t="str">
            <v>VFC</v>
          </cell>
          <cell r="BM11" t="str">
            <v>Price</v>
          </cell>
          <cell r="BN11" t="str">
            <v>Cost</v>
          </cell>
        </row>
        <row r="12">
          <cell r="C12" t="str">
            <v>A.   RAW MATERIALS</v>
          </cell>
          <cell r="H12">
            <v>0.72518340000000003</v>
          </cell>
          <cell r="K12">
            <v>0.72518340000000003</v>
          </cell>
        </row>
        <row r="13">
          <cell r="B13" t="str">
            <v>RM22591</v>
          </cell>
          <cell r="C13" t="str">
            <v>Soap Noodles</v>
          </cell>
          <cell r="D13">
            <v>97.544700000000006</v>
          </cell>
          <cell r="E13">
            <v>1</v>
          </cell>
          <cell r="F13">
            <v>98.520147000000009</v>
          </cell>
          <cell r="G13" t="str">
            <v>kg</v>
          </cell>
          <cell r="H13">
            <v>0.65190000000000003</v>
          </cell>
          <cell r="I13">
            <v>64.225283829300011</v>
          </cell>
          <cell r="J13">
            <v>0.48928887381578801</v>
          </cell>
          <cell r="K13">
            <v>0.58100050130338887</v>
          </cell>
          <cell r="L13">
            <v>57.240254795483565</v>
          </cell>
          <cell r="M13">
            <v>0.46507295699070239</v>
          </cell>
          <cell r="N13">
            <v>0.58100050130338887</v>
          </cell>
          <cell r="O13">
            <v>57.240254795483565</v>
          </cell>
          <cell r="P13" t="str">
            <v>=0.47113/0.9974*1.23</v>
          </cell>
          <cell r="S13" t="str">
            <v>RM22591</v>
          </cell>
          <cell r="T13" t="str">
            <v xml:space="preserve">Soap Noodles </v>
          </cell>
          <cell r="U13">
            <v>97.448679999999996</v>
          </cell>
          <cell r="V13">
            <v>1</v>
          </cell>
          <cell r="W13">
            <v>98.42316679999999</v>
          </cell>
          <cell r="X13" t="str">
            <v>kg</v>
          </cell>
          <cell r="Y13">
            <v>0.65190000000000003</v>
          </cell>
          <cell r="Z13">
            <v>64.162062436919996</v>
          </cell>
          <cell r="AA13">
            <v>0.49498581234629324</v>
          </cell>
          <cell r="AB13">
            <v>0.58100050130338887</v>
          </cell>
          <cell r="AC13">
            <v>57.183909250667057</v>
          </cell>
          <cell r="AD13">
            <v>0.47092078163681095</v>
          </cell>
          <cell r="AE13">
            <v>0.58100050130338887</v>
          </cell>
          <cell r="AF13">
            <v>57.183909250667057</v>
          </cell>
          <cell r="AG13" t="str">
            <v>=0.47113/0.9974*1.23</v>
          </cell>
          <cell r="AJ13" t="str">
            <v>RM22591</v>
          </cell>
          <cell r="AK13" t="str">
            <v xml:space="preserve">Soap Noodles </v>
          </cell>
          <cell r="AL13">
            <v>97.898750000000007</v>
          </cell>
          <cell r="AM13">
            <v>1</v>
          </cell>
          <cell r="AN13">
            <v>98.877737500000009</v>
          </cell>
          <cell r="AO13" t="str">
            <v>kg</v>
          </cell>
          <cell r="AP13">
            <v>0.65190000000000003</v>
          </cell>
          <cell r="AQ13">
            <v>64.458397076250009</v>
          </cell>
          <cell r="AR13">
            <v>0.5183121510288935</v>
          </cell>
          <cell r="AS13">
            <v>0.58100050130338887</v>
          </cell>
          <cell r="AT13">
            <v>57.448015055244895</v>
          </cell>
          <cell r="AU13">
            <v>0.49403121728618637</v>
          </cell>
          <cell r="AV13">
            <v>0.58100050130338887</v>
          </cell>
          <cell r="AW13">
            <v>57.448015055244895</v>
          </cell>
          <cell r="AX13" t="str">
            <v>=0.47113/0.9974*1.23</v>
          </cell>
          <cell r="BA13" t="str">
            <v>RM22591</v>
          </cell>
          <cell r="BB13" t="str">
            <v xml:space="preserve">Soap Noodles </v>
          </cell>
          <cell r="BC13">
            <v>97.689850000000007</v>
          </cell>
          <cell r="BD13">
            <v>1</v>
          </cell>
          <cell r="BE13">
            <v>98.666748500000011</v>
          </cell>
          <cell r="BF13" t="str">
            <v>kg</v>
          </cell>
          <cell r="BG13">
            <v>0.65190000000000003</v>
          </cell>
          <cell r="BH13">
            <v>64.320853347150006</v>
          </cell>
          <cell r="BI13">
            <v>0.49977696249576425</v>
          </cell>
          <cell r="BJ13">
            <v>0.58100050130338887</v>
          </cell>
          <cell r="BK13">
            <v>57.3254303404754</v>
          </cell>
          <cell r="BL13">
            <v>0.47478738447159646</v>
          </cell>
          <cell r="BM13">
            <v>0.58100050130338887</v>
          </cell>
          <cell r="BN13">
            <v>57.3254303404754</v>
          </cell>
          <cell r="BO13" t="str">
            <v>=0.47113/0.9974*1.23</v>
          </cell>
        </row>
        <row r="14">
          <cell r="E14">
            <v>1</v>
          </cell>
          <cell r="F14">
            <v>0</v>
          </cell>
          <cell r="G14" t="str">
            <v>kg</v>
          </cell>
          <cell r="I14">
            <v>0</v>
          </cell>
          <cell r="J14">
            <v>0</v>
          </cell>
          <cell r="L14">
            <v>0</v>
          </cell>
          <cell r="M14">
            <v>0</v>
          </cell>
          <cell r="N14">
            <v>0</v>
          </cell>
          <cell r="O14">
            <v>0</v>
          </cell>
          <cell r="S14" t="str">
            <v>RM6148</v>
          </cell>
          <cell r="T14" t="str">
            <v>Formalin</v>
          </cell>
          <cell r="U14">
            <v>4.3E-3</v>
          </cell>
          <cell r="V14">
            <v>1</v>
          </cell>
          <cell r="W14">
            <v>4.3429999999999996E-3</v>
          </cell>
          <cell r="X14" t="str">
            <v>kg</v>
          </cell>
          <cell r="Y14">
            <v>0.24878048780487805</v>
          </cell>
          <cell r="Z14">
            <v>1.0804536585365852E-3</v>
          </cell>
          <cell r="AA14">
            <v>8.335287420024039E-6</v>
          </cell>
          <cell r="AB14">
            <v>0.24242424242424243</v>
          </cell>
          <cell r="AC14">
            <v>1.0528484848484848E-3</v>
          </cell>
          <cell r="AD14">
            <v>8.6704151207395273E-6</v>
          </cell>
          <cell r="AE14">
            <v>0.24242424242424243</v>
          </cell>
          <cell r="AF14">
            <v>1.0528484848484848E-3</v>
          </cell>
          <cell r="AG14" t="str">
            <v>=3400/14025</v>
          </cell>
          <cell r="AM14">
            <v>1</v>
          </cell>
          <cell r="AN14">
            <v>0</v>
          </cell>
          <cell r="AO14" t="str">
            <v>kg</v>
          </cell>
          <cell r="AQ14">
            <v>0</v>
          </cell>
          <cell r="AR14">
            <v>0</v>
          </cell>
          <cell r="AT14">
            <v>0</v>
          </cell>
          <cell r="AU14">
            <v>0</v>
          </cell>
          <cell r="AV14">
            <v>0</v>
          </cell>
          <cell r="AW14">
            <v>0</v>
          </cell>
          <cell r="BD14">
            <v>1</v>
          </cell>
          <cell r="BE14">
            <v>0</v>
          </cell>
          <cell r="BF14" t="str">
            <v>kg</v>
          </cell>
          <cell r="BH14">
            <v>0</v>
          </cell>
          <cell r="BI14">
            <v>0</v>
          </cell>
          <cell r="BK14">
            <v>0</v>
          </cell>
          <cell r="BL14">
            <v>0</v>
          </cell>
          <cell r="BM14">
            <v>0</v>
          </cell>
          <cell r="BN14">
            <v>0</v>
          </cell>
        </row>
        <row r="15">
          <cell r="B15" t="str">
            <v>RM5006</v>
          </cell>
          <cell r="C15" t="str">
            <v>Titanium Dioxide, Anatase</v>
          </cell>
          <cell r="D15">
            <v>0.35</v>
          </cell>
          <cell r="E15">
            <v>1</v>
          </cell>
          <cell r="F15">
            <v>0.35349999999999998</v>
          </cell>
          <cell r="G15" t="str">
            <v>kg</v>
          </cell>
          <cell r="H15">
            <v>2.0853658536585367</v>
          </cell>
          <cell r="I15">
            <v>0.73717682926829264</v>
          </cell>
          <cell r="J15">
            <v>5.6160502389438413E-3</v>
          </cell>
          <cell r="K15">
            <v>2.0320855614973263</v>
          </cell>
          <cell r="L15">
            <v>0.71834224598930485</v>
          </cell>
          <cell r="M15">
            <v>5.8364791293687357E-3</v>
          </cell>
          <cell r="N15">
            <v>2.0320855614973263</v>
          </cell>
          <cell r="O15">
            <v>0.71834224598930485</v>
          </cell>
          <cell r="P15" t="str">
            <v>=28500/14025</v>
          </cell>
          <cell r="S15" t="str">
            <v>RM5006</v>
          </cell>
          <cell r="T15" t="str">
            <v>Titanium Dioxide, Anatase</v>
          </cell>
          <cell r="U15">
            <v>0.43990000000000001</v>
          </cell>
          <cell r="V15">
            <v>1</v>
          </cell>
          <cell r="W15">
            <v>0.444299</v>
          </cell>
          <cell r="X15" t="str">
            <v>kg</v>
          </cell>
          <cell r="Y15">
            <v>2.0853658536585367</v>
          </cell>
          <cell r="Z15">
            <v>0.92652596341463422</v>
          </cell>
          <cell r="AA15">
            <v>7.1477940272198634E-3</v>
          </cell>
          <cell r="AB15">
            <v>2.0320855614973263</v>
          </cell>
          <cell r="AC15">
            <v>0.90285358288770057</v>
          </cell>
          <cell r="AD15">
            <v>7.4351774918590676E-3</v>
          </cell>
          <cell r="AE15">
            <v>2.0320855614973263</v>
          </cell>
          <cell r="AF15">
            <v>0.90285358288770057</v>
          </cell>
          <cell r="AG15" t="str">
            <v>=28500/14025</v>
          </cell>
          <cell r="AJ15" t="str">
            <v>RM5006</v>
          </cell>
          <cell r="AK15" t="str">
            <v>Titanium Dioxide, Anatase</v>
          </cell>
          <cell r="AL15">
            <v>0.47</v>
          </cell>
          <cell r="AM15">
            <v>1</v>
          </cell>
          <cell r="AN15">
            <v>0.47469999999999996</v>
          </cell>
          <cell r="AO15" t="str">
            <v>kg</v>
          </cell>
          <cell r="AP15">
            <v>2.0853658536585367</v>
          </cell>
          <cell r="AQ15">
            <v>0.98992317073170721</v>
          </cell>
          <cell r="AR15">
            <v>7.9600056974476613E-3</v>
          </cell>
          <cell r="AS15">
            <v>2.0320855614973263</v>
          </cell>
          <cell r="AT15">
            <v>0.96463101604278068</v>
          </cell>
          <cell r="AU15">
            <v>8.295462160517535E-3</v>
          </cell>
          <cell r="AV15">
            <v>2.0320855614973263</v>
          </cell>
          <cell r="AW15">
            <v>0.96463101604278068</v>
          </cell>
          <cell r="AX15" t="str">
            <v>=28500/14025</v>
          </cell>
          <cell r="BA15" t="str">
            <v>RM5006</v>
          </cell>
          <cell r="BB15" t="str">
            <v>Titanium Dioxide, Anatase</v>
          </cell>
          <cell r="BC15">
            <v>0.5</v>
          </cell>
          <cell r="BD15">
            <v>1</v>
          </cell>
          <cell r="BE15">
            <v>0.505</v>
          </cell>
          <cell r="BF15" t="str">
            <v>kg</v>
          </cell>
          <cell r="BG15">
            <v>2.0853658536585367</v>
          </cell>
          <cell r="BH15">
            <v>1.0531097560975611</v>
          </cell>
          <cell r="BI15">
            <v>8.1827271823721043E-3</v>
          </cell>
          <cell r="BJ15">
            <v>2.0320855614973263</v>
          </cell>
          <cell r="BK15">
            <v>1.0262032085561499</v>
          </cell>
          <cell r="BL15">
            <v>8.4993402480002048E-3</v>
          </cell>
          <cell r="BM15">
            <v>2.0320855614973263</v>
          </cell>
          <cell r="BN15">
            <v>1.0262032085561499</v>
          </cell>
          <cell r="BO15" t="str">
            <v>=28500/14025</v>
          </cell>
        </row>
        <row r="16">
          <cell r="E16">
            <v>1</v>
          </cell>
          <cell r="F16">
            <v>0</v>
          </cell>
          <cell r="G16" t="str">
            <v>kg</v>
          </cell>
          <cell r="I16">
            <v>0</v>
          </cell>
          <cell r="J16">
            <v>0</v>
          </cell>
          <cell r="L16">
            <v>0</v>
          </cell>
          <cell r="M16">
            <v>0</v>
          </cell>
          <cell r="N16">
            <v>0</v>
          </cell>
          <cell r="O16">
            <v>0</v>
          </cell>
          <cell r="S16" t="str">
            <v>RM6438</v>
          </cell>
          <cell r="T16" t="str">
            <v>Glycerine</v>
          </cell>
          <cell r="U16">
            <v>7.0499999999999993E-2</v>
          </cell>
          <cell r="V16">
            <v>1</v>
          </cell>
          <cell r="W16">
            <v>7.1204999999999991E-2</v>
          </cell>
          <cell r="X16" t="str">
            <v>kg</v>
          </cell>
          <cell r="Y16">
            <v>1.1659999999999999</v>
          </cell>
          <cell r="Z16">
            <v>8.3025029999999986E-2</v>
          </cell>
          <cell r="AA16">
            <v>6.4050640454440676E-4</v>
          </cell>
          <cell r="AB16">
            <v>1.0886199999999999</v>
          </cell>
          <cell r="AC16">
            <v>7.751518709999998E-2</v>
          </cell>
          <cell r="AD16">
            <v>6.3835286842390583E-4</v>
          </cell>
          <cell r="AE16">
            <v>1.0886199999999999</v>
          </cell>
          <cell r="AF16">
            <v>7.751518709999998E-2</v>
          </cell>
          <cell r="AG16" t="str">
            <v>=1.027*1.06</v>
          </cell>
          <cell r="AJ16" t="str">
            <v>RM55339</v>
          </cell>
          <cell r="AK16" t="str">
            <v>Viscofil Green 2GL</v>
          </cell>
          <cell r="AL16">
            <v>6.45E-3</v>
          </cell>
          <cell r="AM16">
            <v>1</v>
          </cell>
          <cell r="AN16">
            <v>6.5145000000000003E-3</v>
          </cell>
          <cell r="AO16" t="str">
            <v>kg</v>
          </cell>
          <cell r="AP16">
            <v>58</v>
          </cell>
          <cell r="AQ16">
            <v>0.37784100000000004</v>
          </cell>
          <cell r="AR16">
            <v>3.0382322604957574E-3</v>
          </cell>
          <cell r="AS16">
            <v>58</v>
          </cell>
          <cell r="AT16">
            <v>0.37784100000000004</v>
          </cell>
          <cell r="AU16">
            <v>3.2492897968906895E-3</v>
          </cell>
          <cell r="AV16">
            <v>58</v>
          </cell>
          <cell r="AW16">
            <v>0.37784100000000004</v>
          </cell>
          <cell r="AX16" t="str">
            <v>$58+0%</v>
          </cell>
          <cell r="BA16" t="str">
            <v>RM6438</v>
          </cell>
          <cell r="BB16" t="str">
            <v>Glycerine</v>
          </cell>
          <cell r="BD16">
            <v>1</v>
          </cell>
          <cell r="BE16">
            <v>0</v>
          </cell>
          <cell r="BF16" t="str">
            <v>kg</v>
          </cell>
          <cell r="BG16">
            <v>1.1659999999999999</v>
          </cell>
          <cell r="BH16">
            <v>0</v>
          </cell>
          <cell r="BI16">
            <v>0</v>
          </cell>
          <cell r="BJ16">
            <v>1.0886199999999999</v>
          </cell>
          <cell r="BK16">
            <v>0</v>
          </cell>
          <cell r="BL16">
            <v>0</v>
          </cell>
          <cell r="BM16">
            <v>1.0886199999999999</v>
          </cell>
          <cell r="BN16">
            <v>0</v>
          </cell>
          <cell r="BO16" t="str">
            <v>=1.027*1.06</v>
          </cell>
        </row>
        <row r="17">
          <cell r="B17" t="str">
            <v>RM9606</v>
          </cell>
          <cell r="C17" t="str">
            <v>Monoi de Tahiti</v>
          </cell>
          <cell r="D17">
            <v>0.05</v>
          </cell>
          <cell r="E17">
            <v>1</v>
          </cell>
          <cell r="F17">
            <v>5.0500000000000003E-2</v>
          </cell>
          <cell r="G17" t="str">
            <v>kg</v>
          </cell>
          <cell r="H17">
            <v>25.802931000000001</v>
          </cell>
          <cell r="I17">
            <v>1.3030480155000002</v>
          </cell>
          <cell r="J17">
            <v>9.9270389793284213E-3</v>
          </cell>
          <cell r="K17">
            <v>25.802931000000001</v>
          </cell>
          <cell r="L17">
            <v>1.3030480155000002</v>
          </cell>
          <cell r="M17">
            <v>1.0587171490320967E-2</v>
          </cell>
          <cell r="N17">
            <v>25.802931000000001</v>
          </cell>
          <cell r="O17">
            <v>1.3030480155000002</v>
          </cell>
          <cell r="P17" t="str">
            <v>=19.4007*1.33+0%</v>
          </cell>
          <cell r="S17" t="str">
            <v>RM6943</v>
          </cell>
          <cell r="T17" t="str">
            <v>Iso-octylStearate</v>
          </cell>
          <cell r="U17">
            <v>3.5000000000000003E-2</v>
          </cell>
          <cell r="V17">
            <v>1</v>
          </cell>
          <cell r="W17">
            <v>3.5350000000000006E-2</v>
          </cell>
          <cell r="X17" t="str">
            <v>kg</v>
          </cell>
          <cell r="Y17">
            <v>3.3306000000000004</v>
          </cell>
          <cell r="Z17">
            <v>0.11773671000000004</v>
          </cell>
          <cell r="AA17">
            <v>9.0829376159198665E-4</v>
          </cell>
          <cell r="AB17">
            <v>3.3306000000000004</v>
          </cell>
          <cell r="AC17">
            <v>0.11773671000000004</v>
          </cell>
          <cell r="AD17">
            <v>9.6958504983462256E-4</v>
          </cell>
          <cell r="AE17">
            <v>3.3306000000000004</v>
          </cell>
          <cell r="AF17">
            <v>0.11773671000000004</v>
          </cell>
          <cell r="AG17" t="str">
            <v>=3.05*1.05*1.04+0%</v>
          </cell>
          <cell r="AJ17" t="str">
            <v>M-05748-soap</v>
          </cell>
          <cell r="AK17" t="str">
            <v>D&amp;C orange No.4 (CI 15510)</v>
          </cell>
          <cell r="AL17">
            <v>2.9999999999999997E-4</v>
          </cell>
          <cell r="AM17">
            <v>1</v>
          </cell>
          <cell r="AN17">
            <v>3.0299999999999999E-4</v>
          </cell>
          <cell r="AO17" t="str">
            <v>kg</v>
          </cell>
          <cell r="AP17">
            <v>37.259740000000001</v>
          </cell>
          <cell r="AQ17">
            <v>1.128970122E-2</v>
          </cell>
          <cell r="AR17">
            <v>9.0780869354999333E-5</v>
          </cell>
          <cell r="AS17">
            <v>37.259740000000001</v>
          </cell>
          <cell r="AT17">
            <v>1.128970122E-2</v>
          </cell>
          <cell r="AU17">
            <v>9.7087163606094547E-5</v>
          </cell>
          <cell r="AV17">
            <v>37.259740000000001</v>
          </cell>
          <cell r="AW17">
            <v>1.128970122E-2</v>
          </cell>
          <cell r="AX17" t="str">
            <v>LC $37.25974</v>
          </cell>
          <cell r="BA17" t="str">
            <v>M-05524</v>
          </cell>
          <cell r="BB17" t="str">
            <v>FD&amp;C Red No.4 (CI 14700)</v>
          </cell>
          <cell r="BD17">
            <v>1</v>
          </cell>
          <cell r="BE17">
            <v>0</v>
          </cell>
          <cell r="BF17" t="str">
            <v>kg</v>
          </cell>
          <cell r="BG17">
            <v>116.67532</v>
          </cell>
          <cell r="BH17">
            <v>0</v>
          </cell>
          <cell r="BI17">
            <v>0</v>
          </cell>
          <cell r="BJ17">
            <v>70.040000000000006</v>
          </cell>
          <cell r="BK17">
            <v>0</v>
          </cell>
          <cell r="BL17">
            <v>0</v>
          </cell>
          <cell r="BM17">
            <v>70.040000000000006</v>
          </cell>
          <cell r="BN17">
            <v>0</v>
          </cell>
          <cell r="BO17" t="str">
            <v>=68*1.03</v>
          </cell>
        </row>
        <row r="18">
          <cell r="B18" t="str">
            <v>M-05520</v>
          </cell>
          <cell r="C18" t="str">
            <v>FD&amp;C Blue No. 1</v>
          </cell>
          <cell r="E18">
            <v>1</v>
          </cell>
          <cell r="F18">
            <v>0</v>
          </cell>
          <cell r="G18" t="str">
            <v>kg</v>
          </cell>
          <cell r="I18">
            <v>0</v>
          </cell>
          <cell r="J18">
            <v>0</v>
          </cell>
          <cell r="L18">
            <v>0</v>
          </cell>
          <cell r="M18">
            <v>0</v>
          </cell>
          <cell r="N18">
            <v>0</v>
          </cell>
          <cell r="O18">
            <v>0</v>
          </cell>
          <cell r="P18" t="str">
            <v>=52*1.1</v>
          </cell>
          <cell r="S18" t="str">
            <v>M-05524</v>
          </cell>
          <cell r="T18" t="str">
            <v>FD&amp;C Red No.4 (CI 14700)</v>
          </cell>
          <cell r="U18">
            <v>1.3000000000000002E-4</v>
          </cell>
          <cell r="V18">
            <v>1</v>
          </cell>
          <cell r="W18">
            <v>1.3130000000000002E-4</v>
          </cell>
          <cell r="X18" t="str">
            <v>kg</v>
          </cell>
          <cell r="Y18">
            <v>116.67532</v>
          </cell>
          <cell r="Z18">
            <v>1.5319469516000002E-2</v>
          </cell>
          <cell r="AA18">
            <v>1.1818385779831461E-4</v>
          </cell>
          <cell r="AB18">
            <v>70.040000000000006</v>
          </cell>
          <cell r="AC18">
            <v>9.196252000000002E-3</v>
          </cell>
          <cell r="AD18">
            <v>7.5732950697465101E-5</v>
          </cell>
          <cell r="AE18">
            <v>70.040000000000006</v>
          </cell>
          <cell r="AF18">
            <v>9.196252000000002E-3</v>
          </cell>
          <cell r="AG18" t="str">
            <v>=68*1.03</v>
          </cell>
          <cell r="AJ18" t="str">
            <v>RM6561</v>
          </cell>
          <cell r="AK18" t="str">
            <v>Coco Betaine</v>
          </cell>
          <cell r="AL18">
            <v>0.12</v>
          </cell>
          <cell r="AM18">
            <v>1</v>
          </cell>
          <cell r="AN18">
            <v>0.1212</v>
          </cell>
          <cell r="AO18" t="str">
            <v>kg</v>
          </cell>
          <cell r="AP18">
            <v>1.6926000000000003</v>
          </cell>
          <cell r="AQ18">
            <v>0.20514312000000004</v>
          </cell>
          <cell r="AR18">
            <v>1.6495627663560928E-3</v>
          </cell>
          <cell r="AS18">
            <v>1.23</v>
          </cell>
          <cell r="AT18">
            <v>0.14907600000000001</v>
          </cell>
          <cell r="AU18">
            <v>1.2819972574741132E-3</v>
          </cell>
          <cell r="AV18">
            <v>1.23</v>
          </cell>
          <cell r="AW18">
            <v>0.14907600000000001</v>
          </cell>
          <cell r="AX18" t="str">
            <v>=1*1.23</v>
          </cell>
          <cell r="BA18" t="str">
            <v>M-05748-soap</v>
          </cell>
          <cell r="BB18" t="str">
            <v>D&amp;C orange No.4 (CI 15510)</v>
          </cell>
          <cell r="BC18">
            <v>5.6499999999999996E-3</v>
          </cell>
          <cell r="BD18">
            <v>1</v>
          </cell>
          <cell r="BE18">
            <v>5.7064999999999998E-3</v>
          </cell>
          <cell r="BF18" t="str">
            <v>kg</v>
          </cell>
          <cell r="BG18">
            <v>37.259740000000001</v>
          </cell>
          <cell r="BH18">
            <v>0.21262270630999999</v>
          </cell>
          <cell r="BI18">
            <v>1.6520914258353692E-3</v>
          </cell>
          <cell r="BJ18">
            <v>37.259740000000001</v>
          </cell>
          <cell r="BK18">
            <v>0.21262270630999999</v>
          </cell>
          <cell r="BL18">
            <v>1.7610086484936473E-3</v>
          </cell>
          <cell r="BM18">
            <v>37.259740000000001</v>
          </cell>
          <cell r="BN18">
            <v>0.21262270630999999</v>
          </cell>
          <cell r="BO18" t="str">
            <v>LC $37.25974</v>
          </cell>
        </row>
        <row r="19">
          <cell r="B19" t="str">
            <v>RM6148</v>
          </cell>
          <cell r="C19" t="str">
            <v>Formalin</v>
          </cell>
          <cell r="D19">
            <v>5.3E-3</v>
          </cell>
          <cell r="E19">
            <v>1</v>
          </cell>
          <cell r="F19">
            <v>5.3530000000000001E-3</v>
          </cell>
          <cell r="G19" t="str">
            <v>kg</v>
          </cell>
          <cell r="H19">
            <v>0.24878048780487805</v>
          </cell>
          <cell r="I19">
            <v>1.3317219512195121E-3</v>
          </cell>
          <cell r="J19">
            <v>1.0145486246192284E-5</v>
          </cell>
          <cell r="K19">
            <v>0.24242424242424243</v>
          </cell>
          <cell r="L19">
            <v>1.2976969696969697E-3</v>
          </cell>
          <cell r="M19">
            <v>1.0543694627691691E-5</v>
          </cell>
          <cell r="N19">
            <v>0.24242424242424243</v>
          </cell>
          <cell r="O19">
            <v>1.2976969696969697E-3</v>
          </cell>
          <cell r="P19" t="str">
            <v>=3400/14025</v>
          </cell>
          <cell r="S19" t="str">
            <v>RM5536</v>
          </cell>
          <cell r="T19" t="str">
            <v>CI red 52</v>
          </cell>
          <cell r="U19">
            <v>1.2999999999999999E-3</v>
          </cell>
          <cell r="V19">
            <v>1</v>
          </cell>
          <cell r="W19">
            <v>1.3129999999999999E-3</v>
          </cell>
          <cell r="X19" t="str">
            <v>kg</v>
          </cell>
          <cell r="Y19">
            <v>176.87</v>
          </cell>
          <cell r="Z19">
            <v>0.23223031</v>
          </cell>
          <cell r="AA19">
            <v>1.7915681678685692E-3</v>
          </cell>
          <cell r="AB19">
            <v>176.87</v>
          </cell>
          <cell r="AC19">
            <v>0.23223031</v>
          </cell>
          <cell r="AD19">
            <v>1.9124624485809037E-3</v>
          </cell>
          <cell r="AE19">
            <v>176.87</v>
          </cell>
          <cell r="AF19">
            <v>0.23223031</v>
          </cell>
          <cell r="AG19" t="str">
            <v>LC $176.87</v>
          </cell>
          <cell r="AJ19" t="str">
            <v>RM6148</v>
          </cell>
          <cell r="AK19" t="str">
            <v>Formalin</v>
          </cell>
          <cell r="AL19">
            <v>4.4999999999999997E-3</v>
          </cell>
          <cell r="AM19">
            <v>1</v>
          </cell>
          <cell r="AN19">
            <v>4.5449999999999996E-3</v>
          </cell>
          <cell r="AO19" t="str">
            <v>kg</v>
          </cell>
          <cell r="AQ19">
            <v>0</v>
          </cell>
          <cell r="AR19">
            <v>0</v>
          </cell>
          <cell r="AT19">
            <v>0</v>
          </cell>
          <cell r="AU19">
            <v>0</v>
          </cell>
          <cell r="AV19">
            <v>0</v>
          </cell>
          <cell r="AW19">
            <v>0</v>
          </cell>
          <cell r="AX19" t="str">
            <v>=3400/14025</v>
          </cell>
          <cell r="BA19" t="str">
            <v>RM13140</v>
          </cell>
          <cell r="BB19" t="str">
            <v>Actiphyte of Peach Kernel IPM special</v>
          </cell>
          <cell r="BC19">
            <v>0.05</v>
          </cell>
          <cell r="BD19">
            <v>1</v>
          </cell>
          <cell r="BE19">
            <v>5.0500000000000003E-2</v>
          </cell>
          <cell r="BF19" t="str">
            <v>kg</v>
          </cell>
          <cell r="BG19">
            <v>37.48368</v>
          </cell>
          <cell r="BH19">
            <v>1.8929258400000002</v>
          </cell>
          <cell r="BI19">
            <v>1.4708149492964728E-2</v>
          </cell>
          <cell r="BJ19">
            <v>37.48368</v>
          </cell>
          <cell r="BK19">
            <v>1.8929258400000002</v>
          </cell>
          <cell r="BL19">
            <v>1.5677811805936571E-2</v>
          </cell>
          <cell r="BM19">
            <v>37.48368</v>
          </cell>
          <cell r="BN19">
            <v>1.8929258400000002</v>
          </cell>
          <cell r="BO19" t="str">
            <v>=36.042*1.04+0%</v>
          </cell>
        </row>
        <row r="20">
          <cell r="B20" t="str">
            <v>RM23219</v>
          </cell>
          <cell r="C20" t="str">
            <v>Citric Acid Solution</v>
          </cell>
          <cell r="D20">
            <v>0.13675000000000001</v>
          </cell>
          <cell r="E20">
            <v>1</v>
          </cell>
          <cell r="F20">
            <v>0.1381175</v>
          </cell>
          <cell r="G20" t="str">
            <v>kg</v>
          </cell>
          <cell r="H20">
            <v>1.0609756097560976</v>
          </cell>
          <cell r="I20">
            <v>0.14653929878048783</v>
          </cell>
          <cell r="J20">
            <v>1.1163835205559671E-3</v>
          </cell>
          <cell r="K20">
            <v>1.0338680926916222</v>
          </cell>
          <cell r="L20">
            <v>0.14279527629233513</v>
          </cell>
          <cell r="M20">
            <v>1.1602013587616073E-3</v>
          </cell>
          <cell r="N20">
            <v>1.0338680926916222</v>
          </cell>
          <cell r="O20">
            <v>0.14279527629233513</v>
          </cell>
          <cell r="P20" t="str">
            <v>=14500/14025</v>
          </cell>
          <cell r="S20" t="str">
            <v>M-05748-soap</v>
          </cell>
          <cell r="T20" t="str">
            <v>D&amp;C orange No.4 (CI 15510)</v>
          </cell>
          <cell r="U20">
            <v>1.9000000000000001E-4</v>
          </cell>
          <cell r="V20">
            <v>1</v>
          </cell>
          <cell r="W20">
            <v>1.919E-4</v>
          </cell>
          <cell r="X20" t="str">
            <v>kg</v>
          </cell>
          <cell r="Y20">
            <v>37.259740000000001</v>
          </cell>
          <cell r="Z20">
            <v>7.1501441060000002E-3</v>
          </cell>
          <cell r="AA20">
            <v>5.5160631598789444E-5</v>
          </cell>
          <cell r="AB20">
            <v>37.259740000000001</v>
          </cell>
          <cell r="AC20">
            <v>7.1501441060000002E-3</v>
          </cell>
          <cell r="AD20">
            <v>5.8882848258123915E-5</v>
          </cell>
          <cell r="AE20">
            <v>37.259740000000001</v>
          </cell>
          <cell r="AF20">
            <v>7.1501441060000002E-3</v>
          </cell>
          <cell r="AG20" t="str">
            <v>LC $37.25974</v>
          </cell>
          <cell r="AJ20" t="str">
            <v>RM9615</v>
          </cell>
          <cell r="AK20" t="str">
            <v>Extrapone Pancy</v>
          </cell>
          <cell r="AL20">
            <v>0.05</v>
          </cell>
          <cell r="AM20">
            <v>1</v>
          </cell>
          <cell r="AN20">
            <v>5.0500000000000003E-2</v>
          </cell>
          <cell r="AO20" t="str">
            <v>kg</v>
          </cell>
          <cell r="AP20">
            <v>26.001000000000001</v>
          </cell>
          <cell r="AQ20">
            <v>1.3130505000000001</v>
          </cell>
          <cell r="AR20">
            <v>1.0558283481041191E-2</v>
          </cell>
          <cell r="AS20">
            <v>26.001000000000001</v>
          </cell>
          <cell r="AT20">
            <v>1.3130505000000001</v>
          </cell>
          <cell r="AU20">
            <v>1.1291738039154613E-2</v>
          </cell>
          <cell r="AV20">
            <v>26.001000000000001</v>
          </cell>
          <cell r="AW20">
            <v>1.3130505000000001</v>
          </cell>
          <cell r="AX20" t="str">
            <v>=24.3*1.07+0%</v>
          </cell>
          <cell r="BA20" t="str">
            <v>RM6148</v>
          </cell>
          <cell r="BB20" t="str">
            <v>Formalin</v>
          </cell>
          <cell r="BC20">
            <v>4.4999999999999997E-3</v>
          </cell>
          <cell r="BD20">
            <v>1</v>
          </cell>
          <cell r="BE20">
            <v>4.5449999999999996E-3</v>
          </cell>
          <cell r="BF20" t="str">
            <v>kg</v>
          </cell>
          <cell r="BG20">
            <v>0.24878048780487805</v>
          </cell>
          <cell r="BH20">
            <v>1.1307073170731706E-3</v>
          </cell>
          <cell r="BI20">
            <v>8.7856649747574158E-6</v>
          </cell>
          <cell r="BJ20">
            <v>0.24242424242424243</v>
          </cell>
          <cell r="BK20">
            <v>1.1018181818181817E-3</v>
          </cell>
          <cell r="BL20">
            <v>9.1256074241686368E-6</v>
          </cell>
          <cell r="BM20">
            <v>0.24242424242424243</v>
          </cell>
          <cell r="BN20">
            <v>1.1018181818181817E-3</v>
          </cell>
          <cell r="BO20" t="str">
            <v>=3400/14025</v>
          </cell>
        </row>
        <row r="21">
          <cell r="B21" t="str">
            <v>EO9617</v>
          </cell>
          <cell r="C21" t="str">
            <v>Soft Touch 162D Perfume ( IFF ) 1.8</v>
          </cell>
          <cell r="D21">
            <v>1.8</v>
          </cell>
          <cell r="E21">
            <v>1</v>
          </cell>
          <cell r="F21">
            <v>1.8180000000000001</v>
          </cell>
          <cell r="G21" t="str">
            <v>kg</v>
          </cell>
          <cell r="H21">
            <v>15.444000000000003</v>
          </cell>
          <cell r="I21">
            <v>28.077192000000007</v>
          </cell>
          <cell r="J21">
            <v>0.21390108123309456</v>
          </cell>
          <cell r="K21">
            <v>15.444000000000003</v>
          </cell>
          <cell r="L21">
            <v>28.077192000000007</v>
          </cell>
          <cell r="M21">
            <v>0.22812516740344788</v>
          </cell>
          <cell r="N21">
            <v>15.444000000000003</v>
          </cell>
          <cell r="O21">
            <v>28.077192000000007</v>
          </cell>
          <cell r="P21" t="str">
            <v>=14.3*1.08</v>
          </cell>
          <cell r="S21" t="str">
            <v>RM9614</v>
          </cell>
          <cell r="T21" t="str">
            <v>Acacia Milk 2/032300</v>
          </cell>
          <cell r="U21">
            <v>0.05</v>
          </cell>
          <cell r="V21">
            <v>1</v>
          </cell>
          <cell r="W21">
            <v>5.0500000000000003E-2</v>
          </cell>
          <cell r="X21" t="str">
            <v>kg</v>
          </cell>
          <cell r="Y21">
            <v>19.78</v>
          </cell>
          <cell r="Z21">
            <v>0.99889000000000017</v>
          </cell>
          <cell r="AA21">
            <v>7.7060549383163434E-3</v>
          </cell>
          <cell r="AB21">
            <v>19.78</v>
          </cell>
          <cell r="AC21">
            <v>0.99889000000000017</v>
          </cell>
          <cell r="AD21">
            <v>8.2260563458016276E-3</v>
          </cell>
          <cell r="AE21">
            <v>19.78</v>
          </cell>
          <cell r="AF21">
            <v>0.99889000000000017</v>
          </cell>
          <cell r="AG21" t="str">
            <v>=17.2*1.15+0%</v>
          </cell>
          <cell r="AJ21" t="str">
            <v>RM23219</v>
          </cell>
          <cell r="AK21" t="str">
            <v>Citric Acid, Anhydrous</v>
          </cell>
          <cell r="AL21">
            <v>0.13675000000000001</v>
          </cell>
          <cell r="AM21">
            <v>1</v>
          </cell>
          <cell r="AN21">
            <v>0.1381175</v>
          </cell>
          <cell r="AO21" t="str">
            <v>kg</v>
          </cell>
          <cell r="AP21">
            <v>1.0609756097560976</v>
          </cell>
          <cell r="AQ21">
            <v>0.14653929878048783</v>
          </cell>
          <cell r="AR21">
            <v>1.1783274578071321E-3</v>
          </cell>
          <cell r="AS21">
            <v>1.0338680926916222</v>
          </cell>
          <cell r="AT21">
            <v>0.14279527629233513</v>
          </cell>
          <cell r="AU21">
            <v>1.2279854073561935E-3</v>
          </cell>
          <cell r="AV21">
            <v>1.0338680926916222</v>
          </cell>
          <cell r="AW21">
            <v>0.14279527629233513</v>
          </cell>
          <cell r="AX21" t="str">
            <v>=14500/14025</v>
          </cell>
          <cell r="BA21" t="str">
            <v>RM23219</v>
          </cell>
          <cell r="BB21" t="str">
            <v>Citric Acid, Anhydrous</v>
          </cell>
          <cell r="BC21">
            <v>0.13675000000000001</v>
          </cell>
          <cell r="BD21">
            <v>1</v>
          </cell>
          <cell r="BE21">
            <v>0.1381175</v>
          </cell>
          <cell r="BF21" t="str">
            <v>kg</v>
          </cell>
          <cell r="BG21">
            <v>1.0609756097560976</v>
          </cell>
          <cell r="BH21">
            <v>0.14653929878048783</v>
          </cell>
          <cell r="BI21">
            <v>1.1386193095962167E-3</v>
          </cell>
          <cell r="BJ21">
            <v>1.0338680926916222</v>
          </cell>
          <cell r="BK21">
            <v>0.14279527629233513</v>
          </cell>
          <cell r="BL21">
            <v>1.1826757399476073E-3</v>
          </cell>
          <cell r="BM21">
            <v>1.0338680926916222</v>
          </cell>
          <cell r="BN21">
            <v>0.14279527629233513</v>
          </cell>
          <cell r="BO21" t="str">
            <v>=14500/14025</v>
          </cell>
        </row>
        <row r="22">
          <cell r="S22" t="str">
            <v>EO9625</v>
          </cell>
          <cell r="T22" t="str">
            <v>Goshawk LA/AP  1.7</v>
          </cell>
          <cell r="U22">
            <v>1.7</v>
          </cell>
          <cell r="V22">
            <v>0</v>
          </cell>
          <cell r="W22">
            <v>1.7</v>
          </cell>
          <cell r="X22" t="str">
            <v>kg</v>
          </cell>
          <cell r="Y22">
            <v>15.39</v>
          </cell>
          <cell r="Z22">
            <v>26.163</v>
          </cell>
          <cell r="AB22">
            <v>15.39</v>
          </cell>
          <cell r="AC22">
            <v>26.163</v>
          </cell>
          <cell r="AE22">
            <v>15.39</v>
          </cell>
          <cell r="AF22">
            <v>26.163</v>
          </cell>
          <cell r="AG22" t="str">
            <v>=14.25*1.08</v>
          </cell>
          <cell r="AJ22" t="str">
            <v>EO9619</v>
          </cell>
          <cell r="AK22" t="str">
            <v>Sigmasia CP75614</v>
          </cell>
          <cell r="AL22">
            <v>1.2</v>
          </cell>
          <cell r="AM22">
            <v>0</v>
          </cell>
          <cell r="AN22">
            <v>1.2</v>
          </cell>
          <cell r="AO22" t="str">
            <v>kg</v>
          </cell>
          <cell r="AP22">
            <v>16.739999999999998</v>
          </cell>
          <cell r="AQ22">
            <v>20.087999999999997</v>
          </cell>
          <cell r="AR22">
            <v>0.16152828742470712</v>
          </cell>
          <cell r="AS22">
            <v>16.902000000000001</v>
          </cell>
          <cell r="AT22">
            <v>20.282399999999999</v>
          </cell>
          <cell r="AU22">
            <v>0.17442097436873105</v>
          </cell>
          <cell r="AV22">
            <v>16.902000000000001</v>
          </cell>
          <cell r="AW22">
            <v>20.282399999999999</v>
          </cell>
          <cell r="AX22" t="str">
            <v>=15.65*1.08</v>
          </cell>
          <cell r="BA22" t="str">
            <v>EO13139</v>
          </cell>
          <cell r="BB22" t="str">
            <v>Amistad CP 232.323 (Firmenich) 1.5</v>
          </cell>
          <cell r="BC22">
            <v>1.5</v>
          </cell>
          <cell r="BD22">
            <v>0</v>
          </cell>
          <cell r="BE22">
            <v>1.5</v>
          </cell>
          <cell r="BF22" t="str">
            <v>kg</v>
          </cell>
          <cell r="BG22">
            <v>16.2</v>
          </cell>
          <cell r="BH22">
            <v>24.3</v>
          </cell>
          <cell r="BI22">
            <v>0.18881248547964394</v>
          </cell>
          <cell r="BJ22">
            <v>16.362000000000002</v>
          </cell>
          <cell r="BK22">
            <v>24.543000000000003</v>
          </cell>
          <cell r="BL22">
            <v>0.20327290537335646</v>
          </cell>
          <cell r="BM22">
            <v>16.362000000000002</v>
          </cell>
          <cell r="BN22">
            <v>24.543000000000003</v>
          </cell>
          <cell r="BO22" t="str">
            <v>=15.15*1.08</v>
          </cell>
        </row>
        <row r="23">
          <cell r="S23" t="str">
            <v>RM23219</v>
          </cell>
          <cell r="T23" t="str">
            <v>Citric Acid Solution</v>
          </cell>
          <cell r="U23">
            <v>0.13675000000000001</v>
          </cell>
          <cell r="V23">
            <v>0</v>
          </cell>
          <cell r="W23">
            <v>0.13675000000000001</v>
          </cell>
          <cell r="X23" t="str">
            <v>kg</v>
          </cell>
          <cell r="Y23">
            <v>1.0609756097560976</v>
          </cell>
          <cell r="Z23">
            <v>0.14508841463414637</v>
          </cell>
          <cell r="AB23">
            <v>1.0338680926916222</v>
          </cell>
          <cell r="AC23">
            <v>0.14138146167557933</v>
          </cell>
          <cell r="AE23">
            <v>1.0338680926916222</v>
          </cell>
          <cell r="AF23">
            <v>0.14138146167557933</v>
          </cell>
          <cell r="AG23" t="str">
            <v>=14500/14025</v>
          </cell>
          <cell r="AV23">
            <v>0</v>
          </cell>
          <cell r="BM23">
            <v>0</v>
          </cell>
        </row>
        <row r="24">
          <cell r="B24" t="str">
            <v>66-310</v>
          </cell>
          <cell r="C24" t="str">
            <v>Tap Water</v>
          </cell>
          <cell r="D24">
            <v>0.11325</v>
          </cell>
          <cell r="E24">
            <v>1</v>
          </cell>
          <cell r="F24">
            <v>0.1143825</v>
          </cell>
          <cell r="G24" t="str">
            <v>kg</v>
          </cell>
          <cell r="H24">
            <v>0</v>
          </cell>
          <cell r="I24">
            <v>0</v>
          </cell>
          <cell r="K24">
            <v>0</v>
          </cell>
          <cell r="L24">
            <v>0</v>
          </cell>
          <cell r="N24">
            <v>0</v>
          </cell>
          <cell r="O24">
            <v>0</v>
          </cell>
          <cell r="S24" t="str">
            <v>66-310</v>
          </cell>
          <cell r="T24" t="str">
            <v>Tap Water</v>
          </cell>
          <cell r="U24">
            <v>0.11325</v>
          </cell>
          <cell r="V24">
            <v>1</v>
          </cell>
          <cell r="W24">
            <v>0.13274999999998727</v>
          </cell>
          <cell r="X24" t="str">
            <v>kg</v>
          </cell>
          <cell r="Y24">
            <v>0</v>
          </cell>
          <cell r="Z24">
            <v>0</v>
          </cell>
          <cell r="AB24">
            <v>0</v>
          </cell>
          <cell r="AC24">
            <v>0</v>
          </cell>
          <cell r="AE24">
            <v>0</v>
          </cell>
          <cell r="AF24">
            <v>0</v>
          </cell>
          <cell r="AJ24" t="str">
            <v>66-310</v>
          </cell>
          <cell r="AK24" t="str">
            <v>Tap Water</v>
          </cell>
          <cell r="AL24">
            <v>0.11325</v>
          </cell>
          <cell r="AM24">
            <v>0.11324999999999999</v>
          </cell>
          <cell r="AN24">
            <v>0.1143825</v>
          </cell>
          <cell r="AO24" t="str">
            <v>kg</v>
          </cell>
          <cell r="AP24">
            <v>0</v>
          </cell>
          <cell r="AQ24">
            <v>0</v>
          </cell>
          <cell r="AS24">
            <v>0</v>
          </cell>
          <cell r="AT24">
            <v>0</v>
          </cell>
          <cell r="AV24">
            <v>0</v>
          </cell>
          <cell r="AW24">
            <v>0</v>
          </cell>
          <cell r="BA24" t="str">
            <v>66-310</v>
          </cell>
          <cell r="BB24" t="str">
            <v>Tap Water</v>
          </cell>
          <cell r="BC24">
            <v>0.11325</v>
          </cell>
          <cell r="BD24">
            <v>1</v>
          </cell>
          <cell r="BE24">
            <v>0.1143825</v>
          </cell>
          <cell r="BF24" t="str">
            <v>kg</v>
          </cell>
          <cell r="BG24">
            <v>0</v>
          </cell>
          <cell r="BH24">
            <v>0</v>
          </cell>
          <cell r="BJ24">
            <v>0</v>
          </cell>
          <cell r="BK24">
            <v>0</v>
          </cell>
          <cell r="BM24">
            <v>0</v>
          </cell>
          <cell r="BN24">
            <v>0</v>
          </cell>
        </row>
        <row r="25">
          <cell r="C25" t="str">
            <v>TOTAL RAW MATERIALS</v>
          </cell>
          <cell r="D25">
            <v>100</v>
          </cell>
          <cell r="F25">
            <v>101.00000000000001</v>
          </cell>
          <cell r="I25">
            <v>94.490571694800011</v>
          </cell>
          <cell r="J25">
            <v>0.719859573273957</v>
          </cell>
          <cell r="L25">
            <v>87.482930030234911</v>
          </cell>
          <cell r="M25">
            <v>0.71079252006722926</v>
          </cell>
          <cell r="O25">
            <v>87.482930030234911</v>
          </cell>
          <cell r="AA25">
            <v>0</v>
          </cell>
          <cell r="AD25">
            <v>0</v>
          </cell>
          <cell r="AK25" t="str">
            <v>TOTAL RAW MATERIALS</v>
          </cell>
          <cell r="AL25">
            <v>100</v>
          </cell>
          <cell r="AN25">
            <v>100.98800000000001</v>
          </cell>
          <cell r="AQ25">
            <v>87.590183866982201</v>
          </cell>
          <cell r="AR25">
            <v>0.7043156309861035</v>
          </cell>
          <cell r="AT25">
            <v>80.689098548800004</v>
          </cell>
          <cell r="AU25">
            <v>0.69389575147991667</v>
          </cell>
          <cell r="AW25">
            <v>80.689098548800004</v>
          </cell>
          <cell r="BB25" t="str">
            <v>TOTAL RAW MATERIALS</v>
          </cell>
          <cell r="BC25">
            <v>100</v>
          </cell>
          <cell r="BE25">
            <v>100.98500000000001</v>
          </cell>
          <cell r="BH25">
            <v>91.927181655655119</v>
          </cell>
          <cell r="BI25">
            <v>0.71427982105115129</v>
          </cell>
          <cell r="BK25">
            <v>85.144079189815699</v>
          </cell>
          <cell r="BL25">
            <v>0.70519025189475504</v>
          </cell>
          <cell r="BN25">
            <v>85.144079189815699</v>
          </cell>
        </row>
        <row r="26">
          <cell r="T26" t="str">
            <v>TOTAL RAW MATERIALS</v>
          </cell>
          <cell r="U26">
            <v>99.999999999999986</v>
          </cell>
          <cell r="W26">
            <v>101</v>
          </cell>
          <cell r="Z26">
            <v>92.852108932249322</v>
          </cell>
          <cell r="AC26">
            <v>85.834915746921183</v>
          </cell>
          <cell r="AF26">
            <v>85.834915746921183</v>
          </cell>
        </row>
        <row r="27">
          <cell r="AK27" t="str">
            <v>DIRECT LABOR ALLOWANCE</v>
          </cell>
          <cell r="AQ27">
            <v>0</v>
          </cell>
          <cell r="AR27">
            <v>0</v>
          </cell>
          <cell r="AT27">
            <v>0</v>
          </cell>
          <cell r="AU27">
            <v>0</v>
          </cell>
          <cell r="AW27">
            <v>0</v>
          </cell>
          <cell r="BB27" t="str">
            <v>DIRECT LABOR ALLOWANCE</v>
          </cell>
          <cell r="BH27">
            <v>0</v>
          </cell>
          <cell r="BI27">
            <v>0</v>
          </cell>
          <cell r="BK27">
            <v>0</v>
          </cell>
          <cell r="BL27">
            <v>0</v>
          </cell>
          <cell r="BN27">
            <v>0</v>
          </cell>
        </row>
        <row r="28">
          <cell r="C28" t="str">
            <v>DIRECT LABOR ALLOWANCE</v>
          </cell>
          <cell r="I28">
            <v>0</v>
          </cell>
          <cell r="J28">
            <v>0</v>
          </cell>
          <cell r="L28">
            <v>0</v>
          </cell>
          <cell r="M28">
            <v>0</v>
          </cell>
          <cell r="O28">
            <v>0</v>
          </cell>
          <cell r="T28" t="str">
            <v>DIRECT LABOR ALLOWANCE</v>
          </cell>
          <cell r="Z28">
            <v>0</v>
          </cell>
          <cell r="AA28">
            <v>0</v>
          </cell>
          <cell r="AC28">
            <v>0</v>
          </cell>
          <cell r="AD28">
            <v>0</v>
          </cell>
          <cell r="AF28">
            <v>0</v>
          </cell>
        </row>
        <row r="29">
          <cell r="AK29" t="str">
            <v>TOTAL DIRECT COST ( excluding NVOs ) / 100 kg</v>
          </cell>
          <cell r="AQ29">
            <v>87.590183866982201</v>
          </cell>
          <cell r="AR29">
            <v>0.7043156309861035</v>
          </cell>
          <cell r="AT29">
            <v>80.689098548800004</v>
          </cell>
          <cell r="AU29">
            <v>0.69389575147991667</v>
          </cell>
          <cell r="AW29">
            <v>80.689098548800004</v>
          </cell>
          <cell r="BB29" t="str">
            <v>TOTAL DIRECT COST ( excluding NVOs ) / 100 kg</v>
          </cell>
          <cell r="BH29">
            <v>91.927181655655119</v>
          </cell>
          <cell r="BI29">
            <v>0.71427982105115129</v>
          </cell>
          <cell r="BK29">
            <v>85.144079189815699</v>
          </cell>
          <cell r="BL29">
            <v>0.70519025189475504</v>
          </cell>
          <cell r="BN29">
            <v>85.144079189815699</v>
          </cell>
        </row>
        <row r="30">
          <cell r="C30" t="str">
            <v>TOTAL DIRECT COST ( excluding NVOs ) / 100 kg</v>
          </cell>
          <cell r="I30">
            <v>94.490571694800011</v>
          </cell>
          <cell r="J30">
            <v>0.719859573273957</v>
          </cell>
          <cell r="L30">
            <v>87.482930030234911</v>
          </cell>
          <cell r="M30">
            <v>0.71079252006722926</v>
          </cell>
          <cell r="O30">
            <v>87.482930030234911</v>
          </cell>
          <cell r="T30" t="str">
            <v>TOTAL DIRECT COST ( excluding NVOs ) / 100 kg</v>
          </cell>
          <cell r="U30">
            <v>0</v>
          </cell>
          <cell r="Z30">
            <v>92.852108932249322</v>
          </cell>
          <cell r="AA30">
            <v>0.71631856617890544</v>
          </cell>
          <cell r="AC30">
            <v>85.834915746921183</v>
          </cell>
          <cell r="AD30">
            <v>0.70686747626996871</v>
          </cell>
          <cell r="AF30">
            <v>85.834915746921183</v>
          </cell>
          <cell r="AJ30">
            <v>0</v>
          </cell>
          <cell r="AK30">
            <v>0</v>
          </cell>
          <cell r="AL30">
            <v>0</v>
          </cell>
          <cell r="BA30">
            <v>0</v>
          </cell>
          <cell r="BB30">
            <v>0</v>
          </cell>
          <cell r="BC30">
            <v>0</v>
          </cell>
        </row>
        <row r="31">
          <cell r="B31">
            <v>0</v>
          </cell>
          <cell r="C31">
            <v>0</v>
          </cell>
          <cell r="D31">
            <v>0</v>
          </cell>
          <cell r="S31">
            <v>0</v>
          </cell>
          <cell r="T31">
            <v>0</v>
          </cell>
          <cell r="U31">
            <v>0</v>
          </cell>
          <cell r="AJ31">
            <v>0</v>
          </cell>
          <cell r="AK31">
            <v>0</v>
          </cell>
          <cell r="AL31">
            <v>0</v>
          </cell>
          <cell r="BA31">
            <v>0</v>
          </cell>
          <cell r="BB31">
            <v>0</v>
          </cell>
          <cell r="BC31">
            <v>0</v>
          </cell>
        </row>
        <row r="32">
          <cell r="B32" t="str">
            <v>NOTES:</v>
          </cell>
          <cell r="S32" t="str">
            <v>NOTES:</v>
          </cell>
          <cell r="AJ32" t="str">
            <v>NOTES:</v>
          </cell>
          <cell r="BA32" t="str">
            <v>NOTES:</v>
          </cell>
        </row>
        <row r="33">
          <cell r="B33" t="str">
            <v>ML30</v>
          </cell>
          <cell r="C33" t="str">
            <v>1.   Direct Labor Wage Rate</v>
          </cell>
          <cell r="D33">
            <v>0</v>
          </cell>
          <cell r="E33" t="str">
            <v>USD/kg</v>
          </cell>
          <cell r="T33" t="str">
            <v>1.   Direct Labor Wage Rate</v>
          </cell>
          <cell r="U33">
            <v>0</v>
          </cell>
          <cell r="V33" t="str">
            <v>USD/kg</v>
          </cell>
          <cell r="AK33" t="str">
            <v>1.   Direct Labor Wage Rate</v>
          </cell>
          <cell r="AL33">
            <v>0</v>
          </cell>
          <cell r="AM33" t="str">
            <v>USD/kg</v>
          </cell>
          <cell r="BB33" t="str">
            <v>1.   Direct Labor Wage Rate</v>
          </cell>
          <cell r="BC33">
            <v>0</v>
          </cell>
          <cell r="BD33" t="str">
            <v>USD/kg</v>
          </cell>
        </row>
        <row r="34">
          <cell r="D34">
            <v>0.36476773109243699</v>
          </cell>
        </row>
        <row r="36">
          <cell r="B36" t="str">
            <v>PRODUCTION COST SHEET</v>
          </cell>
          <cell r="S36" t="str">
            <v>PRODUCTION COST SHEET</v>
          </cell>
          <cell r="Y36" t="str">
            <v>Prepared:</v>
          </cell>
          <cell r="Z36" t="str">
            <v>Reason</v>
          </cell>
          <cell r="AB36" t="str">
            <v>Prepared:</v>
          </cell>
          <cell r="AC36" t="str">
            <v>Reason</v>
          </cell>
          <cell r="AJ36" t="str">
            <v>PRODUCTION COST SHEET</v>
          </cell>
          <cell r="BA36" t="str">
            <v>PRODUCTION COST SHEET</v>
          </cell>
        </row>
        <row r="37">
          <cell r="U37" t="str">
            <v>Unit:</v>
          </cell>
          <cell r="V37">
            <v>1</v>
          </cell>
          <cell r="W37" t="str">
            <v>case</v>
          </cell>
          <cell r="Y37" t="str">
            <v>Reason</v>
          </cell>
          <cell r="Z37" t="str">
            <v>Approved:</v>
          </cell>
          <cell r="AB37" t="str">
            <v>Reason</v>
          </cell>
          <cell r="AC37" t="str">
            <v>Approved:</v>
          </cell>
          <cell r="AP37" t="str">
            <v>Prepared:</v>
          </cell>
          <cell r="AQ37" t="str">
            <v>Reason</v>
          </cell>
          <cell r="AS37" t="str">
            <v>Prepared:</v>
          </cell>
          <cell r="AT37" t="str">
            <v>Reason</v>
          </cell>
          <cell r="BM37" t="str">
            <v>Prepared:</v>
          </cell>
          <cell r="BN37" t="str">
            <v>Reason</v>
          </cell>
        </row>
        <row r="38">
          <cell r="B38" t="str">
            <v>Cost Sheet No.</v>
          </cell>
          <cell r="C38" t="str">
            <v>POS75</v>
          </cell>
          <cell r="D38" t="str">
            <v>Unit:</v>
          </cell>
          <cell r="E38">
            <v>1</v>
          </cell>
          <cell r="F38" t="str">
            <v>case</v>
          </cell>
          <cell r="H38" t="str">
            <v>Prepared:</v>
          </cell>
          <cell r="I38">
            <v>36029</v>
          </cell>
          <cell r="K38" t="str">
            <v>Prepared:</v>
          </cell>
          <cell r="L38">
            <v>36029</v>
          </cell>
          <cell r="S38" t="str">
            <v>Cost Sheet No.</v>
          </cell>
          <cell r="T38" t="str">
            <v>POS75UBS</v>
          </cell>
          <cell r="U38" t="str">
            <v>Case Count:</v>
          </cell>
          <cell r="V38">
            <v>72</v>
          </cell>
          <cell r="W38" t="str">
            <v>bars</v>
          </cell>
          <cell r="Y38" t="str">
            <v>Approved:</v>
          </cell>
          <cell r="AB38" t="str">
            <v>Approved:</v>
          </cell>
          <cell r="AJ38" t="str">
            <v>Cost Sheet No.</v>
          </cell>
          <cell r="AK38" t="str">
            <v>POS75UBS</v>
          </cell>
          <cell r="AL38" t="str">
            <v>Unit:</v>
          </cell>
          <cell r="AM38">
            <v>1</v>
          </cell>
          <cell r="AN38" t="str">
            <v>case</v>
          </cell>
          <cell r="AP38" t="str">
            <v>Reason</v>
          </cell>
          <cell r="AQ38" t="str">
            <v>Approved:</v>
          </cell>
          <cell r="AS38" t="str">
            <v>Reason</v>
          </cell>
          <cell r="AT38" t="str">
            <v>Approved:</v>
          </cell>
          <cell r="BA38" t="str">
            <v>Cost Sheet No.</v>
          </cell>
          <cell r="BB38" t="str">
            <v>POS75UBS</v>
          </cell>
          <cell r="BC38" t="str">
            <v>Unit:</v>
          </cell>
          <cell r="BD38">
            <v>1</v>
          </cell>
          <cell r="BE38" t="str">
            <v>case</v>
          </cell>
          <cell r="BM38" t="str">
            <v>Reason</v>
          </cell>
          <cell r="BN38" t="str">
            <v>Approved:</v>
          </cell>
        </row>
        <row r="39">
          <cell r="B39" t="str">
            <v>PRODUCT</v>
          </cell>
          <cell r="C39" t="str">
            <v xml:space="preserve">PALMOLIVE SOAP </v>
          </cell>
          <cell r="D39" t="str">
            <v>Case Count:</v>
          </cell>
          <cell r="E39">
            <v>72</v>
          </cell>
          <cell r="F39" t="str">
            <v>bars</v>
          </cell>
          <cell r="H39" t="str">
            <v>Last Revision :</v>
          </cell>
          <cell r="I39" t="str">
            <v>98 Original Budget</v>
          </cell>
          <cell r="K39" t="str">
            <v>Last Revision :</v>
          </cell>
          <cell r="L39" t="str">
            <v>98 Original Budget</v>
          </cell>
          <cell r="S39" t="str">
            <v>PRODUCT</v>
          </cell>
          <cell r="T39" t="str">
            <v xml:space="preserve">PALMOLIVE SOAP </v>
          </cell>
          <cell r="U39" t="str">
            <v>Bar Size:</v>
          </cell>
          <cell r="V39">
            <v>75.5</v>
          </cell>
          <cell r="W39" t="str">
            <v>gm</v>
          </cell>
          <cell r="AE39" t="str">
            <v>Qty : 2083 Case</v>
          </cell>
          <cell r="AJ39" t="str">
            <v>PRODUCT</v>
          </cell>
          <cell r="AK39" t="str">
            <v xml:space="preserve">PALMOLIVE SOAP </v>
          </cell>
          <cell r="AL39" t="str">
            <v>Case Count:</v>
          </cell>
          <cell r="AM39">
            <v>72</v>
          </cell>
          <cell r="AN39" t="str">
            <v>bars</v>
          </cell>
          <cell r="AP39" t="str">
            <v>Approved:</v>
          </cell>
          <cell r="AS39" t="str">
            <v>Approved:</v>
          </cell>
          <cell r="BA39" t="str">
            <v>PRODUCT</v>
          </cell>
          <cell r="BB39" t="str">
            <v xml:space="preserve">PALMOLIVE SOAP </v>
          </cell>
          <cell r="BC39" t="str">
            <v>Case Count:</v>
          </cell>
          <cell r="BD39">
            <v>72</v>
          </cell>
          <cell r="BE39" t="str">
            <v>bars</v>
          </cell>
          <cell r="BM39" t="str">
            <v>Approved:</v>
          </cell>
        </row>
        <row r="40">
          <cell r="B40" t="str">
            <v>VARIANT</v>
          </cell>
          <cell r="C40" t="str">
            <v>White UBS</v>
          </cell>
          <cell r="D40" t="str">
            <v>Bar Size:</v>
          </cell>
          <cell r="E40">
            <v>75.5</v>
          </cell>
          <cell r="F40" t="str">
            <v>gm</v>
          </cell>
          <cell r="H40" t="str">
            <v>Reason</v>
          </cell>
          <cell r="I40" t="str">
            <v>98 Budget</v>
          </cell>
          <cell r="K40" t="str">
            <v>Reason</v>
          </cell>
          <cell r="L40" t="str">
            <v>98 Budget</v>
          </cell>
          <cell r="S40" t="str">
            <v>VARIANT</v>
          </cell>
          <cell r="T40" t="str">
            <v>Pink UBS</v>
          </cell>
          <cell r="V40" t="str">
            <v>% Loss</v>
          </cell>
          <cell r="W40" t="str">
            <v>Standard</v>
          </cell>
          <cell r="X40" t="str">
            <v>Unit</v>
          </cell>
          <cell r="Y40" t="str">
            <v>Std. Unit</v>
          </cell>
          <cell r="Z40" t="str">
            <v>Standard</v>
          </cell>
          <cell r="AB40" t="str">
            <v>Std. Unit</v>
          </cell>
          <cell r="AC40" t="str">
            <v>Standard</v>
          </cell>
          <cell r="AE40" t="str">
            <v>Std. Unit</v>
          </cell>
          <cell r="AF40" t="str">
            <v>Standard</v>
          </cell>
          <cell r="AG40" t="str">
            <v>Remarks</v>
          </cell>
          <cell r="AJ40" t="str">
            <v>VARIANT</v>
          </cell>
          <cell r="AK40" t="str">
            <v>Green UBS</v>
          </cell>
          <cell r="AL40" t="str">
            <v>Bar Size:</v>
          </cell>
          <cell r="AM40">
            <v>75.5</v>
          </cell>
          <cell r="AN40" t="str">
            <v>gm</v>
          </cell>
          <cell r="BA40" t="str">
            <v>VARIANT</v>
          </cell>
          <cell r="BB40" t="str">
            <v>Green UBS</v>
          </cell>
          <cell r="BC40" t="str">
            <v>Bar Size:</v>
          </cell>
          <cell r="BD40">
            <v>75.5</v>
          </cell>
          <cell r="BE40" t="str">
            <v>gm</v>
          </cell>
        </row>
        <row r="41">
          <cell r="H41" t="str">
            <v>2 HALF</v>
          </cell>
          <cell r="K41" t="str">
            <v>2 HALF</v>
          </cell>
          <cell r="N41" t="str">
            <v>1 HALF</v>
          </cell>
          <cell r="P41" t="str">
            <v>Remarks</v>
          </cell>
          <cell r="U41" t="str">
            <v>Amount</v>
          </cell>
          <cell r="V41" t="str">
            <v>Allowance</v>
          </cell>
          <cell r="W41" t="str">
            <v>Usage</v>
          </cell>
          <cell r="Y41" t="str">
            <v>Price</v>
          </cell>
          <cell r="Z41" t="str">
            <v>Cost</v>
          </cell>
          <cell r="AB41" t="str">
            <v>Price</v>
          </cell>
          <cell r="AC41" t="str">
            <v>Cost</v>
          </cell>
          <cell r="AE41" t="str">
            <v>Price</v>
          </cell>
          <cell r="AF41" t="str">
            <v>Cost</v>
          </cell>
          <cell r="AP41" t="str">
            <v>2 HALF</v>
          </cell>
          <cell r="AS41" t="str">
            <v>2 HALF</v>
          </cell>
          <cell r="AV41" t="str">
            <v>1 HALF</v>
          </cell>
          <cell r="BG41" t="str">
            <v>1 HALF</v>
          </cell>
          <cell r="BJ41" t="str">
            <v>1 HALF</v>
          </cell>
          <cell r="BM41" t="str">
            <v>2 HALF</v>
          </cell>
        </row>
        <row r="42">
          <cell r="B42" t="str">
            <v>M#</v>
          </cell>
          <cell r="C42" t="str">
            <v>DESCRIPTION</v>
          </cell>
          <cell r="E42" t="str">
            <v>% Loss</v>
          </cell>
          <cell r="F42" t="str">
            <v>Standard</v>
          </cell>
          <cell r="G42" t="str">
            <v>Unit</v>
          </cell>
          <cell r="H42" t="str">
            <v>Std. Unit</v>
          </cell>
          <cell r="I42" t="str">
            <v>Standard</v>
          </cell>
          <cell r="K42" t="str">
            <v>Std. Unit</v>
          </cell>
          <cell r="L42" t="str">
            <v>Standard</v>
          </cell>
          <cell r="N42" t="str">
            <v>Std. Unit</v>
          </cell>
          <cell r="O42" t="str">
            <v>Standard</v>
          </cell>
          <cell r="S42" t="str">
            <v>M#</v>
          </cell>
          <cell r="T42" t="str">
            <v>DESCRIPTION</v>
          </cell>
          <cell r="U42">
            <v>5.4359999999999999</v>
          </cell>
          <cell r="V42">
            <v>1</v>
          </cell>
          <cell r="W42">
            <v>5.4903599999999999</v>
          </cell>
          <cell r="X42" t="str">
            <v>kg</v>
          </cell>
          <cell r="Y42">
            <v>0.92852108932249322</v>
          </cell>
          <cell r="Z42">
            <v>5.0979150479726441</v>
          </cell>
          <cell r="AB42">
            <v>0.85834915746921181</v>
          </cell>
          <cell r="AC42">
            <v>4.7126458802026621</v>
          </cell>
          <cell r="AE42">
            <v>0.85834915746921181</v>
          </cell>
          <cell r="AF42">
            <v>4.7126458802026621</v>
          </cell>
          <cell r="AJ42" t="str">
            <v>M#</v>
          </cell>
          <cell r="AK42" t="str">
            <v>DESCRIPTION</v>
          </cell>
          <cell r="AM42" t="str">
            <v>% Loss</v>
          </cell>
          <cell r="AN42" t="str">
            <v>Standard</v>
          </cell>
          <cell r="AO42" t="str">
            <v>Unit</v>
          </cell>
          <cell r="AP42" t="str">
            <v>Std. Unit</v>
          </cell>
          <cell r="AQ42" t="str">
            <v>Standard</v>
          </cell>
          <cell r="AS42" t="str">
            <v>Std. Unit</v>
          </cell>
          <cell r="AT42" t="str">
            <v>Standard</v>
          </cell>
          <cell r="AV42" t="str">
            <v>Std. Unit</v>
          </cell>
          <cell r="AW42" t="str">
            <v>Standard</v>
          </cell>
          <cell r="AX42" t="str">
            <v>Remarks</v>
          </cell>
          <cell r="BA42" t="str">
            <v>M#</v>
          </cell>
          <cell r="BB42" t="str">
            <v>DESCRIPTION</v>
          </cell>
          <cell r="BD42" t="str">
            <v>% Loss</v>
          </cell>
          <cell r="BE42" t="str">
            <v>Standard</v>
          </cell>
          <cell r="BF42" t="str">
            <v>Unit</v>
          </cell>
          <cell r="BG42" t="str">
            <v>Std. Unit</v>
          </cell>
          <cell r="BH42" t="str">
            <v>Standard</v>
          </cell>
          <cell r="BJ42" t="str">
            <v>Std. Unit</v>
          </cell>
          <cell r="BK42" t="str">
            <v>Standard</v>
          </cell>
          <cell r="BM42" t="str">
            <v>Std. Unit</v>
          </cell>
          <cell r="BN42" t="str">
            <v>Standard</v>
          </cell>
          <cell r="BO42" t="str">
            <v>Remarks</v>
          </cell>
        </row>
        <row r="43">
          <cell r="D43" t="str">
            <v>Amount</v>
          </cell>
          <cell r="E43" t="str">
            <v>Allowance</v>
          </cell>
          <cell r="F43" t="str">
            <v>Usage</v>
          </cell>
          <cell r="H43" t="str">
            <v>Price</v>
          </cell>
          <cell r="I43" t="str">
            <v>Cost</v>
          </cell>
          <cell r="K43" t="str">
            <v>Price</v>
          </cell>
          <cell r="L43" t="str">
            <v>Cost</v>
          </cell>
          <cell r="N43" t="str">
            <v>Price</v>
          </cell>
          <cell r="O43" t="str">
            <v>Cost</v>
          </cell>
          <cell r="Z43">
            <v>5.0979150479726441</v>
          </cell>
          <cell r="AC43">
            <v>4.7126458802026621</v>
          </cell>
          <cell r="AF43">
            <v>4.7126458802026621</v>
          </cell>
          <cell r="AL43" t="str">
            <v>Amount</v>
          </cell>
          <cell r="AM43" t="str">
            <v>Allowance</v>
          </cell>
          <cell r="AN43" t="str">
            <v>Usage</v>
          </cell>
          <cell r="AP43" t="str">
            <v>Price</v>
          </cell>
          <cell r="AQ43" t="str">
            <v>Cost</v>
          </cell>
          <cell r="AS43" t="str">
            <v>Price</v>
          </cell>
          <cell r="AT43" t="str">
            <v>Cost</v>
          </cell>
          <cell r="AV43" t="str">
            <v>Price</v>
          </cell>
          <cell r="AW43" t="str">
            <v>Cost</v>
          </cell>
          <cell r="BC43" t="str">
            <v>Amount</v>
          </cell>
          <cell r="BD43" t="str">
            <v>Allowance</v>
          </cell>
          <cell r="BE43" t="str">
            <v>Usage</v>
          </cell>
          <cell r="BG43" t="str">
            <v>Price</v>
          </cell>
          <cell r="BH43" t="str">
            <v>Cost</v>
          </cell>
          <cell r="BJ43" t="str">
            <v>Price</v>
          </cell>
          <cell r="BK43" t="str">
            <v>Cost</v>
          </cell>
          <cell r="BM43" t="str">
            <v>Price</v>
          </cell>
          <cell r="BN43" t="str">
            <v>Cost</v>
          </cell>
        </row>
        <row r="44">
          <cell r="C44" t="str">
            <v>A.   Pink Soap</v>
          </cell>
          <cell r="D44">
            <v>5.4359999999999999</v>
          </cell>
          <cell r="E44">
            <v>1</v>
          </cell>
          <cell r="F44">
            <v>5.4903599999999999</v>
          </cell>
          <cell r="G44" t="str">
            <v>kg</v>
          </cell>
          <cell r="H44">
            <v>0.94490571694800007</v>
          </cell>
          <cell r="I44">
            <v>5.1878725521026219</v>
          </cell>
          <cell r="K44">
            <v>0.87482930030234907</v>
          </cell>
          <cell r="L44">
            <v>4.8031277972080053</v>
          </cell>
          <cell r="N44">
            <v>0.87482930030234907</v>
          </cell>
          <cell r="O44">
            <v>4.8031277972080053</v>
          </cell>
          <cell r="T44" t="str">
            <v>A.   Pink Soap</v>
          </cell>
          <cell r="AK44" t="str">
            <v>A.   Green Soap</v>
          </cell>
          <cell r="AL44">
            <v>5.4359999999999999</v>
          </cell>
          <cell r="AM44">
            <v>1</v>
          </cell>
          <cell r="AN44">
            <v>5.4903599999999999</v>
          </cell>
          <cell r="AO44" t="str">
            <v>kg</v>
          </cell>
          <cell r="AP44">
            <v>0.87590183866982196</v>
          </cell>
          <cell r="AQ44">
            <v>4.8090164189592439</v>
          </cell>
          <cell r="AS44">
            <v>0.80689098548800009</v>
          </cell>
          <cell r="AT44">
            <v>4.4301219910838965</v>
          </cell>
          <cell r="AV44">
            <v>0.80689098548800009</v>
          </cell>
          <cell r="AW44">
            <v>4.4301219910838965</v>
          </cell>
          <cell r="BB44" t="str">
            <v>A.   Green Soap</v>
          </cell>
          <cell r="BC44">
            <v>5.4359999999999999</v>
          </cell>
          <cell r="BD44">
            <v>1</v>
          </cell>
          <cell r="BE44">
            <v>5.4903599999999999</v>
          </cell>
          <cell r="BF44" t="str">
            <v>kg</v>
          </cell>
          <cell r="BG44">
            <v>0.91927181655655121</v>
          </cell>
          <cell r="BH44">
            <v>5.0471332107494264</v>
          </cell>
          <cell r="BJ44">
            <v>0.85144079189815702</v>
          </cell>
          <cell r="BK44">
            <v>4.6747164662059655</v>
          </cell>
          <cell r="BM44">
            <v>0.85144079189815702</v>
          </cell>
          <cell r="BN44">
            <v>4.6747164662059655</v>
          </cell>
        </row>
        <row r="45">
          <cell r="C45" t="str">
            <v>Total Pink Soap</v>
          </cell>
          <cell r="I45">
            <v>5.1878725521026219</v>
          </cell>
          <cell r="L45">
            <v>4.8031277972080053</v>
          </cell>
          <cell r="O45">
            <v>4.8031277972080053</v>
          </cell>
          <cell r="T45" t="str">
            <v>Total Pink Soap</v>
          </cell>
          <cell r="AK45" t="str">
            <v>Total Pink Soap</v>
          </cell>
          <cell r="AQ45">
            <v>4.8090164189592439</v>
          </cell>
          <cell r="AT45">
            <v>4.4301219910838965</v>
          </cell>
          <cell r="AW45">
            <v>4.4301219910838965</v>
          </cell>
          <cell r="BB45" t="str">
            <v>Total Pink Soap</v>
          </cell>
          <cell r="BH45">
            <v>5.0471332107494264</v>
          </cell>
          <cell r="BK45">
            <v>4.6747164662059655</v>
          </cell>
          <cell r="BN45">
            <v>4.6747164662059655</v>
          </cell>
        </row>
        <row r="47">
          <cell r="C47" t="str">
            <v>B.   PACKAGING MATERIALS</v>
          </cell>
          <cell r="T47" t="str">
            <v>B.   PACKAGING MATERIALS</v>
          </cell>
          <cell r="AK47" t="str">
            <v>B.   PACKAGING MATERIALS</v>
          </cell>
          <cell r="BB47" t="str">
            <v>B.   PACKAGING MATERIALS</v>
          </cell>
        </row>
        <row r="48">
          <cell r="B48" t="str">
            <v>PM300</v>
          </cell>
          <cell r="C48" t="str">
            <v>White carton</v>
          </cell>
          <cell r="D48">
            <v>72</v>
          </cell>
          <cell r="E48">
            <v>1</v>
          </cell>
          <cell r="F48">
            <v>72.72</v>
          </cell>
          <cell r="G48" t="str">
            <v>pc</v>
          </cell>
          <cell r="H48">
            <v>2.1570319240724764E-2</v>
          </cell>
          <cell r="I48">
            <v>1.5685936151855049</v>
          </cell>
          <cell r="K48">
            <v>2.1570319240724764E-2</v>
          </cell>
          <cell r="L48">
            <v>1.5685936151855049</v>
          </cell>
          <cell r="N48">
            <v>2.9399999999999999E-2</v>
          </cell>
          <cell r="O48">
            <v>2.1379679999999999</v>
          </cell>
          <cell r="S48" t="str">
            <v>PM300</v>
          </cell>
          <cell r="T48" t="str">
            <v>Pink Carton</v>
          </cell>
          <cell r="U48">
            <v>72</v>
          </cell>
          <cell r="V48">
            <v>1</v>
          </cell>
          <cell r="W48">
            <v>72.72</v>
          </cell>
          <cell r="X48" t="str">
            <v>pc</v>
          </cell>
          <cell r="Y48">
            <v>2.1570319240724764E-2</v>
          </cell>
          <cell r="Z48">
            <v>1.5685936151855049</v>
          </cell>
          <cell r="AB48">
            <v>2.1570319240724764E-2</v>
          </cell>
          <cell r="AC48">
            <v>1.5685936151855049</v>
          </cell>
          <cell r="AE48">
            <v>2.6964560862865947E-2</v>
          </cell>
          <cell r="AF48">
            <v>1.9608628659476117</v>
          </cell>
          <cell r="AJ48" t="str">
            <v>PM300</v>
          </cell>
          <cell r="AK48" t="str">
            <v>Green carton</v>
          </cell>
          <cell r="AL48">
            <v>72</v>
          </cell>
          <cell r="AM48">
            <v>1</v>
          </cell>
          <cell r="AN48">
            <v>72.72</v>
          </cell>
          <cell r="AO48" t="str">
            <v>pc</v>
          </cell>
          <cell r="AP48">
            <v>2.1570319240724764E-2</v>
          </cell>
          <cell r="AQ48">
            <v>1.5685936151855049</v>
          </cell>
          <cell r="AS48">
            <v>2.1570319240724764E-2</v>
          </cell>
          <cell r="AT48">
            <v>1.5685936151855049</v>
          </cell>
          <cell r="AV48">
            <v>2.9399999999999999E-2</v>
          </cell>
          <cell r="AW48">
            <v>2.1379679999999999</v>
          </cell>
          <cell r="BA48" t="str">
            <v>PM300</v>
          </cell>
          <cell r="BB48" t="str">
            <v>Green carton</v>
          </cell>
          <cell r="BC48">
            <v>72</v>
          </cell>
          <cell r="BD48">
            <v>1</v>
          </cell>
          <cell r="BE48">
            <v>72.72</v>
          </cell>
          <cell r="BF48" t="str">
            <v>pc</v>
          </cell>
          <cell r="BG48">
            <v>2.9399999999999999E-2</v>
          </cell>
          <cell r="BH48">
            <v>2.1379679999999999</v>
          </cell>
          <cell r="BJ48">
            <v>2.9399999999999999E-2</v>
          </cell>
          <cell r="BK48">
            <v>2.1379679999999999</v>
          </cell>
          <cell r="BM48" t="e">
            <v>#REF!</v>
          </cell>
          <cell r="BN48" t="e">
            <v>#REF!</v>
          </cell>
        </row>
        <row r="49">
          <cell r="B49" t="str">
            <v>PM310</v>
          </cell>
          <cell r="C49" t="str">
            <v>Shipper</v>
          </cell>
          <cell r="D49">
            <v>1</v>
          </cell>
          <cell r="E49">
            <v>1</v>
          </cell>
          <cell r="F49">
            <v>1.01</v>
          </cell>
          <cell r="G49" t="str">
            <v>pc</v>
          </cell>
          <cell r="H49">
            <v>0.16537244751222319</v>
          </cell>
          <cell r="I49">
            <v>0.16702617198734543</v>
          </cell>
          <cell r="K49">
            <v>0.16537244751222319</v>
          </cell>
          <cell r="L49">
            <v>0.16702617198734543</v>
          </cell>
          <cell r="N49">
            <v>0.19439999999999999</v>
          </cell>
          <cell r="O49">
            <v>0.19634399999999999</v>
          </cell>
          <cell r="S49" t="str">
            <v>PM310</v>
          </cell>
          <cell r="T49" t="str">
            <v>Shipper</v>
          </cell>
          <cell r="U49">
            <v>1</v>
          </cell>
          <cell r="V49">
            <v>1</v>
          </cell>
          <cell r="W49">
            <v>1.01</v>
          </cell>
          <cell r="X49" t="str">
            <v>pc</v>
          </cell>
          <cell r="Y49">
            <v>0.16537244751222319</v>
          </cell>
          <cell r="Z49">
            <v>0.16702617198734543</v>
          </cell>
          <cell r="AB49">
            <v>0.16537244751222319</v>
          </cell>
          <cell r="AC49">
            <v>0.16702617198734543</v>
          </cell>
          <cell r="AE49">
            <v>0.19260400616332821</v>
          </cell>
          <cell r="AF49">
            <v>0.19453004622496148</v>
          </cell>
          <cell r="AJ49" t="str">
            <v>PM310</v>
          </cell>
          <cell r="AK49" t="str">
            <v>Shipper</v>
          </cell>
          <cell r="AL49">
            <v>1</v>
          </cell>
          <cell r="AM49">
            <v>1</v>
          </cell>
          <cell r="AN49">
            <v>1.01</v>
          </cell>
          <cell r="AO49" t="str">
            <v>pc</v>
          </cell>
          <cell r="AP49">
            <v>0.16537244751222319</v>
          </cell>
          <cell r="AQ49">
            <v>0.16702617198734543</v>
          </cell>
          <cell r="AS49">
            <v>0.16537244751222319</v>
          </cell>
          <cell r="AT49">
            <v>0.16702617198734543</v>
          </cell>
          <cell r="AV49">
            <v>0.19439999999999999</v>
          </cell>
          <cell r="AW49">
            <v>0.19634399999999999</v>
          </cell>
          <cell r="BA49" t="str">
            <v>PM310</v>
          </cell>
          <cell r="BB49" t="str">
            <v>Shipper</v>
          </cell>
          <cell r="BC49">
            <v>1</v>
          </cell>
          <cell r="BD49">
            <v>1</v>
          </cell>
          <cell r="BE49">
            <v>1.01</v>
          </cell>
          <cell r="BF49" t="str">
            <v>pc</v>
          </cell>
          <cell r="BG49">
            <v>0.19439999999999999</v>
          </cell>
          <cell r="BH49">
            <v>0.19634399999999999</v>
          </cell>
          <cell r="BJ49">
            <v>0.19439999999999999</v>
          </cell>
          <cell r="BK49">
            <v>0.19634399999999999</v>
          </cell>
          <cell r="BM49" t="e">
            <v>#REF!</v>
          </cell>
          <cell r="BN49" t="e">
            <v>#REF!</v>
          </cell>
        </row>
        <row r="50">
          <cell r="B50" t="str">
            <v>PM320</v>
          </cell>
          <cell r="C50" t="str">
            <v>Bundle film</v>
          </cell>
          <cell r="D50">
            <v>2.7272727272727271E-2</v>
          </cell>
          <cell r="E50">
            <v>1</v>
          </cell>
          <cell r="F50">
            <v>2.7545454545454543E-2</v>
          </cell>
          <cell r="G50" t="str">
            <v>pc</v>
          </cell>
          <cell r="H50">
            <v>2.1570319240724762</v>
          </cell>
          <cell r="I50">
            <v>5.9416424817632749E-2</v>
          </cell>
          <cell r="K50">
            <v>2.1570319240724762</v>
          </cell>
          <cell r="L50">
            <v>5.9416424817632749E-2</v>
          </cell>
          <cell r="N50">
            <v>2.64</v>
          </cell>
          <cell r="O50">
            <v>7.2719999999999993E-2</v>
          </cell>
          <cell r="S50" t="str">
            <v>PM320</v>
          </cell>
          <cell r="T50" t="str">
            <v>Bundle film</v>
          </cell>
          <cell r="U50">
            <v>2.7272727272727271E-2</v>
          </cell>
          <cell r="V50">
            <v>1</v>
          </cell>
          <cell r="W50">
            <v>2.7545454545454543E-2</v>
          </cell>
          <cell r="X50" t="str">
            <v>pc</v>
          </cell>
          <cell r="Y50">
            <v>2.1570319240724762</v>
          </cell>
          <cell r="Z50">
            <v>5.9416424817632749E-2</v>
          </cell>
          <cell r="AB50">
            <v>2.1570319240724762</v>
          </cell>
          <cell r="AC50">
            <v>5.9416424817632749E-2</v>
          </cell>
          <cell r="AE50">
            <v>2.3112480739599386</v>
          </cell>
          <cell r="AF50">
            <v>6.3664378764532847E-2</v>
          </cell>
          <cell r="AJ50" t="str">
            <v>PM320</v>
          </cell>
          <cell r="AK50" t="str">
            <v>Bundle film</v>
          </cell>
          <cell r="AL50">
            <v>2.7272727272727271E-2</v>
          </cell>
          <cell r="AM50">
            <v>1</v>
          </cell>
          <cell r="AN50">
            <v>2.7545454545454543E-2</v>
          </cell>
          <cell r="AO50" t="str">
            <v>pc</v>
          </cell>
          <cell r="AP50">
            <v>2.1570319240724762</v>
          </cell>
          <cell r="AQ50">
            <v>5.9416424817632749E-2</v>
          </cell>
          <cell r="AS50">
            <v>2.1570319240724762</v>
          </cell>
          <cell r="AT50">
            <v>5.9416424817632749E-2</v>
          </cell>
          <cell r="AV50">
            <v>2.64</v>
          </cell>
          <cell r="AW50">
            <v>7.2719999999999993E-2</v>
          </cell>
          <cell r="BA50" t="str">
            <v>PM320</v>
          </cell>
          <cell r="BB50" t="str">
            <v>Bundle film</v>
          </cell>
          <cell r="BC50">
            <v>2.7272727272727271E-2</v>
          </cell>
          <cell r="BD50">
            <v>1</v>
          </cell>
          <cell r="BE50">
            <v>2.7545454545454543E-2</v>
          </cell>
          <cell r="BF50" t="str">
            <v>pc</v>
          </cell>
          <cell r="BG50">
            <v>2.64</v>
          </cell>
          <cell r="BH50">
            <v>7.2719999999999993E-2</v>
          </cell>
          <cell r="BJ50">
            <v>2.64</v>
          </cell>
          <cell r="BK50">
            <v>7.2719999999999993E-2</v>
          </cell>
          <cell r="BM50" t="e">
            <v>#REF!</v>
          </cell>
          <cell r="BN50" t="e">
            <v>#REF!</v>
          </cell>
        </row>
        <row r="51">
          <cell r="C51" t="str">
            <v>Tape</v>
          </cell>
          <cell r="D51">
            <v>0</v>
          </cell>
          <cell r="E51">
            <v>1</v>
          </cell>
          <cell r="F51">
            <v>0</v>
          </cell>
          <cell r="G51" t="str">
            <v>m</v>
          </cell>
          <cell r="I51">
            <v>0</v>
          </cell>
          <cell r="L51">
            <v>0</v>
          </cell>
          <cell r="N51">
            <v>1.056E-2</v>
          </cell>
          <cell r="O51">
            <v>0</v>
          </cell>
          <cell r="T51" t="str">
            <v>Tape</v>
          </cell>
          <cell r="U51">
            <v>0.91463000000000005</v>
          </cell>
          <cell r="V51">
            <v>1</v>
          </cell>
          <cell r="W51">
            <v>0.92377630000000011</v>
          </cell>
          <cell r="X51" t="str">
            <v>m</v>
          </cell>
          <cell r="Y51">
            <v>0</v>
          </cell>
          <cell r="Z51">
            <v>0</v>
          </cell>
          <cell r="AB51">
            <v>0</v>
          </cell>
          <cell r="AC51">
            <v>0</v>
          </cell>
          <cell r="AE51">
            <v>1.056E-2</v>
          </cell>
          <cell r="AF51">
            <v>9.7550777280000014E-3</v>
          </cell>
          <cell r="AK51" t="str">
            <v>Tape</v>
          </cell>
          <cell r="AL51">
            <v>0.91463000000000005</v>
          </cell>
          <cell r="AM51">
            <v>1</v>
          </cell>
          <cell r="AN51">
            <v>0.92377630000000011</v>
          </cell>
          <cell r="AO51" t="str">
            <v>m</v>
          </cell>
          <cell r="AP51">
            <v>0</v>
          </cell>
          <cell r="AQ51">
            <v>0</v>
          </cell>
          <cell r="AS51">
            <v>0</v>
          </cell>
          <cell r="AT51">
            <v>0</v>
          </cell>
          <cell r="AV51">
            <v>1.056E-2</v>
          </cell>
          <cell r="AW51">
            <v>9.7550777280000014E-3</v>
          </cell>
          <cell r="BB51" t="str">
            <v>Tape</v>
          </cell>
          <cell r="BC51">
            <v>0.91463000000000005</v>
          </cell>
          <cell r="BD51">
            <v>1</v>
          </cell>
          <cell r="BE51">
            <v>0.92377630000000011</v>
          </cell>
          <cell r="BF51" t="str">
            <v>m</v>
          </cell>
          <cell r="BG51">
            <v>1.056E-2</v>
          </cell>
          <cell r="BH51">
            <v>9.7550777280000014E-3</v>
          </cell>
          <cell r="BJ51">
            <v>1.056E-2</v>
          </cell>
          <cell r="BK51">
            <v>9.7550777280000014E-3</v>
          </cell>
          <cell r="BM51" t="e">
            <v>#REF!</v>
          </cell>
          <cell r="BN51" t="e">
            <v>#REF!</v>
          </cell>
        </row>
        <row r="53">
          <cell r="C53" t="str">
            <v>TOTAL RAW &amp; PACKAGING MATERIALS</v>
          </cell>
          <cell r="I53">
            <v>1.795036211990483</v>
          </cell>
          <cell r="L53">
            <v>1.795036211990483</v>
          </cell>
          <cell r="O53">
            <v>2.4070319999999996</v>
          </cell>
          <cell r="T53" t="str">
            <v>TOTAL RAW &amp; PACKAGING MATERIALS</v>
          </cell>
          <cell r="Z53">
            <v>1.795036211990483</v>
          </cell>
          <cell r="AC53">
            <v>1.795036211990483</v>
          </cell>
          <cell r="AF53">
            <v>2.228812368665106</v>
          </cell>
          <cell r="AK53" t="str">
            <v>TOTAL RAW &amp; PACKAGING MATERIALS</v>
          </cell>
          <cell r="AQ53">
            <v>1.795036211990483</v>
          </cell>
          <cell r="AT53">
            <v>1.795036211990483</v>
          </cell>
          <cell r="AW53">
            <v>2.4167870777279998</v>
          </cell>
          <cell r="BB53" t="str">
            <v>TOTAL RAW &amp; PACKAGING MATERIALS</v>
          </cell>
          <cell r="BH53">
            <v>2.4167870777279998</v>
          </cell>
          <cell r="BK53">
            <v>2.4167870777279998</v>
          </cell>
          <cell r="BN53" t="e">
            <v>#REF!</v>
          </cell>
        </row>
        <row r="54">
          <cell r="C54" t="str">
            <v>B.   DIRECT LABOR ALLOWANCE</v>
          </cell>
          <cell r="I54">
            <v>0.94407032967032967</v>
          </cell>
          <cell r="L54">
            <v>0.94407032967032967</v>
          </cell>
          <cell r="T54" t="str">
            <v>B.   DIRECT LABOR ALLOWANCE</v>
          </cell>
          <cell r="Z54">
            <v>0.94407032967032967</v>
          </cell>
          <cell r="AC54">
            <v>0.94407032967032967</v>
          </cell>
          <cell r="AF54">
            <v>0.94407032967032967</v>
          </cell>
          <cell r="AK54" t="str">
            <v>B.   DIRECT LABOR ALLOWANCE</v>
          </cell>
          <cell r="AQ54">
            <v>0.94407032967032967</v>
          </cell>
          <cell r="AT54">
            <v>0.94407032967032967</v>
          </cell>
          <cell r="BB54" t="str">
            <v>B.   DIRECT LABOR ALLOWANCE</v>
          </cell>
          <cell r="BN54">
            <v>0.94407032967032967</v>
          </cell>
        </row>
        <row r="55">
          <cell r="C55" t="str">
            <v>TOTAL DIRECT COST ( excluding NVOs ) / case</v>
          </cell>
          <cell r="I55">
            <v>7.9269790937634355</v>
          </cell>
          <cell r="L55">
            <v>7.542234338868818</v>
          </cell>
          <cell r="O55">
            <v>0.94407032967032967</v>
          </cell>
          <cell r="T55" t="str">
            <v>TOTAL DIRECT COST ( excluding NVOs ) / case</v>
          </cell>
          <cell r="Z55">
            <v>7.8370215896334567</v>
          </cell>
          <cell r="AC55">
            <v>7.4517524218634748</v>
          </cell>
          <cell r="AF55">
            <v>7.8855285785380982</v>
          </cell>
          <cell r="AK55" t="str">
            <v>TOTAL DIRECT COST ( excluding NVOs ) / case</v>
          </cell>
          <cell r="AQ55">
            <v>7.5481229606200575</v>
          </cell>
          <cell r="AT55">
            <v>7.1692285327447092</v>
          </cell>
          <cell r="AW55">
            <v>0.94407032967032967</v>
          </cell>
          <cell r="BB55" t="str">
            <v>TOTAL DIRECT COST ( excluding NVOs ) / case</v>
          </cell>
          <cell r="BH55">
            <v>0.94407032967032967</v>
          </cell>
          <cell r="BK55">
            <v>0.94407032967032967</v>
          </cell>
          <cell r="BN55" t="e">
            <v>#REF!</v>
          </cell>
        </row>
        <row r="56">
          <cell r="C56" t="str">
            <v>Add: 3% of ASP as Freight</v>
          </cell>
          <cell r="I56">
            <v>0.28912941176470591</v>
          </cell>
          <cell r="L56">
            <v>0.28912941176470591</v>
          </cell>
          <cell r="O56">
            <v>0</v>
          </cell>
          <cell r="P56">
            <v>0.22921119094299153</v>
          </cell>
          <cell r="T56" t="str">
            <v>Add: 3% of ASP as Freight</v>
          </cell>
          <cell r="Z56">
            <v>0.28912941176470591</v>
          </cell>
          <cell r="AC56">
            <v>0.28912941176470591</v>
          </cell>
          <cell r="AF56">
            <v>7.7343726396567874E-3</v>
          </cell>
          <cell r="AK56" t="str">
            <v>Add: 3% of ASP as Freight</v>
          </cell>
          <cell r="AQ56">
            <v>0.28912941176470591</v>
          </cell>
          <cell r="AT56">
            <v>0.28912941176470591</v>
          </cell>
          <cell r="AW56">
            <v>0</v>
          </cell>
          <cell r="BB56" t="str">
            <v>Add: 3% of ASP as Freight</v>
          </cell>
          <cell r="BH56">
            <v>0</v>
          </cell>
          <cell r="BK56">
            <v>0</v>
          </cell>
          <cell r="BN56">
            <v>0</v>
          </cell>
        </row>
        <row r="57">
          <cell r="C57" t="str">
            <v>Total VFC</v>
          </cell>
          <cell r="I57">
            <v>8.2161085055281422</v>
          </cell>
          <cell r="L57">
            <v>7.8313637506335239</v>
          </cell>
          <cell r="O57">
            <v>8.1542301268783355</v>
          </cell>
          <cell r="T57" t="str">
            <v>Total VFC</v>
          </cell>
          <cell r="Z57">
            <v>8.1261510013981635</v>
          </cell>
          <cell r="AC57">
            <v>7.7408818336281806</v>
          </cell>
          <cell r="AF57">
            <v>7.8932629511777552</v>
          </cell>
          <cell r="AK57" t="str">
            <v>Total VFC</v>
          </cell>
          <cell r="AQ57">
            <v>7.8372523723847634</v>
          </cell>
          <cell r="AT57">
            <v>7.458357944509415</v>
          </cell>
          <cell r="AW57">
            <v>7.7909793984822269</v>
          </cell>
          <cell r="BB57" t="str">
            <v>Total VFC</v>
          </cell>
          <cell r="BH57">
            <v>8.4079906181477568</v>
          </cell>
          <cell r="BK57">
            <v>8.0355738736042959</v>
          </cell>
          <cell r="BN57" t="e">
            <v>#REF!</v>
          </cell>
        </row>
        <row r="58">
          <cell r="C58" t="str">
            <v>ASP</v>
          </cell>
          <cell r="I58">
            <v>9.5412705882352924</v>
          </cell>
          <cell r="L58">
            <v>9.5412705882352924</v>
          </cell>
          <cell r="O58">
            <v>153600</v>
          </cell>
          <cell r="T58" t="str">
            <v>ASP</v>
          </cell>
          <cell r="Z58">
            <v>9.5412705882352924</v>
          </cell>
          <cell r="AC58">
            <v>9.5412705882352924</v>
          </cell>
          <cell r="AF58">
            <v>11.167165238828966</v>
          </cell>
          <cell r="AK58" t="str">
            <v>ASP</v>
          </cell>
          <cell r="AQ58">
            <v>9.5412705882352924</v>
          </cell>
          <cell r="AT58">
            <v>9.5412705882352924</v>
          </cell>
          <cell r="AW58">
            <v>0</v>
          </cell>
          <cell r="BB58" t="str">
            <v>ASP</v>
          </cell>
          <cell r="BH58">
            <v>0</v>
          </cell>
          <cell r="BK58">
            <v>0</v>
          </cell>
          <cell r="BN58">
            <v>0</v>
          </cell>
        </row>
        <row r="59">
          <cell r="C59" t="str">
            <v>Margin</v>
          </cell>
          <cell r="I59">
            <v>1.3251620827071502</v>
          </cell>
          <cell r="L59">
            <v>1.7099068376017685</v>
          </cell>
          <cell r="O59">
            <v>153591.84576987312</v>
          </cell>
          <cell r="T59" t="str">
            <v>Margin</v>
          </cell>
          <cell r="Z59">
            <v>1.4151195868371289</v>
          </cell>
          <cell r="AC59">
            <v>1.8003887546071118</v>
          </cell>
          <cell r="AF59">
            <v>3.2739022876512109</v>
          </cell>
          <cell r="AK59" t="str">
            <v>Margin</v>
          </cell>
          <cell r="AQ59">
            <v>1.704018215850529</v>
          </cell>
          <cell r="AT59">
            <v>2.0829126437258774</v>
          </cell>
          <cell r="AW59">
            <v>-7.7909793984822269</v>
          </cell>
          <cell r="BB59" t="str">
            <v>Margin</v>
          </cell>
          <cell r="BH59">
            <v>-8.4079906181477568</v>
          </cell>
          <cell r="BK59">
            <v>-8.0355738736042959</v>
          </cell>
          <cell r="BN59" t="e">
            <v>#REF!</v>
          </cell>
        </row>
        <row r="60">
          <cell r="C60" t="str">
            <v>%</v>
          </cell>
          <cell r="I60">
            <v>0.13888738092609171</v>
          </cell>
          <cell r="L60">
            <v>0.17921164920216615</v>
          </cell>
          <cell r="O60">
            <v>0.99994691256427815</v>
          </cell>
          <cell r="T60" t="str">
            <v>%</v>
          </cell>
          <cell r="Z60">
            <v>0.14831563299148218</v>
          </cell>
          <cell r="AC60">
            <v>0.18869486385042383</v>
          </cell>
          <cell r="AF60">
            <v>0.29317218986494781</v>
          </cell>
          <cell r="AK60" t="str">
            <v>%</v>
          </cell>
          <cell r="AQ60">
            <v>0.1785944754519006</v>
          </cell>
          <cell r="AT60">
            <v>0.21830558356600627</v>
          </cell>
          <cell r="AW60" t="e">
            <v>#DIV/0!</v>
          </cell>
          <cell r="BB60" t="str">
            <v>%</v>
          </cell>
          <cell r="BH60" t="e">
            <v>#DIV/0!</v>
          </cell>
          <cell r="BK60" t="e">
            <v>#DIV/0!</v>
          </cell>
          <cell r="BN60" t="e">
            <v>#REF!</v>
          </cell>
        </row>
        <row r="62">
          <cell r="B62" t="str">
            <v>NOTES:</v>
          </cell>
          <cell r="AJ62" t="str">
            <v>NOTES:</v>
          </cell>
          <cell r="BA62" t="str">
            <v>NOTES:</v>
          </cell>
        </row>
        <row r="63">
          <cell r="C63" t="str">
            <v>1.   Direct Labor Wage Rate</v>
          </cell>
          <cell r="D63">
            <v>0.94407032967032967</v>
          </cell>
          <cell r="E63" t="str">
            <v>USD/case</v>
          </cell>
          <cell r="S63" t="str">
            <v>NOTES:</v>
          </cell>
          <cell r="AK63" t="str">
            <v>1.   Direct Labor Wage Rate</v>
          </cell>
          <cell r="AL63">
            <v>0.94407032967032967</v>
          </cell>
          <cell r="AM63" t="str">
            <v>USD/case</v>
          </cell>
          <cell r="BB63" t="str">
            <v>1.   Direct Labor Wage Rate</v>
          </cell>
          <cell r="BC63">
            <v>0.94407032967032967</v>
          </cell>
          <cell r="BD63" t="str">
            <v>USD/case</v>
          </cell>
        </row>
        <row r="64">
          <cell r="T64" t="str">
            <v>1.   Direct Labor Wage Rate</v>
          </cell>
          <cell r="U64">
            <v>0.94407032967032967</v>
          </cell>
          <cell r="V64" t="str">
            <v>USD/case</v>
          </cell>
        </row>
        <row r="71">
          <cell r="B71" t="str">
            <v>PRODUCTION COST SHEET</v>
          </cell>
          <cell r="S71" t="str">
            <v>PRODUCTION COST SHEET</v>
          </cell>
          <cell r="AJ71" t="str">
            <v>PRODUCTION COST SHEET</v>
          </cell>
          <cell r="BA71" t="str">
            <v>PRODUCTION COST SHEET</v>
          </cell>
        </row>
        <row r="73">
          <cell r="B73" t="str">
            <v>Cost Sheet No.</v>
          </cell>
          <cell r="C73" t="str">
            <v>POS100</v>
          </cell>
          <cell r="D73" t="str">
            <v>Unit:</v>
          </cell>
          <cell r="E73">
            <v>1</v>
          </cell>
          <cell r="F73" t="str">
            <v>case</v>
          </cell>
          <cell r="I73" t="str">
            <v>Prepared:</v>
          </cell>
          <cell r="L73" t="str">
            <v>Prepared:</v>
          </cell>
          <cell r="O73" t="str">
            <v>Prepared:</v>
          </cell>
          <cell r="P73">
            <v>36538</v>
          </cell>
          <cell r="S73" t="str">
            <v>Cost Sheet No.</v>
          </cell>
          <cell r="T73" t="str">
            <v>POS100</v>
          </cell>
          <cell r="U73" t="str">
            <v>Unit:</v>
          </cell>
          <cell r="V73">
            <v>1</v>
          </cell>
          <cell r="Z73" t="str">
            <v>Prepared:</v>
          </cell>
          <cell r="AC73" t="str">
            <v>Prepared:</v>
          </cell>
          <cell r="AF73" t="str">
            <v>Prepared:</v>
          </cell>
          <cell r="AG73">
            <v>36538</v>
          </cell>
          <cell r="AJ73" t="str">
            <v>Cost Sheet No.</v>
          </cell>
          <cell r="AK73" t="str">
            <v>POS100UBS</v>
          </cell>
          <cell r="AL73" t="str">
            <v>Unit:</v>
          </cell>
          <cell r="AM73">
            <v>1</v>
          </cell>
          <cell r="AN73" t="str">
            <v>case</v>
          </cell>
          <cell r="AQ73" t="str">
            <v>Prepared:</v>
          </cell>
          <cell r="AT73" t="str">
            <v>Prepared:</v>
          </cell>
          <cell r="AW73" t="str">
            <v>Prepared:</v>
          </cell>
          <cell r="AX73">
            <v>36538</v>
          </cell>
          <cell r="BA73" t="str">
            <v>Cost Sheet No.</v>
          </cell>
          <cell r="BB73" t="str">
            <v>POS100UBS</v>
          </cell>
          <cell r="BC73" t="str">
            <v>Unit:</v>
          </cell>
          <cell r="BD73">
            <v>1</v>
          </cell>
          <cell r="BE73" t="str">
            <v>case</v>
          </cell>
          <cell r="BH73" t="str">
            <v>Prepared:</v>
          </cell>
          <cell r="BK73" t="str">
            <v>Prepared:</v>
          </cell>
          <cell r="BN73" t="str">
            <v>Prepared:</v>
          </cell>
          <cell r="BO73">
            <v>36538</v>
          </cell>
        </row>
        <row r="74">
          <cell r="B74" t="str">
            <v>PRODUCT</v>
          </cell>
          <cell r="C74" t="str">
            <v xml:space="preserve">PALMOLIVE SOAP </v>
          </cell>
          <cell r="D74" t="str">
            <v>Case Count:</v>
          </cell>
          <cell r="E74">
            <v>48</v>
          </cell>
          <cell r="F74" t="str">
            <v>bars</v>
          </cell>
          <cell r="I74" t="str">
            <v>Reason</v>
          </cell>
          <cell r="L74" t="str">
            <v>Reason</v>
          </cell>
          <cell r="O74" t="str">
            <v>Reason</v>
          </cell>
          <cell r="P74" t="str">
            <v>Current 2000 - Q1</v>
          </cell>
          <cell r="S74" t="str">
            <v>PRODUCT</v>
          </cell>
          <cell r="T74" t="str">
            <v xml:space="preserve">PALMOLIVE SOAP </v>
          </cell>
          <cell r="U74" t="str">
            <v>Case Count:</v>
          </cell>
          <cell r="V74">
            <v>48</v>
          </cell>
          <cell r="W74" t="str">
            <v>bars</v>
          </cell>
          <cell r="Z74" t="str">
            <v>Reason</v>
          </cell>
          <cell r="AC74" t="str">
            <v>Reason</v>
          </cell>
          <cell r="AF74" t="str">
            <v>Reason</v>
          </cell>
          <cell r="AG74" t="str">
            <v>Current 2000 - Q1</v>
          </cell>
          <cell r="AJ74" t="str">
            <v>PRODUCT</v>
          </cell>
          <cell r="AK74" t="str">
            <v xml:space="preserve">PALMOLIVE SOAP </v>
          </cell>
          <cell r="AL74" t="str">
            <v>Case Count:</v>
          </cell>
          <cell r="AM74">
            <v>48</v>
          </cell>
          <cell r="AN74" t="str">
            <v>bars</v>
          </cell>
          <cell r="AQ74" t="str">
            <v>Reason</v>
          </cell>
          <cell r="AT74" t="str">
            <v>Reason</v>
          </cell>
          <cell r="AW74" t="str">
            <v>Reason</v>
          </cell>
          <cell r="AX74" t="str">
            <v>Current 2000 - Q1</v>
          </cell>
          <cell r="BA74" t="str">
            <v>PRODUCT</v>
          </cell>
          <cell r="BB74" t="str">
            <v xml:space="preserve">PALMOLIVE SOAP </v>
          </cell>
          <cell r="BC74" t="str">
            <v>Case Count:</v>
          </cell>
          <cell r="BD74">
            <v>48</v>
          </cell>
          <cell r="BE74" t="str">
            <v>bars</v>
          </cell>
          <cell r="BH74" t="str">
            <v>Reason</v>
          </cell>
          <cell r="BK74" t="str">
            <v>Reason</v>
          </cell>
          <cell r="BN74" t="str">
            <v>Reason</v>
          </cell>
          <cell r="BO74" t="str">
            <v>Current 2000 - Q1</v>
          </cell>
        </row>
        <row r="75">
          <cell r="B75" t="str">
            <v>VARIANT</v>
          </cell>
          <cell r="C75" t="str">
            <v>White UBS</v>
          </cell>
          <cell r="D75" t="str">
            <v>Bar Size:</v>
          </cell>
          <cell r="E75">
            <v>101</v>
          </cell>
          <cell r="F75" t="str">
            <v>gm</v>
          </cell>
          <cell r="I75" t="str">
            <v>Approved:</v>
          </cell>
          <cell r="L75" t="str">
            <v>Approved:</v>
          </cell>
          <cell r="O75" t="str">
            <v>Approved:</v>
          </cell>
          <cell r="S75" t="str">
            <v>VARIANT</v>
          </cell>
          <cell r="T75" t="str">
            <v>Pink UBS</v>
          </cell>
          <cell r="U75" t="str">
            <v>Bar Size:</v>
          </cell>
          <cell r="V75">
            <v>101</v>
          </cell>
          <cell r="W75" t="str">
            <v>gm</v>
          </cell>
          <cell r="Z75" t="str">
            <v>Approved:</v>
          </cell>
          <cell r="AC75" t="str">
            <v>Approved:</v>
          </cell>
          <cell r="AF75" t="str">
            <v>Approved:</v>
          </cell>
          <cell r="AJ75" t="str">
            <v>VARIANT</v>
          </cell>
          <cell r="AK75" t="str">
            <v>Green UBS</v>
          </cell>
          <cell r="AL75" t="str">
            <v>Bar Size:</v>
          </cell>
          <cell r="AM75">
            <v>101</v>
          </cell>
          <cell r="AN75" t="str">
            <v>gm</v>
          </cell>
          <cell r="AQ75" t="str">
            <v>Approved:</v>
          </cell>
          <cell r="AT75" t="str">
            <v>Approved:</v>
          </cell>
          <cell r="AW75" t="str">
            <v>Approved:</v>
          </cell>
          <cell r="BA75" t="str">
            <v>VARIANT</v>
          </cell>
          <cell r="BB75" t="str">
            <v>Peach UBS</v>
          </cell>
          <cell r="BC75" t="str">
            <v>Bar Size:</v>
          </cell>
          <cell r="BD75">
            <v>101</v>
          </cell>
          <cell r="BE75" t="str">
            <v>gm</v>
          </cell>
          <cell r="BH75" t="str">
            <v>Approved:</v>
          </cell>
          <cell r="BK75" t="str">
            <v>Approved:</v>
          </cell>
          <cell r="BN75" t="str">
            <v>Approved:</v>
          </cell>
        </row>
        <row r="78">
          <cell r="H78" t="str">
            <v>BUD 2000</v>
          </cell>
          <cell r="K78" t="str">
            <v>Current 2000</v>
          </cell>
          <cell r="N78">
            <v>0</v>
          </cell>
          <cell r="Y78" t="str">
            <v>BUD 2000</v>
          </cell>
          <cell r="AB78" t="str">
            <v>Current 2000</v>
          </cell>
          <cell r="AE78">
            <v>0</v>
          </cell>
          <cell r="AP78" t="str">
            <v>BUD 2000</v>
          </cell>
          <cell r="AS78" t="str">
            <v>Current 2000</v>
          </cell>
          <cell r="AV78">
            <v>0</v>
          </cell>
          <cell r="BG78" t="str">
            <v>BUD 2000</v>
          </cell>
          <cell r="BJ78" t="str">
            <v>Current 2000</v>
          </cell>
          <cell r="BM78">
            <v>0</v>
          </cell>
        </row>
        <row r="79">
          <cell r="B79" t="str">
            <v>M#</v>
          </cell>
          <cell r="C79" t="str">
            <v>DESCRIPTION</v>
          </cell>
          <cell r="E79" t="str">
            <v>% Loss</v>
          </cell>
          <cell r="F79" t="str">
            <v>Standard</v>
          </cell>
          <cell r="G79" t="str">
            <v>Unit</v>
          </cell>
          <cell r="H79" t="str">
            <v>Std. Unit</v>
          </cell>
          <cell r="I79" t="str">
            <v>Standard</v>
          </cell>
          <cell r="K79" t="str">
            <v>Std. Unit</v>
          </cell>
          <cell r="L79" t="str">
            <v>Standard</v>
          </cell>
          <cell r="N79" t="str">
            <v>Std. Unit</v>
          </cell>
          <cell r="O79" t="str">
            <v>Standard</v>
          </cell>
          <cell r="P79" t="str">
            <v>Remark</v>
          </cell>
          <cell r="S79" t="str">
            <v>M#</v>
          </cell>
          <cell r="T79" t="str">
            <v>DESCRIPTION</v>
          </cell>
          <cell r="V79" t="str">
            <v>% Loss</v>
          </cell>
          <cell r="W79" t="str">
            <v>Standard</v>
          </cell>
          <cell r="X79" t="str">
            <v>Unit</v>
          </cell>
          <cell r="Y79" t="str">
            <v>Std. Unit</v>
          </cell>
          <cell r="Z79" t="str">
            <v>Standard</v>
          </cell>
          <cell r="AB79" t="str">
            <v>Std. Unit</v>
          </cell>
          <cell r="AC79" t="str">
            <v>Standard</v>
          </cell>
          <cell r="AE79" t="str">
            <v>Std. Unit</v>
          </cell>
          <cell r="AF79" t="str">
            <v>Standard</v>
          </cell>
          <cell r="AG79" t="str">
            <v>Remark</v>
          </cell>
          <cell r="AJ79" t="str">
            <v>M#</v>
          </cell>
          <cell r="AK79" t="str">
            <v>DESCRIPTION</v>
          </cell>
          <cell r="AM79" t="str">
            <v>% Loss</v>
          </cell>
          <cell r="AN79" t="str">
            <v>Standard</v>
          </cell>
          <cell r="AO79" t="str">
            <v>Unit</v>
          </cell>
          <cell r="AP79" t="str">
            <v>Std. Unit</v>
          </cell>
          <cell r="AQ79" t="str">
            <v>Standard</v>
          </cell>
          <cell r="AS79" t="str">
            <v>Std. Unit</v>
          </cell>
          <cell r="AT79" t="str">
            <v>Standard</v>
          </cell>
          <cell r="AV79" t="str">
            <v>Std. Unit</v>
          </cell>
          <cell r="AW79" t="str">
            <v>Standard</v>
          </cell>
          <cell r="AX79" t="str">
            <v>Remark</v>
          </cell>
          <cell r="BA79" t="str">
            <v>M#</v>
          </cell>
          <cell r="BB79" t="str">
            <v>DESCRIPTION</v>
          </cell>
          <cell r="BD79" t="str">
            <v>% Loss</v>
          </cell>
          <cell r="BE79" t="str">
            <v>Standard</v>
          </cell>
          <cell r="BF79" t="str">
            <v>Unit</v>
          </cell>
          <cell r="BG79" t="str">
            <v>Std. Unit</v>
          </cell>
          <cell r="BH79" t="str">
            <v>Standard</v>
          </cell>
          <cell r="BJ79" t="str">
            <v>Std. Unit</v>
          </cell>
          <cell r="BK79" t="str">
            <v>Standard</v>
          </cell>
          <cell r="BM79" t="str">
            <v>Std. Unit</v>
          </cell>
          <cell r="BN79" t="str">
            <v>Standard</v>
          </cell>
          <cell r="BO79" t="str">
            <v>Remark</v>
          </cell>
        </row>
        <row r="80">
          <cell r="D80" t="str">
            <v>Amount</v>
          </cell>
          <cell r="E80" t="str">
            <v>Allowance</v>
          </cell>
          <cell r="F80" t="str">
            <v>Usage</v>
          </cell>
          <cell r="H80" t="str">
            <v>Price</v>
          </cell>
          <cell r="I80" t="str">
            <v>Cost</v>
          </cell>
          <cell r="K80" t="str">
            <v>Price</v>
          </cell>
          <cell r="L80" t="str">
            <v>Cost</v>
          </cell>
          <cell r="N80" t="str">
            <v>Price</v>
          </cell>
          <cell r="O80" t="str">
            <v>Cost</v>
          </cell>
          <cell r="U80" t="str">
            <v>Amount</v>
          </cell>
          <cell r="V80" t="str">
            <v>Allowance</v>
          </cell>
          <cell r="W80" t="str">
            <v>Usage</v>
          </cell>
          <cell r="Y80" t="str">
            <v>Price</v>
          </cell>
          <cell r="Z80" t="str">
            <v>Cost</v>
          </cell>
          <cell r="AB80" t="str">
            <v>Price</v>
          </cell>
          <cell r="AC80" t="str">
            <v>Cost</v>
          </cell>
          <cell r="AE80" t="str">
            <v>Price</v>
          </cell>
          <cell r="AF80" t="str">
            <v>Cost</v>
          </cell>
          <cell r="AL80" t="str">
            <v>Amount</v>
          </cell>
          <cell r="AM80" t="str">
            <v>Allowance</v>
          </cell>
          <cell r="AN80" t="str">
            <v>Usage</v>
          </cell>
          <cell r="AP80" t="str">
            <v>Price</v>
          </cell>
          <cell r="AQ80" t="str">
            <v>Cost</v>
          </cell>
          <cell r="AS80" t="str">
            <v>Price</v>
          </cell>
          <cell r="AT80" t="str">
            <v>Cost</v>
          </cell>
          <cell r="AV80" t="str">
            <v>Price</v>
          </cell>
          <cell r="AW80" t="str">
            <v>Cost</v>
          </cell>
          <cell r="BC80" t="str">
            <v>Amount</v>
          </cell>
          <cell r="BD80" t="str">
            <v>Allowance</v>
          </cell>
          <cell r="BE80" t="str">
            <v>Usage</v>
          </cell>
          <cell r="BG80" t="str">
            <v>Price</v>
          </cell>
          <cell r="BH80" t="str">
            <v>Cost</v>
          </cell>
          <cell r="BJ80" t="str">
            <v>Price</v>
          </cell>
          <cell r="BK80" t="str">
            <v>Cost</v>
          </cell>
          <cell r="BM80" t="str">
            <v>Price</v>
          </cell>
          <cell r="BN80" t="str">
            <v>Cost</v>
          </cell>
        </row>
        <row r="81">
          <cell r="C81" t="str">
            <v>A.  White Soap</v>
          </cell>
          <cell r="D81">
            <v>4.8479999999999999</v>
          </cell>
          <cell r="E81">
            <v>1</v>
          </cell>
          <cell r="F81">
            <v>4.8964799999999995</v>
          </cell>
          <cell r="G81" t="str">
            <v>kg</v>
          </cell>
          <cell r="H81">
            <v>0.94490571694800007</v>
          </cell>
          <cell r="I81">
            <v>4.626711944921543</v>
          </cell>
          <cell r="J81">
            <v>0.719859573273957</v>
          </cell>
          <cell r="K81">
            <v>0.87482930030234907</v>
          </cell>
          <cell r="L81">
            <v>4.2835841723444457</v>
          </cell>
          <cell r="M81">
            <v>0.71079252006722926</v>
          </cell>
          <cell r="N81">
            <v>0.87482930030234907</v>
          </cell>
          <cell r="O81">
            <v>4.2835841723444457</v>
          </cell>
          <cell r="T81" t="str">
            <v>A.   Pink Soap</v>
          </cell>
          <cell r="U81">
            <v>4.8479999999999999</v>
          </cell>
          <cell r="V81">
            <v>1</v>
          </cell>
          <cell r="W81">
            <v>4.8964799999999995</v>
          </cell>
          <cell r="X81" t="str">
            <v>kg</v>
          </cell>
          <cell r="Y81">
            <v>0.92852108932249322</v>
          </cell>
          <cell r="Z81">
            <v>4.546484943445801</v>
          </cell>
          <cell r="AA81">
            <v>0.71631856617890544</v>
          </cell>
          <cell r="AB81">
            <v>0.85834915746921181</v>
          </cell>
          <cell r="AC81">
            <v>4.2028894825648457</v>
          </cell>
          <cell r="AD81">
            <v>0.70686747626996871</v>
          </cell>
          <cell r="AE81">
            <v>0.85834915746921181</v>
          </cell>
          <cell r="AF81">
            <v>4.2028894825648457</v>
          </cell>
          <cell r="AK81" t="str">
            <v>Green Soap</v>
          </cell>
          <cell r="AL81">
            <v>4.8479999999999999</v>
          </cell>
          <cell r="AM81">
            <v>1</v>
          </cell>
          <cell r="AN81">
            <v>4.8964799999999995</v>
          </cell>
          <cell r="AO81" t="str">
            <v>kg</v>
          </cell>
          <cell r="AP81">
            <v>0.87590183866982196</v>
          </cell>
          <cell r="AQ81">
            <v>4.2888358350100093</v>
          </cell>
          <cell r="AR81">
            <v>0.7043156309861035</v>
          </cell>
          <cell r="AS81">
            <v>0.80689098548800009</v>
          </cell>
          <cell r="AT81">
            <v>3.9509255726222823</v>
          </cell>
          <cell r="AU81">
            <v>0.69389575147991667</v>
          </cell>
          <cell r="AV81">
            <v>0.80689098548800009</v>
          </cell>
          <cell r="AW81">
            <v>3.9509255726222823</v>
          </cell>
          <cell r="BB81" t="str">
            <v>Green Soap</v>
          </cell>
          <cell r="BC81">
            <v>4.8479999999999999</v>
          </cell>
          <cell r="BD81">
            <v>1</v>
          </cell>
          <cell r="BE81">
            <v>4.8964799999999995</v>
          </cell>
          <cell r="BF81" t="str">
            <v>kg</v>
          </cell>
          <cell r="BG81">
            <v>0.91927181655655121</v>
          </cell>
          <cell r="BH81">
            <v>4.501196064332821</v>
          </cell>
          <cell r="BI81">
            <v>0.71427982105115129</v>
          </cell>
          <cell r="BJ81">
            <v>0.85144079189815702</v>
          </cell>
          <cell r="BK81">
            <v>4.1690628087134876</v>
          </cell>
          <cell r="BL81">
            <v>0.70519025189475504</v>
          </cell>
          <cell r="BM81">
            <v>0.85144079189815702</v>
          </cell>
          <cell r="BN81">
            <v>4.1690628087134876</v>
          </cell>
        </row>
        <row r="82">
          <cell r="C82" t="str">
            <v>Total Pink Soap</v>
          </cell>
          <cell r="I82">
            <v>4.626711944921543</v>
          </cell>
          <cell r="L82">
            <v>4.2835841723444457</v>
          </cell>
          <cell r="O82">
            <v>4.2835841723444457</v>
          </cell>
          <cell r="T82" t="str">
            <v>Total Pink Soap</v>
          </cell>
          <cell r="Z82">
            <v>4.546484943445801</v>
          </cell>
          <cell r="AC82">
            <v>4.2028894825648457</v>
          </cell>
          <cell r="AF82">
            <v>4.2028894825648457</v>
          </cell>
          <cell r="AK82" t="str">
            <v>Total Green Soap</v>
          </cell>
          <cell r="AQ82">
            <v>4.2888358350100093</v>
          </cell>
          <cell r="AT82">
            <v>3.9509255726222823</v>
          </cell>
          <cell r="AW82">
            <v>3.9509255726222823</v>
          </cell>
          <cell r="BB82" t="str">
            <v>Total Green Soap</v>
          </cell>
          <cell r="BH82">
            <v>4.501196064332821</v>
          </cell>
          <cell r="BK82">
            <v>4.1690628087134876</v>
          </cell>
          <cell r="BN82">
            <v>4.1690628087134876</v>
          </cell>
        </row>
        <row r="84">
          <cell r="C84" t="str">
            <v>B.   PACKAGING MATERIALS</v>
          </cell>
          <cell r="T84" t="str">
            <v>B.   PACKAGING MATERIALS</v>
          </cell>
          <cell r="AK84" t="str">
            <v>B.   PACKAGING MATERIALS</v>
          </cell>
          <cell r="BB84" t="str">
            <v>B.   PACKAGING MATERIALS</v>
          </cell>
        </row>
        <row r="85">
          <cell r="B85" t="str">
            <v>PM303</v>
          </cell>
          <cell r="C85" t="str">
            <v>White carton</v>
          </cell>
          <cell r="D85">
            <v>48</v>
          </cell>
          <cell r="E85">
            <v>0.1</v>
          </cell>
          <cell r="F85">
            <v>48.047999999999995</v>
          </cell>
          <cell r="G85" t="str">
            <v>pc</v>
          </cell>
          <cell r="H85">
            <v>2.4585365853658538E-2</v>
          </cell>
          <cell r="I85">
            <v>1.1812776585365854</v>
          </cell>
          <cell r="J85">
            <v>0.18379230030207233</v>
          </cell>
          <cell r="K85">
            <v>2.3458110516934045E-2</v>
          </cell>
          <cell r="L85">
            <v>1.1271152941176468</v>
          </cell>
          <cell r="M85">
            <v>0.18702681868247828</v>
          </cell>
          <cell r="N85">
            <v>2.3458110516934045E-2</v>
          </cell>
          <cell r="O85">
            <v>1.1271152941176468</v>
          </cell>
          <cell r="P85" t="str">
            <v>=329/14025</v>
          </cell>
          <cell r="S85" t="str">
            <v>PM303</v>
          </cell>
          <cell r="T85" t="str">
            <v>PinkCarton</v>
          </cell>
          <cell r="U85">
            <v>48</v>
          </cell>
          <cell r="V85">
            <v>0.1</v>
          </cell>
          <cell r="W85">
            <v>48.047999999999995</v>
          </cell>
          <cell r="X85" t="str">
            <v>pc</v>
          </cell>
          <cell r="Y85">
            <v>2.4585365853658538E-2</v>
          </cell>
          <cell r="Z85">
            <v>1.1812776585365854</v>
          </cell>
          <cell r="AA85">
            <v>0.18611545603861271</v>
          </cell>
          <cell r="AB85">
            <v>2.3458110516934045E-2</v>
          </cell>
          <cell r="AC85">
            <v>1.1271152941176468</v>
          </cell>
          <cell r="AD85">
            <v>0.18956509485279618</v>
          </cell>
          <cell r="AE85">
            <v>2.3458110516934045E-2</v>
          </cell>
          <cell r="AF85">
            <v>1.1271152941176468</v>
          </cell>
          <cell r="AG85" t="str">
            <v>=329/14025</v>
          </cell>
          <cell r="AJ85" t="str">
            <v>PM303</v>
          </cell>
          <cell r="AK85" t="str">
            <v>Green carton</v>
          </cell>
          <cell r="AL85">
            <v>48</v>
          </cell>
          <cell r="AM85">
            <v>0.1</v>
          </cell>
          <cell r="AN85">
            <v>48.047999999999995</v>
          </cell>
          <cell r="AO85" t="str">
            <v>pc</v>
          </cell>
          <cell r="AP85">
            <v>2.4585365853658538E-2</v>
          </cell>
          <cell r="AQ85">
            <v>1.1812776585365854</v>
          </cell>
          <cell r="AR85">
            <v>0.19399024617598595</v>
          </cell>
          <cell r="AS85">
            <v>2.3458110516934045E-2</v>
          </cell>
          <cell r="AT85">
            <v>1.1271152941176468</v>
          </cell>
          <cell r="AU85">
            <v>0.19795374517702727</v>
          </cell>
          <cell r="AV85">
            <v>2.3458110516934045E-2</v>
          </cell>
          <cell r="AW85">
            <v>1.1271152941176468</v>
          </cell>
          <cell r="AX85" t="str">
            <v>=329/14025</v>
          </cell>
          <cell r="BA85" t="str">
            <v>PM303</v>
          </cell>
          <cell r="BB85" t="str">
            <v>Green carton</v>
          </cell>
          <cell r="BC85">
            <v>48</v>
          </cell>
          <cell r="BD85">
            <v>0.1</v>
          </cell>
          <cell r="BE85">
            <v>48.047999999999995</v>
          </cell>
          <cell r="BF85" t="str">
            <v>pc</v>
          </cell>
          <cell r="BG85">
            <v>2.4585365853658538E-2</v>
          </cell>
          <cell r="BH85">
            <v>1.1812776585365854</v>
          </cell>
          <cell r="BI85">
            <v>0.18745301970672987</v>
          </cell>
          <cell r="BJ85">
            <v>2.3458110516934045E-2</v>
          </cell>
          <cell r="BK85">
            <v>1.1271152941176468</v>
          </cell>
          <cell r="BL85">
            <v>0.19064973463868909</v>
          </cell>
          <cell r="BM85">
            <v>2.3458110516934045E-2</v>
          </cell>
          <cell r="BN85">
            <v>1.1271152941176468</v>
          </cell>
          <cell r="BO85" t="str">
            <v>=329/14025</v>
          </cell>
        </row>
        <row r="86">
          <cell r="B86" t="str">
            <v>PM313</v>
          </cell>
          <cell r="C86" t="str">
            <v>Shipper</v>
          </cell>
          <cell r="D86">
            <v>1</v>
          </cell>
          <cell r="E86">
            <v>0.1</v>
          </cell>
          <cell r="F86">
            <v>1.0009999999999999</v>
          </cell>
          <cell r="G86" t="str">
            <v>pc</v>
          </cell>
          <cell r="H86">
            <v>0.13536585365853659</v>
          </cell>
          <cell r="I86">
            <v>0.13550121951219513</v>
          </cell>
          <cell r="J86">
            <v>2.1082326113518964E-2</v>
          </cell>
          <cell r="K86">
            <v>0.1319073083778966</v>
          </cell>
          <cell r="L86">
            <v>0.1320392156862745</v>
          </cell>
          <cell r="M86">
            <v>2.190980335376044E-2</v>
          </cell>
          <cell r="N86">
            <v>0.1319073083778966</v>
          </cell>
          <cell r="O86">
            <v>0.1320392156862745</v>
          </cell>
          <cell r="P86" t="str">
            <v>=1850/14025</v>
          </cell>
          <cell r="S86" t="str">
            <v>PM313</v>
          </cell>
          <cell r="T86" t="str">
            <v>Shipper</v>
          </cell>
          <cell r="U86">
            <v>1</v>
          </cell>
          <cell r="V86">
            <v>0.1</v>
          </cell>
          <cell r="W86">
            <v>1.0009999999999999</v>
          </cell>
          <cell r="X86" t="str">
            <v>pc</v>
          </cell>
          <cell r="Y86">
            <v>0.13536585365853659</v>
          </cell>
          <cell r="Z86">
            <v>0.13550121951219513</v>
          </cell>
          <cell r="AA86">
            <v>2.1348809131413286E-2</v>
          </cell>
          <cell r="AB86">
            <v>0.1319073083778966</v>
          </cell>
          <cell r="AC86">
            <v>0.1320392156862745</v>
          </cell>
          <cell r="AD86">
            <v>2.2207157135111004E-2</v>
          </cell>
          <cell r="AE86">
            <v>0.1319073083778966</v>
          </cell>
          <cell r="AF86">
            <v>0.1320392156862745</v>
          </cell>
          <cell r="AG86" t="str">
            <v>=1850/14025</v>
          </cell>
          <cell r="AJ86" t="str">
            <v>PM313</v>
          </cell>
          <cell r="AK86" t="str">
            <v>Shipper</v>
          </cell>
          <cell r="AL86">
            <v>1</v>
          </cell>
          <cell r="AM86">
            <v>0.1</v>
          </cell>
          <cell r="AN86">
            <v>1.0009999999999999</v>
          </cell>
          <cell r="AO86" t="str">
            <v>pc</v>
          </cell>
          <cell r="AP86">
            <v>0.13536585365853659</v>
          </cell>
          <cell r="AQ86">
            <v>0.13550121951219513</v>
          </cell>
          <cell r="AR86">
            <v>2.2252105371129344E-2</v>
          </cell>
          <cell r="AS86">
            <v>0.1319073083778966</v>
          </cell>
          <cell r="AT86">
            <v>0.1320392156862745</v>
          </cell>
          <cell r="AU86">
            <v>2.3189870097359452E-2</v>
          </cell>
          <cell r="AV86">
            <v>0.1319073083778966</v>
          </cell>
          <cell r="AW86">
            <v>0.1320392156862745</v>
          </cell>
          <cell r="AX86" t="str">
            <v>=1850/14025</v>
          </cell>
          <cell r="BA86" t="str">
            <v>PM313</v>
          </cell>
          <cell r="BB86" t="str">
            <v>Shipper</v>
          </cell>
          <cell r="BC86">
            <v>1</v>
          </cell>
          <cell r="BD86">
            <v>0.1</v>
          </cell>
          <cell r="BE86">
            <v>1.0009999999999999</v>
          </cell>
          <cell r="BF86" t="str">
            <v>pc</v>
          </cell>
          <cell r="BG86">
            <v>0.13536585365853659</v>
          </cell>
          <cell r="BH86">
            <v>0.13550121951219513</v>
          </cell>
          <cell r="BI86">
            <v>2.1502237503562144E-2</v>
          </cell>
          <cell r="BJ86">
            <v>0.1319073083778966</v>
          </cell>
          <cell r="BK86">
            <v>0.1320392156862745</v>
          </cell>
          <cell r="BL86">
            <v>2.2334220433230426E-2</v>
          </cell>
          <cell r="BM86">
            <v>0.1319073083778966</v>
          </cell>
          <cell r="BN86">
            <v>0.1320392156862745</v>
          </cell>
          <cell r="BO86" t="str">
            <v>=1850/14025</v>
          </cell>
        </row>
        <row r="87">
          <cell r="C87" t="str">
            <v>Tape</v>
          </cell>
          <cell r="D87">
            <v>0</v>
          </cell>
          <cell r="E87">
            <v>0.1</v>
          </cell>
          <cell r="F87">
            <v>0</v>
          </cell>
          <cell r="G87" t="str">
            <v>m</v>
          </cell>
          <cell r="H87">
            <v>1.056E-2</v>
          </cell>
          <cell r="I87">
            <v>0</v>
          </cell>
          <cell r="J87">
            <v>0</v>
          </cell>
          <cell r="K87">
            <v>1.056E-2</v>
          </cell>
          <cell r="L87">
            <v>0</v>
          </cell>
          <cell r="M87">
            <v>0</v>
          </cell>
          <cell r="N87">
            <v>1.056E-2</v>
          </cell>
          <cell r="O87">
            <v>0</v>
          </cell>
          <cell r="T87" t="str">
            <v>Tape</v>
          </cell>
          <cell r="U87">
            <v>0</v>
          </cell>
          <cell r="V87">
            <v>0.1</v>
          </cell>
          <cell r="W87">
            <v>0</v>
          </cell>
          <cell r="X87" t="str">
            <v>m</v>
          </cell>
          <cell r="Z87">
            <v>0</v>
          </cell>
          <cell r="AA87">
            <v>0</v>
          </cell>
          <cell r="AC87">
            <v>0</v>
          </cell>
          <cell r="AD87">
            <v>0</v>
          </cell>
          <cell r="AE87">
            <v>0</v>
          </cell>
          <cell r="AF87">
            <v>0</v>
          </cell>
          <cell r="AK87" t="str">
            <v>Tape</v>
          </cell>
          <cell r="AL87">
            <v>0</v>
          </cell>
          <cell r="AM87">
            <v>0.1</v>
          </cell>
          <cell r="AN87">
            <v>0</v>
          </cell>
          <cell r="AO87" t="str">
            <v>m</v>
          </cell>
          <cell r="AP87">
            <v>0</v>
          </cell>
          <cell r="AQ87">
            <v>0</v>
          </cell>
          <cell r="AR87">
            <v>0</v>
          </cell>
          <cell r="AS87">
            <v>0</v>
          </cell>
          <cell r="AT87">
            <v>0</v>
          </cell>
          <cell r="AU87">
            <v>0</v>
          </cell>
          <cell r="AV87">
            <v>0</v>
          </cell>
          <cell r="AW87">
            <v>0</v>
          </cell>
          <cell r="BB87" t="str">
            <v>Tape</v>
          </cell>
          <cell r="BC87">
            <v>0</v>
          </cell>
          <cell r="BD87">
            <v>0.1</v>
          </cell>
          <cell r="BE87">
            <v>0</v>
          </cell>
          <cell r="BF87" t="str">
            <v>m</v>
          </cell>
          <cell r="BG87">
            <v>1.056E-2</v>
          </cell>
          <cell r="BH87">
            <v>0</v>
          </cell>
          <cell r="BI87">
            <v>0</v>
          </cell>
          <cell r="BJ87">
            <v>1.056E-2</v>
          </cell>
          <cell r="BK87">
            <v>0</v>
          </cell>
          <cell r="BL87">
            <v>0</v>
          </cell>
          <cell r="BM87">
            <v>1.056E-2</v>
          </cell>
          <cell r="BN87">
            <v>0</v>
          </cell>
        </row>
        <row r="89">
          <cell r="C89" t="str">
            <v>TOTAL RAW &amp; PACKAGING MATERIALS</v>
          </cell>
          <cell r="I89">
            <v>1.3167788780487806</v>
          </cell>
          <cell r="J89">
            <v>0.20487462641559132</v>
          </cell>
          <cell r="L89">
            <v>1.2591545098039212</v>
          </cell>
          <cell r="M89">
            <v>0.20893662203623872</v>
          </cell>
          <cell r="O89">
            <v>1.2591545098039212</v>
          </cell>
          <cell r="T89" t="str">
            <v>TOTAL RAW &amp; PACKAGING MATERIALS</v>
          </cell>
          <cell r="Z89">
            <v>1.3167788780487806</v>
          </cell>
          <cell r="AA89">
            <v>0.207464265170026</v>
          </cell>
          <cell r="AC89">
            <v>1.2591545098039212</v>
          </cell>
          <cell r="AD89">
            <v>0.21177225198790717</v>
          </cell>
          <cell r="AF89">
            <v>1.2591545098039212</v>
          </cell>
          <cell r="AK89" t="str">
            <v>TOTAL RAW &amp; PACKAGING MATERIALS</v>
          </cell>
          <cell r="AQ89">
            <v>1.3167788780487806</v>
          </cell>
          <cell r="AR89">
            <v>0.21624235154711532</v>
          </cell>
          <cell r="AT89">
            <v>1.2591545098039212</v>
          </cell>
          <cell r="AU89">
            <v>0.2211436152743867</v>
          </cell>
          <cell r="AW89">
            <v>1.2591545098039212</v>
          </cell>
          <cell r="BB89" t="str">
            <v>TOTAL RAW &amp; PACKAGING MATERIALS</v>
          </cell>
          <cell r="BH89">
            <v>1.3167788780487806</v>
          </cell>
          <cell r="BI89">
            <v>0.20895525721029201</v>
          </cell>
          <cell r="BK89">
            <v>1.2591545098039212</v>
          </cell>
          <cell r="BL89">
            <v>0.2129839550719195</v>
          </cell>
          <cell r="BN89">
            <v>1.2591545098039212</v>
          </cell>
        </row>
        <row r="90">
          <cell r="C90" t="str">
            <v>B.   DIRECT LABOR ALLOWANCE</v>
          </cell>
          <cell r="I90">
            <v>0.33400000000000002</v>
          </cell>
          <cell r="J90">
            <v>5.196629925003441E-2</v>
          </cell>
          <cell r="L90">
            <v>0.33400000000000002</v>
          </cell>
          <cell r="M90">
            <v>5.5421976585677962E-2</v>
          </cell>
          <cell r="O90">
            <v>0.13300000000000001</v>
          </cell>
          <cell r="T90" t="str">
            <v>B.   DIRECT LABOR ALLOWANCE</v>
          </cell>
          <cell r="Z90">
            <v>0.33400000000000002</v>
          </cell>
          <cell r="AA90">
            <v>5.2623159227362472E-2</v>
          </cell>
          <cell r="AC90">
            <v>0.33400000000000002</v>
          </cell>
          <cell r="AD90">
            <v>5.6174148298111216E-2</v>
          </cell>
          <cell r="AF90">
            <v>0.13300000000000001</v>
          </cell>
          <cell r="AK90" t="str">
            <v>B.   DIRECT LABOR ALLOWANCE</v>
          </cell>
          <cell r="AQ90">
            <v>0.33400000000000002</v>
          </cell>
          <cell r="AR90">
            <v>5.4849714421118557E-2</v>
          </cell>
          <cell r="AT90">
            <v>0.33400000000000002</v>
          </cell>
          <cell r="AU90">
            <v>5.8659971374876892E-2</v>
          </cell>
          <cell r="AW90">
            <v>0.13300000000000001</v>
          </cell>
          <cell r="BB90" t="str">
            <v>B.   DIRECT LABOR ALLOWANCE</v>
          </cell>
          <cell r="BH90">
            <v>0.33400000000000002</v>
          </cell>
          <cell r="BI90">
            <v>5.3001348268628665E-2</v>
          </cell>
          <cell r="BK90">
            <v>0.33400000000000002</v>
          </cell>
          <cell r="BL90">
            <v>5.649556145821906E-2</v>
          </cell>
          <cell r="BN90">
            <v>0.13300000000000001</v>
          </cell>
        </row>
        <row r="91">
          <cell r="C91" t="str">
            <v>TOTAL DIRECT COST ( excluding NVOs ) / case</v>
          </cell>
          <cell r="I91">
            <v>6.2774908229703232</v>
          </cell>
          <cell r="J91">
            <v>0.97670049893958266</v>
          </cell>
          <cell r="L91">
            <v>5.8767386821483667</v>
          </cell>
          <cell r="M91">
            <v>0.97515111868914595</v>
          </cell>
          <cell r="O91">
            <v>5.6757386821483671</v>
          </cell>
          <cell r="T91" t="str">
            <v>TOTAL DIRECT COST ( excluding NVOs ) / case</v>
          </cell>
          <cell r="Z91">
            <v>6.1972638214945812</v>
          </cell>
          <cell r="AA91">
            <v>0.97640599057629385</v>
          </cell>
          <cell r="AC91">
            <v>5.7960439923687668</v>
          </cell>
          <cell r="AD91">
            <v>0.97481387655598706</v>
          </cell>
          <cell r="AF91">
            <v>5.5950439923687671</v>
          </cell>
          <cell r="AK91" t="str">
            <v>TOTAL DIRECT COST ( excluding NVOs ) / case</v>
          </cell>
          <cell r="AQ91">
            <v>5.9396147130587895</v>
          </cell>
          <cell r="AR91">
            <v>0.97540769695433727</v>
          </cell>
          <cell r="AT91">
            <v>5.5440800824262029</v>
          </cell>
          <cell r="AU91">
            <v>0.97369933812918008</v>
          </cell>
          <cell r="AW91">
            <v>5.3430800824262032</v>
          </cell>
          <cell r="BB91" t="str">
            <v>TOTAL DIRECT COST ( excluding NVOs ) / case</v>
          </cell>
          <cell r="BH91">
            <v>6.1519749423816013</v>
          </cell>
          <cell r="BI91">
            <v>0.97623642653007181</v>
          </cell>
          <cell r="BK91">
            <v>5.7622173185174086</v>
          </cell>
          <cell r="BL91">
            <v>0.97466976842489361</v>
          </cell>
          <cell r="BN91">
            <v>5.561217318517409</v>
          </cell>
        </row>
        <row r="92">
          <cell r="C92" t="str">
            <v>Add: 1.5% of ASP as Freight</v>
          </cell>
          <cell r="I92">
            <v>0.14975154025758827</v>
          </cell>
          <cell r="J92">
            <v>2.3299501060417387E-2</v>
          </cell>
          <cell r="L92">
            <v>0.14975154025758827</v>
          </cell>
          <cell r="M92">
            <v>2.4848881310854096E-2</v>
          </cell>
          <cell r="O92">
            <v>0.14975154025758827</v>
          </cell>
          <cell r="T92" t="str">
            <v>Add: 1.5% of ASP as Freight</v>
          </cell>
          <cell r="Z92">
            <v>0.14975154025758827</v>
          </cell>
          <cell r="AA92">
            <v>2.3594009423706132E-2</v>
          </cell>
          <cell r="AC92">
            <v>0.14975154025758827</v>
          </cell>
          <cell r="AD92">
            <v>2.5186123444012977E-2</v>
          </cell>
          <cell r="AF92">
            <v>0.14975154025758827</v>
          </cell>
          <cell r="AK92" t="str">
            <v>Add: 1.5% of ASP as Freight</v>
          </cell>
          <cell r="AQ92">
            <v>0.14975154025758827</v>
          </cell>
          <cell r="AR92">
            <v>2.459230304566274E-2</v>
          </cell>
          <cell r="AT92">
            <v>0.14975154025758827</v>
          </cell>
          <cell r="AU92">
            <v>2.6300661870819916E-2</v>
          </cell>
          <cell r="AW92">
            <v>0.14975154025758827</v>
          </cell>
          <cell r="BB92" t="str">
            <v>Add: 1.5% of ASP as Freight</v>
          </cell>
          <cell r="BH92">
            <v>0.14975154025758827</v>
          </cell>
          <cell r="BI92">
            <v>2.3763573469928148E-2</v>
          </cell>
          <cell r="BK92">
            <v>0.14975154025758827</v>
          </cell>
          <cell r="BL92">
            <v>2.5330231575106416E-2</v>
          </cell>
          <cell r="BN92">
            <v>0.14975154025758827</v>
          </cell>
        </row>
        <row r="93">
          <cell r="C93" t="str">
            <v>Total VFC</v>
          </cell>
          <cell r="I93">
            <v>6.4272423632279114</v>
          </cell>
          <cell r="J93">
            <v>1</v>
          </cell>
          <cell r="L93">
            <v>6.0264902224059549</v>
          </cell>
          <cell r="M93">
            <v>1</v>
          </cell>
          <cell r="O93">
            <v>5.8254902224059553</v>
          </cell>
          <cell r="T93" t="str">
            <v>Total VFC</v>
          </cell>
          <cell r="Z93">
            <v>6.3470153617521694</v>
          </cell>
          <cell r="AA93">
            <v>1</v>
          </cell>
          <cell r="AC93">
            <v>5.945795532626355</v>
          </cell>
          <cell r="AD93">
            <v>1</v>
          </cell>
          <cell r="AF93">
            <v>5.7447955326263553</v>
          </cell>
          <cell r="AK93" t="str">
            <v>Total VFC</v>
          </cell>
          <cell r="AQ93">
            <v>6.0893662533163777</v>
          </cell>
          <cell r="AR93">
            <v>1</v>
          </cell>
          <cell r="AT93">
            <v>5.6938316226837911</v>
          </cell>
          <cell r="AU93">
            <v>1</v>
          </cell>
          <cell r="AW93">
            <v>5.4928316226837914</v>
          </cell>
          <cell r="BB93" t="str">
            <v>Total VFC</v>
          </cell>
          <cell r="BH93">
            <v>6.3017264826391894</v>
          </cell>
          <cell r="BI93">
            <v>1</v>
          </cell>
          <cell r="BK93">
            <v>5.9119688587749968</v>
          </cell>
          <cell r="BL93">
            <v>1</v>
          </cell>
          <cell r="BN93">
            <v>5.7109688587749972</v>
          </cell>
        </row>
        <row r="94">
          <cell r="C94" t="str">
            <v>Consumer price</v>
          </cell>
          <cell r="T94" t="str">
            <v>Consumer price</v>
          </cell>
          <cell r="Z94">
            <v>0</v>
          </cell>
          <cell r="AC94">
            <v>0</v>
          </cell>
          <cell r="AG94" t="str">
            <v>VND</v>
          </cell>
          <cell r="AK94" t="str">
            <v>Consumer price</v>
          </cell>
          <cell r="AQ94">
            <v>0</v>
          </cell>
          <cell r="AT94">
            <v>0</v>
          </cell>
          <cell r="AX94" t="str">
            <v>VND</v>
          </cell>
          <cell r="BB94" t="str">
            <v>Consumer price</v>
          </cell>
          <cell r="BH94">
            <v>0</v>
          </cell>
          <cell r="BK94">
            <v>0</v>
          </cell>
          <cell r="BO94" t="str">
            <v>VND</v>
          </cell>
        </row>
        <row r="95">
          <cell r="C95" t="str">
            <v>ASP</v>
          </cell>
          <cell r="I95">
            <v>9.9834360171725525</v>
          </cell>
          <cell r="L95">
            <v>9.9834360171725525</v>
          </cell>
          <cell r="O95">
            <v>9.9834360171725525</v>
          </cell>
          <cell r="T95" t="str">
            <v>ASP</v>
          </cell>
          <cell r="Z95">
            <v>9.9834360171725525</v>
          </cell>
          <cell r="AC95">
            <v>9.9834360171725525</v>
          </cell>
          <cell r="AF95">
            <v>9.9834360171725525</v>
          </cell>
          <cell r="AK95" t="str">
            <v>ASP</v>
          </cell>
          <cell r="AQ95">
            <v>9.9834360171725525</v>
          </cell>
          <cell r="AT95">
            <v>9.9834360171725525</v>
          </cell>
          <cell r="AW95">
            <v>9.9834360171725525</v>
          </cell>
          <cell r="BB95" t="str">
            <v>ASP</v>
          </cell>
          <cell r="BH95">
            <v>9.9834360171725525</v>
          </cell>
          <cell r="BK95">
            <v>9.9834360171725525</v>
          </cell>
          <cell r="BN95">
            <v>9.9834360171725525</v>
          </cell>
        </row>
        <row r="96">
          <cell r="C96" t="str">
            <v>Margin</v>
          </cell>
          <cell r="I96">
            <v>3.556193653944641</v>
          </cell>
          <cell r="L96">
            <v>3.9569457947665976</v>
          </cell>
          <cell r="O96">
            <v>4.1579457947665972</v>
          </cell>
          <cell r="T96" t="str">
            <v>Margin</v>
          </cell>
          <cell r="Z96">
            <v>3.6364206554203831</v>
          </cell>
          <cell r="AC96">
            <v>4.0376404845461975</v>
          </cell>
          <cell r="AF96">
            <v>4.2386404845461971</v>
          </cell>
          <cell r="AK96" t="str">
            <v>Margin</v>
          </cell>
          <cell r="AQ96">
            <v>3.8940697638561748</v>
          </cell>
          <cell r="AT96">
            <v>4.2896043944887614</v>
          </cell>
          <cell r="AW96">
            <v>4.490604394488761</v>
          </cell>
          <cell r="BB96" t="str">
            <v>Margin</v>
          </cell>
          <cell r="BH96">
            <v>3.681709534533363</v>
          </cell>
          <cell r="BK96">
            <v>4.0714671583975557</v>
          </cell>
          <cell r="BN96">
            <v>4.2724671583975553</v>
          </cell>
        </row>
        <row r="97">
          <cell r="C97" t="str">
            <v>%</v>
          </cell>
          <cell r="I97">
            <v>0.3562093900163848</v>
          </cell>
          <cell r="L97">
            <v>0.39635109474936664</v>
          </cell>
          <cell r="O97">
            <v>0.41648444359381842</v>
          </cell>
          <cell r="T97" t="str">
            <v>%</v>
          </cell>
          <cell r="Z97">
            <v>0.3642454009987503</v>
          </cell>
          <cell r="AC97">
            <v>0.40443395215845868</v>
          </cell>
          <cell r="AF97">
            <v>0.42456730100291051</v>
          </cell>
          <cell r="AK97" t="str">
            <v>%</v>
          </cell>
          <cell r="AQ97">
            <v>0.39005305960372444</v>
          </cell>
          <cell r="AT97">
            <v>0.42967214765639744</v>
          </cell>
          <cell r="AW97">
            <v>0.44980549650084928</v>
          </cell>
          <cell r="BB97" t="str">
            <v>%</v>
          </cell>
          <cell r="BH97">
            <v>0.36878180299853058</v>
          </cell>
          <cell r="BK97">
            <v>0.40782223188431388</v>
          </cell>
          <cell r="BN97">
            <v>0.42795558072876572</v>
          </cell>
        </row>
        <row r="99">
          <cell r="B99" t="str">
            <v>NOTES:</v>
          </cell>
          <cell r="S99" t="str">
            <v>NOTES:</v>
          </cell>
          <cell r="AJ99" t="str">
            <v>NOTES:</v>
          </cell>
          <cell r="BA99" t="str">
            <v>NOTES:</v>
          </cell>
        </row>
        <row r="100">
          <cell r="B100" t="str">
            <v>TS1</v>
          </cell>
          <cell r="C100" t="str">
            <v>1.   Direct Labor Wage Rate</v>
          </cell>
          <cell r="D100">
            <v>0.33400000000000002</v>
          </cell>
          <cell r="E100" t="str">
            <v>USD/case</v>
          </cell>
          <cell r="T100" t="str">
            <v>1.   Direct Labor Wage Rate</v>
          </cell>
          <cell r="U100">
            <v>0.33400000000000002</v>
          </cell>
          <cell r="V100" t="str">
            <v>USD/case</v>
          </cell>
          <cell r="AK100" t="str">
            <v>1.   Direct Labor Wage Rate</v>
          </cell>
          <cell r="AL100">
            <v>0.33400000000000002</v>
          </cell>
          <cell r="AM100" t="str">
            <v>USD/case</v>
          </cell>
          <cell r="BB100" t="str">
            <v>1.   Direct Labor Wage Rate</v>
          </cell>
          <cell r="BC100">
            <v>0.33400000000000002</v>
          </cell>
          <cell r="BD100" t="str">
            <v>USD/case</v>
          </cell>
        </row>
        <row r="101">
          <cell r="D101">
            <v>0.13300000000000001</v>
          </cell>
          <cell r="E101" t="str">
            <v>Cartoner</v>
          </cell>
          <cell r="U101">
            <v>0.13300000000000001</v>
          </cell>
          <cell r="V101" t="str">
            <v>Cartoner</v>
          </cell>
          <cell r="AL101">
            <v>0.13300000000000001</v>
          </cell>
          <cell r="AM101" t="str">
            <v>Cartoner</v>
          </cell>
          <cell r="BC101">
            <v>0.13300000000000001</v>
          </cell>
          <cell r="BD101" t="str">
            <v>Cartoner</v>
          </cell>
        </row>
        <row r="104">
          <cell r="S104" t="str">
            <v>PRODUCTION COST SHEET</v>
          </cell>
        </row>
        <row r="106">
          <cell r="S106" t="str">
            <v>Cost Sheet No.</v>
          </cell>
          <cell r="T106" t="str">
            <v>POS25</v>
          </cell>
          <cell r="U106" t="str">
            <v>Unit:</v>
          </cell>
          <cell r="V106">
            <v>1</v>
          </cell>
          <cell r="Y106" t="str">
            <v>Prepared:</v>
          </cell>
          <cell r="Z106" t="str">
            <v>Reason</v>
          </cell>
          <cell r="AB106" t="str">
            <v>Prepared:</v>
          </cell>
          <cell r="AC106" t="str">
            <v>Reason</v>
          </cell>
        </row>
        <row r="107">
          <cell r="S107" t="str">
            <v>PRODUCT</v>
          </cell>
          <cell r="T107" t="str">
            <v xml:space="preserve">PALMOLIVE SOAP </v>
          </cell>
          <cell r="U107" t="str">
            <v>Case Count:</v>
          </cell>
          <cell r="V107">
            <v>100</v>
          </cell>
          <cell r="W107" t="str">
            <v>bars</v>
          </cell>
          <cell r="Y107" t="str">
            <v>Reason</v>
          </cell>
          <cell r="Z107" t="str">
            <v>Approved:</v>
          </cell>
          <cell r="AB107" t="str">
            <v>Reason</v>
          </cell>
          <cell r="AC107" t="str">
            <v>Approved:</v>
          </cell>
        </row>
        <row r="108">
          <cell r="S108" t="str">
            <v>VARIANT</v>
          </cell>
          <cell r="T108" t="str">
            <v>Pink UBS</v>
          </cell>
          <cell r="U108" t="str">
            <v>Bar Size:</v>
          </cell>
          <cell r="V108">
            <v>25.25</v>
          </cell>
          <cell r="W108" t="str">
            <v>gm</v>
          </cell>
          <cell r="Y108" t="str">
            <v>Approved:</v>
          </cell>
          <cell r="AB108" t="str">
            <v>Approved:</v>
          </cell>
        </row>
        <row r="110">
          <cell r="AE110" t="str">
            <v>Qty : 2083 Case</v>
          </cell>
        </row>
        <row r="111">
          <cell r="S111" t="str">
            <v>M#</v>
          </cell>
          <cell r="T111" t="str">
            <v>DESCRIPTION</v>
          </cell>
          <cell r="V111" t="str">
            <v>% Loss</v>
          </cell>
          <cell r="W111" t="str">
            <v>Standard</v>
          </cell>
          <cell r="X111" t="str">
            <v>Unit</v>
          </cell>
          <cell r="Y111" t="str">
            <v>Std. Unit</v>
          </cell>
          <cell r="Z111" t="str">
            <v>Standard</v>
          </cell>
          <cell r="AB111" t="str">
            <v>Std. Unit</v>
          </cell>
          <cell r="AC111" t="str">
            <v>Standard</v>
          </cell>
          <cell r="AE111" t="str">
            <v>Std. Unit</v>
          </cell>
          <cell r="AF111" t="str">
            <v>Standard</v>
          </cell>
          <cell r="AG111" t="str">
            <v>Remark</v>
          </cell>
        </row>
        <row r="112">
          <cell r="U112" t="str">
            <v>Amount</v>
          </cell>
          <cell r="V112" t="str">
            <v>Allowance</v>
          </cell>
          <cell r="W112" t="str">
            <v>Usage</v>
          </cell>
          <cell r="Y112" t="str">
            <v>Price</v>
          </cell>
          <cell r="Z112" t="str">
            <v>Cost</v>
          </cell>
          <cell r="AB112" t="str">
            <v>Price</v>
          </cell>
          <cell r="AC112" t="str">
            <v>Cost</v>
          </cell>
          <cell r="AE112" t="str">
            <v>Price</v>
          </cell>
          <cell r="AF112" t="str">
            <v>Cost</v>
          </cell>
        </row>
        <row r="113">
          <cell r="T113" t="str">
            <v>A.   Pink Soap</v>
          </cell>
          <cell r="U113">
            <v>2.5249999999999999</v>
          </cell>
          <cell r="V113">
            <v>1</v>
          </cell>
          <cell r="W113">
            <v>2.5502500000000001</v>
          </cell>
          <cell r="X113" t="str">
            <v>kg</v>
          </cell>
          <cell r="Y113">
            <v>0.92852108932249322</v>
          </cell>
          <cell r="Z113">
            <v>2.3679609080446884</v>
          </cell>
          <cell r="AB113">
            <v>0.85834915746921181</v>
          </cell>
          <cell r="AC113">
            <v>2.1890049388358577</v>
          </cell>
          <cell r="AE113">
            <v>0.85834915746921181</v>
          </cell>
          <cell r="AF113">
            <v>2.1890049388358577</v>
          </cell>
        </row>
        <row r="114">
          <cell r="T114" t="str">
            <v>Total Pink Soap</v>
          </cell>
          <cell r="Z114">
            <v>2.3679609080446884</v>
          </cell>
          <cell r="AC114">
            <v>2.1890049388358577</v>
          </cell>
          <cell r="AF114">
            <v>2.1890049388358577</v>
          </cell>
        </row>
        <row r="116">
          <cell r="T116" t="str">
            <v>B.   PACKAGING MATERIALS</v>
          </cell>
        </row>
        <row r="117">
          <cell r="T117" t="str">
            <v>PinkCarton</v>
          </cell>
          <cell r="U117">
            <v>100</v>
          </cell>
          <cell r="V117">
            <v>1</v>
          </cell>
          <cell r="W117">
            <v>101</v>
          </cell>
          <cell r="X117" t="str">
            <v>pc</v>
          </cell>
          <cell r="Y117">
            <v>1.2630442605253688E-2</v>
          </cell>
          <cell r="Z117">
            <v>1.2756747031306224</v>
          </cell>
          <cell r="AB117">
            <v>1.2630442605253688E-2</v>
          </cell>
          <cell r="AC117">
            <v>1.2756747031306224</v>
          </cell>
          <cell r="AE117">
            <v>1.2630442605253688E-2</v>
          </cell>
          <cell r="AF117">
            <v>1.2756747031306224</v>
          </cell>
        </row>
        <row r="118">
          <cell r="S118" t="str">
            <v>PM313</v>
          </cell>
          <cell r="T118" t="str">
            <v>Shipper</v>
          </cell>
          <cell r="V118">
            <v>1</v>
          </cell>
          <cell r="W118">
            <v>0</v>
          </cell>
          <cell r="X118" t="str">
            <v>pc</v>
          </cell>
          <cell r="Y118">
            <v>0.13536585365853659</v>
          </cell>
          <cell r="Z118">
            <v>0</v>
          </cell>
          <cell r="AB118">
            <v>0.1319073083778966</v>
          </cell>
          <cell r="AC118">
            <v>0</v>
          </cell>
          <cell r="AE118">
            <v>0.19260400616332821</v>
          </cell>
          <cell r="AF118">
            <v>0</v>
          </cell>
        </row>
        <row r="119">
          <cell r="S119" t="str">
            <v>PM321</v>
          </cell>
          <cell r="T119" t="str">
            <v>Budle film</v>
          </cell>
          <cell r="U119">
            <v>0</v>
          </cell>
          <cell r="V119">
            <v>1</v>
          </cell>
          <cell r="W119">
            <v>0</v>
          </cell>
          <cell r="X119" t="str">
            <v>pc</v>
          </cell>
          <cell r="Y119" t="e">
            <v>#N/A</v>
          </cell>
          <cell r="Z119" t="e">
            <v>#N/A</v>
          </cell>
          <cell r="AB119" t="e">
            <v>#N/A</v>
          </cell>
          <cell r="AC119" t="e">
            <v>#N/A</v>
          </cell>
          <cell r="AE119">
            <v>2.3112480739599386</v>
          </cell>
          <cell r="AF119">
            <v>0</v>
          </cell>
        </row>
        <row r="120">
          <cell r="T120" t="str">
            <v>Tape</v>
          </cell>
          <cell r="V120">
            <v>1</v>
          </cell>
          <cell r="W120">
            <v>0</v>
          </cell>
          <cell r="X120" t="str">
            <v>m</v>
          </cell>
          <cell r="Z120">
            <v>0</v>
          </cell>
          <cell r="AC120">
            <v>0</v>
          </cell>
          <cell r="AE120">
            <v>1.056E-2</v>
          </cell>
          <cell r="AF120">
            <v>0</v>
          </cell>
        </row>
        <row r="122">
          <cell r="T122" t="str">
            <v>TOTAL RAW &amp; PACKAGING MATERIALS</v>
          </cell>
          <cell r="Z122" t="e">
            <v>#N/A</v>
          </cell>
          <cell r="AC122" t="e">
            <v>#N/A</v>
          </cell>
          <cell r="AF122">
            <v>1.2756747031306224</v>
          </cell>
        </row>
        <row r="123">
          <cell r="T123" t="str">
            <v>B.   DIRECT LABOR ALLOWANCE</v>
          </cell>
          <cell r="Z123">
            <v>0.70692955789107959</v>
          </cell>
          <cell r="AC123">
            <v>0.70692955789107959</v>
          </cell>
          <cell r="AF123">
            <v>0.70692955789107959</v>
          </cell>
        </row>
        <row r="124">
          <cell r="T124" t="str">
            <v>TOTAL DIRECT COST ( excluding NVOs ) / case</v>
          </cell>
          <cell r="Z124" t="e">
            <v>#N/A</v>
          </cell>
          <cell r="AC124" t="e">
            <v>#N/A</v>
          </cell>
          <cell r="AF124">
            <v>4.17160919985756</v>
          </cell>
        </row>
        <row r="125">
          <cell r="T125" t="str">
            <v>Add: 3% of ASP as Freight</v>
          </cell>
          <cell r="Z125">
            <v>0</v>
          </cell>
          <cell r="AC125">
            <v>0</v>
          </cell>
          <cell r="AF125">
            <v>0</v>
          </cell>
        </row>
        <row r="126">
          <cell r="T126" t="str">
            <v>Total VFC/case</v>
          </cell>
          <cell r="Z126" t="e">
            <v>#N/A</v>
          </cell>
          <cell r="AC126" t="e">
            <v>#N/A</v>
          </cell>
          <cell r="AF126">
            <v>4.17160919985756</v>
          </cell>
        </row>
        <row r="127">
          <cell r="T127" t="str">
            <v>VFC/Pcs (VND_</v>
          </cell>
          <cell r="Z127" t="e">
            <v>#N/A</v>
          </cell>
          <cell r="AC127" t="e">
            <v>#N/A</v>
          </cell>
          <cell r="AF127">
            <v>579.64509832020792</v>
          </cell>
        </row>
        <row r="129">
          <cell r="AF129">
            <v>-4.17160919985756</v>
          </cell>
        </row>
        <row r="130">
          <cell r="AF130" t="e">
            <v>#DIV/0!</v>
          </cell>
        </row>
        <row r="132">
          <cell r="S132" t="str">
            <v>NOTES:</v>
          </cell>
        </row>
        <row r="133">
          <cell r="T133" t="str">
            <v>1.   Direct Labor Wage Rate</v>
          </cell>
          <cell r="U133">
            <v>0.70692955789107959</v>
          </cell>
          <cell r="V133" t="str">
            <v>USD/100pcs</v>
          </cell>
        </row>
        <row r="134">
          <cell r="U134">
            <v>725</v>
          </cell>
        </row>
        <row r="141">
          <cell r="S141" t="str">
            <v>PRODUCTION COST SHEET</v>
          </cell>
        </row>
        <row r="143">
          <cell r="S143" t="str">
            <v>Cost Sheet No.</v>
          </cell>
          <cell r="T143" t="str">
            <v>POS100</v>
          </cell>
          <cell r="U143" t="str">
            <v>Unit:</v>
          </cell>
          <cell r="V143">
            <v>1</v>
          </cell>
          <cell r="AF143" t="str">
            <v>Prepared:</v>
          </cell>
          <cell r="AG143">
            <v>36413</v>
          </cell>
        </row>
        <row r="144">
          <cell r="S144" t="str">
            <v>PRODUCT</v>
          </cell>
          <cell r="T144" t="str">
            <v xml:space="preserve">PALMOLIVE SOAP </v>
          </cell>
          <cell r="U144" t="str">
            <v>Case Count:</v>
          </cell>
          <cell r="V144">
            <v>48</v>
          </cell>
          <cell r="W144" t="str">
            <v>bars</v>
          </cell>
          <cell r="AF144" t="str">
            <v>Reason</v>
          </cell>
          <cell r="AG144" t="str">
            <v>Current 2000 - Q1</v>
          </cell>
        </row>
        <row r="145">
          <cell r="S145" t="str">
            <v>VARIANT</v>
          </cell>
          <cell r="T145" t="str">
            <v>Pink UBS  - TRIPLE PACK</v>
          </cell>
          <cell r="U145" t="str">
            <v>Bar Size:</v>
          </cell>
          <cell r="V145">
            <v>100.5</v>
          </cell>
          <cell r="W145" t="str">
            <v>gm</v>
          </cell>
          <cell r="AF145" t="str">
            <v>Approved:</v>
          </cell>
        </row>
        <row r="147">
          <cell r="Y147" t="str">
            <v>BUD 2000</v>
          </cell>
          <cell r="AB147" t="str">
            <v>Current 2000</v>
          </cell>
        </row>
        <row r="148">
          <cell r="Y148" t="str">
            <v>With Window</v>
          </cell>
          <cell r="AB148" t="str">
            <v>With Window</v>
          </cell>
          <cell r="AE148" t="str">
            <v>Without Window</v>
          </cell>
        </row>
        <row r="149">
          <cell r="S149" t="str">
            <v>M#</v>
          </cell>
          <cell r="T149" t="str">
            <v>DESCRIPTION</v>
          </cell>
          <cell r="V149" t="str">
            <v>% Loss</v>
          </cell>
          <cell r="W149" t="str">
            <v>Standard</v>
          </cell>
          <cell r="X149" t="str">
            <v>Unit</v>
          </cell>
          <cell r="Y149" t="str">
            <v>Std. Unit</v>
          </cell>
          <cell r="Z149" t="str">
            <v>Standard</v>
          </cell>
          <cell r="AA149" t="str">
            <v>%</v>
          </cell>
          <cell r="AB149" t="str">
            <v>Std. Unit</v>
          </cell>
          <cell r="AC149" t="str">
            <v>Standard</v>
          </cell>
          <cell r="AD149" t="str">
            <v>%</v>
          </cell>
          <cell r="AE149" t="str">
            <v>Std. Unit</v>
          </cell>
          <cell r="AF149" t="str">
            <v>Standard</v>
          </cell>
          <cell r="AG149" t="str">
            <v>Remark</v>
          </cell>
        </row>
        <row r="150">
          <cell r="U150" t="str">
            <v>Amount</v>
          </cell>
          <cell r="V150" t="str">
            <v>Allowance</v>
          </cell>
          <cell r="W150" t="str">
            <v>Usage</v>
          </cell>
          <cell r="Y150" t="str">
            <v>Price</v>
          </cell>
          <cell r="Z150" t="str">
            <v>Cost</v>
          </cell>
          <cell r="AA150" t="str">
            <v>VFC</v>
          </cell>
          <cell r="AB150" t="str">
            <v>Price</v>
          </cell>
          <cell r="AC150" t="str">
            <v>Cost</v>
          </cell>
          <cell r="AD150" t="str">
            <v>VFC</v>
          </cell>
          <cell r="AE150" t="str">
            <v>Price</v>
          </cell>
          <cell r="AF150" t="str">
            <v>Cost</v>
          </cell>
        </row>
        <row r="151">
          <cell r="T151" t="str">
            <v>A.   Pink Soap</v>
          </cell>
          <cell r="U151">
            <v>4.8239999999999998</v>
          </cell>
          <cell r="V151">
            <v>1</v>
          </cell>
          <cell r="W151">
            <v>4.8722399999999997</v>
          </cell>
          <cell r="X151" t="str">
            <v>kg</v>
          </cell>
          <cell r="Y151">
            <v>0.92852108932249322</v>
          </cell>
          <cell r="Z151">
            <v>4.523977592240624</v>
          </cell>
          <cell r="AA151">
            <v>0.67254816112009574</v>
          </cell>
          <cell r="AB151">
            <v>0.85834915746921181</v>
          </cell>
          <cell r="AC151">
            <v>4.1820830989877926</v>
          </cell>
          <cell r="AD151">
            <v>0.6553720684022637</v>
          </cell>
          <cell r="AE151">
            <v>0.85834915746921181</v>
          </cell>
          <cell r="AF151">
            <v>4.1820830989877926</v>
          </cell>
        </row>
        <row r="152">
          <cell r="T152" t="str">
            <v>Total Pink Soap</v>
          </cell>
          <cell r="Z152">
            <v>4.523977592240624</v>
          </cell>
          <cell r="AC152">
            <v>4.1820830989877926</v>
          </cell>
          <cell r="AF152">
            <v>4.1820830989877926</v>
          </cell>
        </row>
        <row r="154">
          <cell r="T154" t="str">
            <v>B.   PACKAGING MATERIALS</v>
          </cell>
        </row>
        <row r="155">
          <cell r="S155" t="str">
            <v>PM303</v>
          </cell>
          <cell r="T155" t="str">
            <v>Triple Carton</v>
          </cell>
          <cell r="U155">
            <v>16</v>
          </cell>
          <cell r="V155">
            <v>1</v>
          </cell>
          <cell r="W155">
            <v>16.16</v>
          </cell>
          <cell r="X155" t="str">
            <v>pc</v>
          </cell>
          <cell r="Y155">
            <v>0.10717360114777619</v>
          </cell>
          <cell r="Z155">
            <v>1.7319253945480633</v>
          </cell>
          <cell r="AA155">
            <v>0.25747325568064883</v>
          </cell>
          <cell r="AB155">
            <v>0.10717360114777619</v>
          </cell>
          <cell r="AC155">
            <v>1.7319253945480633</v>
          </cell>
          <cell r="AD155">
            <v>0.27140912824474794</v>
          </cell>
          <cell r="AE155">
            <v>0.10014347202295552</v>
          </cell>
          <cell r="AF155">
            <v>1.6183185078909612</v>
          </cell>
        </row>
        <row r="156">
          <cell r="S156" t="str">
            <v>PM313</v>
          </cell>
          <cell r="T156" t="str">
            <v>Shipper</v>
          </cell>
          <cell r="U156">
            <v>1</v>
          </cell>
          <cell r="V156">
            <v>1</v>
          </cell>
          <cell r="W156">
            <v>1.01</v>
          </cell>
          <cell r="X156" t="str">
            <v>pc</v>
          </cell>
          <cell r="Y156">
            <v>0.13536585365853659</v>
          </cell>
          <cell r="Z156">
            <v>0.13671951219512196</v>
          </cell>
          <cell r="AA156">
            <v>2.0325135268966881E-2</v>
          </cell>
          <cell r="AB156">
            <v>0.1319073083778966</v>
          </cell>
          <cell r="AC156">
            <v>0.13322638146167556</v>
          </cell>
          <cell r="AD156">
            <v>2.0877836981627651E-2</v>
          </cell>
          <cell r="AE156">
            <v>0.13536585365853659</v>
          </cell>
          <cell r="AF156">
            <v>0.13671951219512196</v>
          </cell>
          <cell r="AG156" t="str">
            <v>=1850/14025</v>
          </cell>
        </row>
        <row r="157">
          <cell r="T157" t="str">
            <v>Tape</v>
          </cell>
          <cell r="U157">
            <v>0</v>
          </cell>
          <cell r="V157">
            <v>1</v>
          </cell>
          <cell r="W157">
            <v>0</v>
          </cell>
          <cell r="X157" t="str">
            <v>m</v>
          </cell>
          <cell r="Z157">
            <v>0</v>
          </cell>
          <cell r="AA157">
            <v>0</v>
          </cell>
          <cell r="AC157">
            <v>0</v>
          </cell>
          <cell r="AD157">
            <v>0</v>
          </cell>
          <cell r="AF157">
            <v>0</v>
          </cell>
        </row>
        <row r="159">
          <cell r="T159" t="str">
            <v>TOTAL RAW &amp; PACKAGING MATERIALS</v>
          </cell>
          <cell r="Z159">
            <v>1.8686449067431852</v>
          </cell>
          <cell r="AA159">
            <v>0.27779839094961573</v>
          </cell>
          <cell r="AC159">
            <v>1.8651517760097389</v>
          </cell>
          <cell r="AD159">
            <v>0.29228696522637565</v>
          </cell>
          <cell r="AF159">
            <v>1.7550380200860831</v>
          </cell>
        </row>
        <row r="160">
          <cell r="T160" t="str">
            <v>B.   DIRECT LABOR ALLOWANCE</v>
          </cell>
          <cell r="Z160">
            <v>0.33400000000000002</v>
          </cell>
          <cell r="AA160">
            <v>4.9653447930288551E-2</v>
          </cell>
          <cell r="AC160">
            <v>0.33400000000000002</v>
          </cell>
          <cell r="AD160">
            <v>5.2340966371360723E-2</v>
          </cell>
          <cell r="AF160">
            <v>0.33400000000000002</v>
          </cell>
        </row>
        <row r="161">
          <cell r="T161" t="str">
            <v>TOTAL DIRECT COST ( excluding NVOs ) / case</v>
          </cell>
          <cell r="Z161">
            <v>6.7266224989838088</v>
          </cell>
          <cell r="AA161">
            <v>1</v>
          </cell>
          <cell r="AC161">
            <v>6.3812348749975314</v>
          </cell>
          <cell r="AD161">
            <v>1</v>
          </cell>
          <cell r="AF161">
            <v>6.2711211190738751</v>
          </cell>
        </row>
        <row r="162">
          <cell r="T162">
            <v>0</v>
          </cell>
          <cell r="Z162">
            <v>0</v>
          </cell>
          <cell r="AA162">
            <v>0</v>
          </cell>
          <cell r="AC162">
            <v>0</v>
          </cell>
          <cell r="AD162">
            <v>0</v>
          </cell>
          <cell r="AF162">
            <v>0</v>
          </cell>
        </row>
        <row r="163">
          <cell r="T163" t="str">
            <v>Total VFC</v>
          </cell>
          <cell r="Z163">
            <v>6.7266224989838088</v>
          </cell>
          <cell r="AA163">
            <v>1</v>
          </cell>
          <cell r="AC163">
            <v>6.3812348749975314</v>
          </cell>
          <cell r="AD163">
            <v>1</v>
          </cell>
          <cell r="AF163">
            <v>6.2711211190738751</v>
          </cell>
        </row>
        <row r="164">
          <cell r="T164" t="str">
            <v>Consumer price</v>
          </cell>
          <cell r="Z164">
            <v>11000</v>
          </cell>
          <cell r="AC164">
            <v>11000</v>
          </cell>
          <cell r="AF164">
            <v>11000</v>
          </cell>
          <cell r="AG164" t="str">
            <v>VND</v>
          </cell>
        </row>
        <row r="165">
          <cell r="T165" t="str">
            <v>ASP (2.5% Deal deapth, Exc. 13,940)</v>
          </cell>
          <cell r="Z165">
            <v>9.5750312646253217</v>
          </cell>
          <cell r="AC165">
            <v>9.5750312646253217</v>
          </cell>
          <cell r="AF165">
            <v>9.5750312646253217</v>
          </cell>
        </row>
        <row r="166">
          <cell r="T166" t="str">
            <v>Margin</v>
          </cell>
          <cell r="Z166">
            <v>2.8484087656415129</v>
          </cell>
          <cell r="AC166">
            <v>3.1937963896277903</v>
          </cell>
          <cell r="AF166">
            <v>3.3039101455514466</v>
          </cell>
        </row>
        <row r="167">
          <cell r="T167" t="str">
            <v>%</v>
          </cell>
          <cell r="Z167">
            <v>0.29748297284050418</v>
          </cell>
          <cell r="AC167">
            <v>0.33355466957347485</v>
          </cell>
          <cell r="AF167">
            <v>0.34505476318992795</v>
          </cell>
        </row>
        <row r="169">
          <cell r="S169" t="str">
            <v>NOTES:</v>
          </cell>
        </row>
        <row r="170">
          <cell r="T170" t="str">
            <v>1.   Direct Labor Wage Rate</v>
          </cell>
          <cell r="U170">
            <v>0.33400000000000002</v>
          </cell>
          <cell r="V170" t="str">
            <v>USD/case</v>
          </cell>
        </row>
      </sheetData>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ON GIA"/>
      <sheetName val="CHITIET VL-NC"/>
      <sheetName val="VC"/>
      <sheetName val="chitiet"/>
      <sheetName val="NewPOS"/>
    </sheetNames>
    <sheetDataSet>
      <sheetData sheetId="0" refreshError="1"/>
      <sheetData sheetId="1" refreshError="1"/>
      <sheetData sheetId="2" refreshError="1"/>
      <sheetData sheetId="3" refreshError="1"/>
      <sheetData sheetId="4"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BASE"/>
      <sheetName val="Sheet1"/>
      <sheetName val="TBA"/>
      <sheetName val="Netbook"/>
      <sheetName val="DZ"/>
      <sheetName val="XL4Poppy"/>
      <sheetName val="Muatb"/>
      <sheetName val="lapdat TB "/>
      <sheetName val="TNghiªm TB "/>
      <sheetName val="VËt liÖu"/>
      <sheetName val="vc-TBA"/>
      <sheetName val="Lap ®at ®iÖn"/>
      <sheetName val="TNghiÖm VL"/>
      <sheetName val="tt-TBA"/>
      <sheetName val="TDT"/>
      <sheetName val="TDT-TBA"/>
      <sheetName val="KSTK"/>
      <sheetName val="th "/>
      <sheetName val="tien luong"/>
      <sheetName val="dutoan"/>
      <sheetName val="CLech"/>
      <sheetName val="mong"/>
      <sheetName val="00000000"/>
      <sheetName val="T3-99"/>
      <sheetName val="T4-99"/>
      <sheetName val="T5-99"/>
      <sheetName val="T6-99"/>
      <sheetName val="T7-99"/>
      <sheetName val="T8-99"/>
      <sheetName val="T9-99"/>
      <sheetName val="T10-99"/>
      <sheetName val="T11-99"/>
      <sheetName val="T12-99"/>
      <sheetName val="CVden ngoai TCT (1)"/>
      <sheetName val="CV den ngoai TCT (2)"/>
      <sheetName val="CV den ngoai TCT (3)"/>
      <sheetName val="QDcua TGD"/>
      <sheetName val="QD cua HDQT"/>
      <sheetName val="QD cua HDQT (2)"/>
      <sheetName val="CV di ngoai tong"/>
      <sheetName val="CV di ngoai tong (2)"/>
      <sheetName val="Chart1"/>
      <sheetName val="To trinh"/>
      <sheetName val="Giao nhiem vu"/>
      <sheetName val="QDcua TGD (2)"/>
      <sheetName val="Thong tu"/>
      <sheetName val="CV di trong  tong"/>
      <sheetName val="nghi dinh-CP"/>
      <sheetName val="CV den trong tong"/>
      <sheetName val="Sheet2"/>
      <sheetName val="KHQ2"/>
      <sheetName val="KHT4,5-02"/>
      <sheetName val="KHVt "/>
      <sheetName val="KHVtt4"/>
      <sheetName val="KHVt XL"/>
      <sheetName val="KHVt XLT4"/>
      <sheetName val="TNHNoi"/>
      <sheetName val="Sheet3"/>
      <sheetName val="PA_coso"/>
      <sheetName val="PA_von"/>
      <sheetName val="PA_nhucau"/>
      <sheetName val="PA_TH"/>
      <sheetName val="THDT"/>
      <sheetName val="XL35"/>
      <sheetName val="DZ-35"/>
      <sheetName val="TN_35"/>
      <sheetName val="CT-DZ"/>
      <sheetName val="VC"/>
      <sheetName val="TC"/>
      <sheetName val="TH_BA"/>
      <sheetName val="TNT"/>
      <sheetName val="CT_TBA"/>
      <sheetName val="KB"/>
      <sheetName val="CT_BT"/>
      <sheetName val="KS"/>
      <sheetName val="BT"/>
      <sheetName val="CP_BT"/>
      <sheetName val="Sheet4"/>
      <sheetName val="Sheet5"/>
      <sheetName val="DB"/>
      <sheetName val="XXXXXXXX"/>
      <sheetName val="CamPha"/>
      <sheetName val="MongCai"/>
      <sheetName val="10000000"/>
      <sheetName val="20000000"/>
      <sheetName val="30000000"/>
      <sheetName val="40000000"/>
      <sheetName val="50000000"/>
      <sheetName val="60000000"/>
      <sheetName val="70000000"/>
      <sheetName val="Thep be"/>
      <sheetName val="Thep than"/>
      <sheetName val="Thep xa mu"/>
      <sheetName val="142201-T1-th"/>
      <sheetName val="142201-T1 "/>
      <sheetName val="142201-T2-th "/>
      <sheetName val="142201-T2"/>
      <sheetName val="142201-T3-th "/>
      <sheetName val="142201-T3"/>
      <sheetName val="142201-T4-th  "/>
      <sheetName val="142201-T4"/>
      <sheetName val="142201-T6"/>
      <sheetName val="142201-T10"/>
      <sheetName val="LuongT1"/>
      <sheetName val="LuongT2"/>
      <sheetName val="luongthang12"/>
      <sheetName val="LuongT11"/>
      <sheetName val="thang5"/>
      <sheetName val="T7"/>
      <sheetName val="T10"/>
      <sheetName val="T9"/>
      <sheetName val="T8"/>
      <sheetName val="thang6"/>
      <sheetName val="thang4"/>
      <sheetName val="LuongT3"/>
      <sheetName val="NKC"/>
      <sheetName val="SoquyTM"/>
      <sheetName val="TK 112"/>
      <sheetName val="TK 131"/>
      <sheetName val="TK133"/>
      <sheetName val="TK 141"/>
      <sheetName val="TK 153"/>
      <sheetName val="TK214"/>
      <sheetName val="TK 211"/>
      <sheetName val="TK 242"/>
      <sheetName val="TK33311"/>
      <sheetName val="TK331"/>
      <sheetName val="TK333"/>
      <sheetName val="TK 334"/>
      <sheetName val="TK711"/>
      <sheetName val="TK411"/>
      <sheetName val="TK421"/>
      <sheetName val="TK 511"/>
      <sheetName val="TK 515"/>
      <sheetName val="TK642"/>
      <sheetName val="TK 911"/>
      <sheetName val="TK811"/>
      <sheetName val="CDKT"/>
      <sheetName val="CDPS1"/>
      <sheetName val="KQKD"/>
      <sheetName val="KHTSCD1"/>
      <sheetName val="KHTSCD2"/>
      <sheetName val="SoCaiTM"/>
      <sheetName val="NK"/>
      <sheetName val="PhieuKT"/>
      <sheetName val="TM01"/>
      <sheetName val="CDKTKT02"/>
      <sheetName val="KQKD02-2"/>
      <sheetName val="KQKD02-2 (2)"/>
      <sheetName val="CDKTKT03"/>
      <sheetName val="DC02"/>
      <sheetName val="CDPS02"/>
      <sheetName val="KQKDKT'02-1"/>
      <sheetName val="KQKDKT'03-1"/>
      <sheetName val="DC03"/>
      <sheetName val="CDKTKT04"/>
      <sheetName val="CCPS03"/>
      <sheetName val="CDPS04"/>
      <sheetName val="KQKDKT'04-1"/>
      <sheetName val="DC04"/>
      <sheetName val="TSCD"/>
      <sheetName val="DC2002"/>
      <sheetName val="CDKTKT2002"/>
      <sheetName val="KQKD-2"/>
      <sheetName val="KQKD-2 (2)"/>
      <sheetName val="DC2003"/>
      <sheetName val="CDPS03"/>
      <sheetName val="KQKD thu2004"/>
      <sheetName val="km248"/>
      <sheetName val="HHVt "/>
      <sheetName val="Song trai"/>
      <sheetName val="Dinh+ha nha"/>
      <sheetName val="PTLK"/>
      <sheetName val="NG k"/>
      <sheetName val="THcong"/>
      <sheetName val="BHXH"/>
      <sheetName val="BHXH12"/>
      <sheetName val="Sheet8"/>
      <sheetName val="Sheet9"/>
      <sheetName val="Kluong phu"/>
      <sheetName val="Lan can"/>
      <sheetName val="Ho lan"/>
      <sheetName val="Coc tieu"/>
      <sheetName val="Bien bao"/>
      <sheetName val="Ranh"/>
      <sheetName val="Tuongchan"/>
      <sheetName val="Op mai 274"/>
      <sheetName val="Op mai 275"/>
      <sheetName val="Op mai 276"/>
      <sheetName val="Op mai 277"/>
      <sheetName val="Op mai 278"/>
      <sheetName val="Op mai 279"/>
      <sheetName val="Op mai 280"/>
      <sheetName val="Op mai 281"/>
      <sheetName val="Op mai 282"/>
      <sheetName val="Op mai 283"/>
      <sheetName val="Km274-Km275"/>
      <sheetName val="Km275-Km276"/>
      <sheetName val="Km276-Km277"/>
      <sheetName val="Km277-Km278"/>
      <sheetName val="Km278-Km279"/>
      <sheetName val="Km279-Km280"/>
      <sheetName val="Km280-Km281"/>
      <sheetName val="Km281-Km282"/>
      <sheetName val="Km282-Km283"/>
      <sheetName val="Km283-Km284"/>
      <sheetName val="Km284-Km285"/>
      <sheetName val="Nenduong"/>
      <sheetName val="Op mai 284"/>
      <sheetName val="Op mai"/>
      <sheetName val="thkl"/>
      <sheetName val="thkl (2)"/>
      <sheetName val="kht8"/>
      <sheetName val="long tec"/>
      <sheetName val="nlongt"/>
      <sheetName val="tuanb"/>
      <sheetName val="ntuanb"/>
      <sheetName val="nbinh"/>
      <sheetName val="nque"/>
      <sheetName val="ntien"/>
      <sheetName val="ntuanH"/>
      <sheetName val="nmuoi"/>
      <sheetName val="nnghia"/>
      <sheetName val="ntuanM"/>
      <sheetName val="nthi"/>
      <sheetName val="nchung"/>
      <sheetName val="nanh"/>
      <sheetName val="nthang"/>
      <sheetName val="nnguyen"/>
      <sheetName val="ntuc"/>
      <sheetName val="nngan"/>
      <sheetName val="nloi"/>
      <sheetName val="nphuock"/>
      <sheetName val="nphuoch"/>
      <sheetName val="nsonpd"/>
      <sheetName val="nphuock04"/>
      <sheetName val="nphuoch04"/>
      <sheetName val="nphuocpd04"/>
      <sheetName val="nphuocd04"/>
      <sheetName val="nphuoctr04"/>
      <sheetName val="nphuocb04"/>
      <sheetName val="Km274 - Km275"/>
      <sheetName val="Km275 - Km276"/>
      <sheetName val="Km276 - Km277"/>
      <sheetName val="Km277 - Km278 "/>
      <sheetName val="Km278 - Km279"/>
      <sheetName val="Km279 - Km280"/>
      <sheetName val="Km280 - Km281"/>
      <sheetName val="Km281 - Km282"/>
      <sheetName val="Km282 - Km283"/>
      <sheetName val="Km283 - Km284"/>
      <sheetName val="Km284 - Km285"/>
      <sheetName val="Tong hop Matduong"/>
      <sheetName val="Cong D75"/>
      <sheetName val="Cong D100"/>
      <sheetName val="Cong D150"/>
      <sheetName val="Cong 2D150"/>
      <sheetName val="Cong ban 0,7x0,7"/>
      <sheetName val="Cong ban 0,8x0,8"/>
      <sheetName val="Cong ban 1x1"/>
      <sheetName val="Cong ban 1x1,2"/>
      <sheetName val="Cong ban 1,5x1,5"/>
      <sheetName val="Cong ban 2x1,5"/>
      <sheetName val="Cong ban 2x2"/>
      <sheetName val="Tong hop"/>
      <sheetName val="Tong hop (2)"/>
      <sheetName val="Cong"/>
      <sheetName val="Cong cu"/>
      <sheetName val="Dinhhinh"/>
      <sheetName val="Cot thep"/>
      <sheetName val="Cong tron D75"/>
      <sheetName val="Cong tron D100"/>
      <sheetName val="Cong tron D150"/>
      <sheetName val="Cong tron 2D150"/>
      <sheetName val="Cong ban 1,0x1,0"/>
      <sheetName val="Cong ban 1,0x1,2"/>
      <sheetName val="Cong hop 1,5x1,5"/>
      <sheetName val="Cong hop 2,0x1,5"/>
      <sheetName val="Cong hop 2,0x2,0"/>
      <sheetName val="t1"/>
      <sheetName val=" t5"/>
      <sheetName val="t.4"/>
      <sheetName val=" t3 "/>
      <sheetName val="T2"/>
      <sheetName val="t"/>
      <sheetName val=" TH331"/>
      <sheetName val=" Minh ha"/>
      <sheetName val="HTay03"/>
      <sheetName val=" Ha Tay"/>
      <sheetName val="tw2"/>
      <sheetName val=" Vinhphuc"/>
      <sheetName val=" Nbinh"/>
      <sheetName val=" QVinh"/>
      <sheetName val=" TW1"/>
      <sheetName val="KM"/>
      <sheetName val="KHOANMUC"/>
      <sheetName val="QTNC"/>
      <sheetName val="CPQL"/>
      <sheetName val="SANLUONG"/>
      <sheetName val="SSCP-SL"/>
      <sheetName val="CPSX"/>
      <sheetName val="CDSL (2)"/>
      <sheetName val="tb1"/>
      <sheetName val="Sheet6"/>
      <sheetName val="Congty"/>
      <sheetName val="VPPN"/>
      <sheetName val="XN74"/>
      <sheetName val="XN54"/>
      <sheetName val="XN33"/>
      <sheetName val="NK96"/>
      <sheetName val="XL4Test5"/>
      <sheetName val="XXXXXX_xda24_X"/>
      <sheetName val="T.so thay doi"/>
      <sheetName val="BTHDT_DZcaothe"/>
      <sheetName val="BTHDT_TBA"/>
      <sheetName val="THXL_DZcaothe"/>
      <sheetName val="TN_DZcaothe"/>
      <sheetName val="b.THchitietDZCT"/>
      <sheetName val="tr_tinhDZcaothe"/>
      <sheetName val="THXL_TBA"/>
      <sheetName val="TN_TBA"/>
      <sheetName val="b.THchitietTBA"/>
      <sheetName val="tr_tinhTBA"/>
      <sheetName val="Khao sat"/>
      <sheetName val="TT khao sat"/>
      <sheetName val="VtuHaTheSauTramBT3"/>
      <sheetName val="VtuHaTheSauTRamBT9"/>
      <sheetName val="VtuHaTheSautramLienThang"/>
      <sheetName val="VTuHaTheSautramBT5"/>
      <sheetName val="VTuHaTheSautramBT2"/>
      <sheetName val="VtuHaTheSautramTTCocSoi"/>
      <sheetName val="VtuHaTheSauTBAKhoi13"/>
      <sheetName val="VtuHaTheSauTBAKhoi12"/>
      <sheetName val="VtuHaTheSauTBANgDu4"/>
      <sheetName val="VtuHaTheSauTBAHungThuy"/>
      <sheetName val="VtuHaTheSauTBAHaiSan"/>
      <sheetName val="VtuHaTheSauTBANgVanTroi1"/>
      <sheetName val="VtuHaTheSauTBANgVanTroi2"/>
      <sheetName val="VtuHaTheSauTBANguyenDu2"/>
      <sheetName val="VtuHaTheSauTBANguyenDu6"/>
      <sheetName val="VtuHaTheSauTBABenThuy1"/>
      <sheetName val="VatTuThuHoi"/>
      <sheetName val="VtuHaTheSauTBABenThuy1 (2)"/>
      <sheetName val="Trich Ngang"/>
      <sheetName val="Danh sach Rieng"/>
      <sheetName val="Dia Diem Thuc Tap"/>
      <sheetName val="De Tai Thuc Tap"/>
      <sheetName val="TH"/>
      <sheetName val="Sheet10"/>
      <sheetName val="Sheet7"/>
      <sheetName val="Don gia CPM"/>
      <sheetName val="Tong Thieu HD cac CT-2001"/>
      <sheetName val="VL thieu HD - 2001"/>
      <sheetName val="Tong thieu HD cac CT - 2002"/>
      <sheetName val="Lan trai"/>
      <sheetName val="Van chuyen"/>
      <sheetName val="Vchuyen(C)"/>
      <sheetName val="HDong VC"/>
      <sheetName val="ThieuHD nam 2001"/>
      <sheetName val="CPChung"/>
      <sheetName val="Bang TH"/>
      <sheetName val="Tong Chinh"/>
      <sheetName val="000000000000"/>
      <sheetName val="100000000000"/>
      <sheetName val="200000000000"/>
      <sheetName val="300000000000"/>
      <sheetName val="[IBASE2.XLSѝTNHNoi"/>
      <sheetName val="Ctieucnghe(12-03"/>
      <sheetName val="DmdbTVN"/>
      <sheetName val="Hsdancach"/>
      <sheetName val="TanLap"/>
      <sheetName val="CaoThang"/>
      <sheetName val="GiapKhau"/>
      <sheetName val="917"/>
      <sheetName val="CBTT"/>
      <sheetName val="TramKCS"/>
      <sheetName val="Tohop1(LD"/>
      <sheetName val="Tohop2(QL&amp;an"/>
      <sheetName val="ThunhapBQ"/>
      <sheetName val="QDgiao1"/>
      <sheetName val="So sanh"/>
      <sheetName val="NCxdcb"/>
      <sheetName val="TH du toan "/>
      <sheetName val="Du toan "/>
      <sheetName val="C.Tinh"/>
      <sheetName val="TK_cap"/>
      <sheetName val="socai2003-6tc"/>
      <sheetName val="SCT Cong trinh"/>
      <sheetName val="06-2003 (2)"/>
      <sheetName val="CDPS 6tc"/>
      <sheetName val="SCT Nha thau"/>
      <sheetName val="socai2003 (6tc)dp"/>
      <sheetName val="socai2003 (6tc)"/>
      <sheetName val="CDPS 6tc (2)"/>
      <sheetName val="F ThanhTri"/>
      <sheetName val="F Gialam"/>
      <sheetName val="DG"/>
      <sheetName val="TH dam"/>
      <sheetName val="SX dam"/>
      <sheetName val="LD dam"/>
      <sheetName val="Bang gia VL"/>
      <sheetName val="Gia NC"/>
      <sheetName val="Gia may"/>
      <sheetName val="Tonghop"/>
      <sheetName val="K249 K98"/>
      <sheetName val="K249 K98 (2)"/>
      <sheetName val="K251 K98"/>
      <sheetName val="K251 SBase"/>
      <sheetName val="K251 AC"/>
      <sheetName val="K252 K98"/>
      <sheetName val="K252 SBase"/>
      <sheetName val="K252 AC"/>
      <sheetName val="K253"/>
      <sheetName val="K253 K98"/>
      <sheetName val="K253 Subbase"/>
      <sheetName val="K253 Base "/>
      <sheetName val="K253 SBase"/>
      <sheetName val="K253 AC"/>
      <sheetName val="K255"/>
      <sheetName val="K255 SBase"/>
      <sheetName val="K259"/>
      <sheetName val="K259 K98"/>
      <sheetName val="K259 Subbase"/>
      <sheetName val="K259 Base "/>
      <sheetName val="K259 AC"/>
      <sheetName val="K260"/>
      <sheetName val="K260 K98"/>
      <sheetName val="K260 Subbase"/>
      <sheetName val="K260 Base"/>
      <sheetName val="K260 AC"/>
      <sheetName val="K261"/>
      <sheetName val="K261 K98"/>
      <sheetName val="K261 Base"/>
      <sheetName val="K261 AC"/>
      <sheetName val="GIA NUOC"/>
      <sheetName val="GIA DIEN THOAI"/>
      <sheetName val="GIA DIEN"/>
      <sheetName val="chiet tinh XD"/>
      <sheetName val="Triet T"/>
      <sheetName val="Phan tich gia"/>
      <sheetName val="pHAN CONG"/>
      <sheetName val="GIA XD"/>
      <sheetName val="phan tich DG"/>
      <sheetName val="gia vat lieu"/>
      <sheetName val="gia xe may"/>
      <sheetName val="gia nhan cong"/>
      <sheetName val="T8-9)"/>
      <sheetName val="THVDT"/>
      <sheetName val="NCLD"/>
      <sheetName val="MMTB"/>
      <sheetName val="CFSX"/>
      <sheetName val="KQ"/>
      <sheetName val="DTSL"/>
      <sheetName val="XDCBK"/>
      <sheetName val="KHTSCD"/>
      <sheetName val="XDCB"/>
      <sheetName val="Napheo-SPP"/>
      <sheetName val="VPLaichau"/>
      <sheetName val="VPTruongson"/>
      <sheetName val="D9"/>
      <sheetName val="TLNamChim"/>
      <sheetName val="Dancau-Q.Ninh"/>
      <sheetName val="D91"/>
      <sheetName val="Kenhta-himlam"/>
      <sheetName val="TCQ5-"/>
      <sheetName val="HDkhoanduoc"/>
      <sheetName val="TCQ1-4"/>
      <sheetName val="Khac"/>
      <sheetName val="BaTrieu-L.son"/>
      <sheetName val="SBayDBien"/>
      <sheetName val="QL32YB(12)"/>
      <sheetName val="QL32AYB"/>
      <sheetName val="THSonNam"/>
      <sheetName val="Coquan"/>
      <sheetName val="Quoclo6mchau"/>
      <sheetName val="QLo4B-LS"/>
      <sheetName val="Phanthiet"/>
      <sheetName val="Muongnhe"/>
      <sheetName val="Thau"/>
      <sheetName val="CT-BT"/>
      <sheetName val="Xa"/>
      <sheetName val="D1"/>
      <sheetName val="D2"/>
      <sheetName val="D3"/>
      <sheetName val="D4"/>
      <sheetName val="D5"/>
      <sheetName val="D6"/>
      <sheetName val="Tay ninh"/>
      <sheetName val="A.Duc"/>
      <sheetName val="TH2003"/>
      <sheetName val="GVL"/>
      <sheetName val="giai thich"/>
      <sheetName val="Heso"/>
      <sheetName val="CTDG"/>
      <sheetName val="DT - Ro"/>
      <sheetName val="TH - Ro "/>
      <sheetName val="GDT - Ro"/>
      <sheetName val="DT - TB"/>
      <sheetName val="TH - TB"/>
      <sheetName val="GDT - TB"/>
      <sheetName val="DT - NT"/>
      <sheetName val="TH - NT"/>
      <sheetName val="GDT - NT"/>
      <sheetName val="THGT"/>
      <sheetName val="L-THANG03"/>
      <sheetName val="L-THANG04"/>
      <sheetName val="luongthuong"/>
      <sheetName val="tkcb-cnv"/>
      <sheetName val="KETQUAHOC"/>
      <sheetName val="KHACHSAN"/>
      <sheetName val="THANHTOAN"/>
      <sheetName val="BC-BANHANG"/>
      <sheetName val="DOANH SO"/>
      <sheetName val="BD-SINH VIEN"/>
      <sheetName val="luongsanpham"/>
      <sheetName val="TUYENSINH02"/>
      <sheetName val="cuocphi"/>
      <sheetName val="banhang"/>
      <sheetName val="bh-thang4"/>
      <sheetName val="BC TH CK (2)"/>
      <sheetName val="BC TH CK"/>
      <sheetName val="BC6tT19 food"/>
      <sheetName val="BC6tT19"/>
      <sheetName val="BC6tT18"/>
      <sheetName val="BC6tT18 - Food"/>
      <sheetName val="CTTH"/>
      <sheetName val="BC6tT17"/>
      <sheetName val="BCCK 4"/>
      <sheetName val="BCFood- T16"/>
      <sheetName val="BC6tT16"/>
      <sheetName val="BCFood- T15"/>
      <sheetName val="BC6tT15"/>
      <sheetName val="BCFood- T14"/>
      <sheetName val="BC6tT14"/>
      <sheetName val="BCFood- T13"/>
      <sheetName val="BC6tT13"/>
      <sheetName val="THCK3"/>
      <sheetName val="BC6tT12"/>
      <sheetName val="BC6tT11"/>
      <sheetName val="BC6tT10"/>
      <sheetName val="BC6tT9"/>
      <sheetName val="TH CK2"/>
      <sheetName val="BC6tT8"/>
      <sheetName val="BC6tT7"/>
      <sheetName val="BC6tT5"/>
      <sheetName val="BC6tT52 (3)"/>
      <sheetName val="BCTH"/>
      <sheetName val="BC6tT4"/>
      <sheetName val="BC6tT3"/>
      <sheetName val="BC6tT2"/>
      <sheetName val="BC6tT1"/>
      <sheetName val="BC6tT52 (2)"/>
      <sheetName val="BC6tT52"/>
      <sheetName val="BC6tT51"/>
      <sheetName val="BC6tT50"/>
      <sheetName val="BC6tT49"/>
      <sheetName val="TCK 12"/>
      <sheetName val="BC6tT48"/>
      <sheetName val="BC6tT47"/>
      <sheetName val="BC6tT46"/>
      <sheetName val="BC6tT45"/>
      <sheetName val="Tong CK"/>
      <sheetName val="BC6tT44"/>
      <sheetName val="BC6tT43"/>
      <sheetName val="BC6t"/>
      <sheetName val="T42"/>
      <sheetName val="T41"/>
      <sheetName val="T40"/>
      <sheetName val="Co quan TCT"/>
      <sheetName val="BOT"/>
      <sheetName val="BOT (PA chon)"/>
      <sheetName val="Yaly &amp; Ri Ninh"/>
      <sheetName val="Thuy dien Na Loi"/>
      <sheetName val="bang so sanh tong hop"/>
      <sheetName val="bang so sanh tong hop (ty le)"/>
      <sheetName val="thu nhap binh quan (2)"/>
      <sheetName val="dang huong"/>
      <sheetName val="phuong an 1"/>
      <sheetName val="phuong an 1 (2)"/>
      <sheetName val="phuong an2"/>
      <sheetName val="tong hop BQ"/>
      <sheetName val="Binhquan3"/>
      <sheetName val="tong hop BQ-1"/>
      <sheetName val="phuong an chon"/>
      <sheetName val="bang so sanh tong hop ( PA chon"/>
      <sheetName val="dang ap dung"/>
      <sheetName val="bang tong hop (dang huong)"/>
      <sheetName val="T03 - 03"/>
      <sheetName val="AncaT03"/>
      <sheetName val="THL T03"/>
      <sheetName val="TTBC T03"/>
      <sheetName val="Luong noi Bo - T3"/>
      <sheetName val="Tong hop - T3"/>
      <sheetName val="Thuong Quy 3"/>
      <sheetName val="LBS"/>
      <sheetName val="Phu cap trach nhiem"/>
      <sheetName val="tmt4"/>
      <sheetName val="t3-01"/>
      <sheetName val="t4-01"/>
      <sheetName val="t5-01"/>
      <sheetName val="t6-01"/>
      <sheetName val="t7-01"/>
      <sheetName val="t8-01"/>
      <sheetName val="t9-01"/>
      <sheetName val="t10-01"/>
      <sheetName val="t11-01"/>
      <sheetName val="t12-"/>
      <sheetName val="t3"/>
      <sheetName val="t4"/>
      <sheetName val="t5"/>
      <sheetName val="t06"/>
      <sheetName val="t07"/>
      <sheetName val="t08"/>
      <sheetName val="t09"/>
      <sheetName val="t11"/>
      <sheetName val="t12"/>
      <sheetName val="0103"/>
      <sheetName val="0203"/>
      <sheetName val="th-nop"/>
      <sheetName val="BangTH"/>
      <sheetName val="Xaylap "/>
      <sheetName val="Nhan cong"/>
      <sheetName val="Thietbi"/>
      <sheetName val="Diengiai"/>
      <sheetName val="Vanchuyen"/>
      <sheetName val="142201ȭT4"/>
      <sheetName val="Co~g hop 1,5x1,5"/>
      <sheetName val="THQI"/>
      <sheetName val="T6"/>
      <sheetName val="THQII"/>
      <sheetName val="Trung"/>
      <sheetName val="THQIII"/>
      <sheetName val="THT nam 04"/>
      <sheetName val="CV di trong  dong"/>
      <sheetName val="Thi_sinh"/>
      <sheetName val="Luong"/>
      <sheetName val="HethongDebai"/>
      <sheetName val="TH131"/>
      <sheetName val="TH155&amp;156"/>
      <sheetName val="TH152"/>
      <sheetName val="TH153"/>
      <sheetName val="TH331"/>
      <sheetName val="KhoDL"/>
      <sheetName val="THSPHH"/>
      <sheetName val="THVL"/>
      <sheetName val="Chamcong"/>
      <sheetName val="DMTK"/>
      <sheetName val="DMKH"/>
      <sheetName val="DMNB"/>
      <sheetName val="DMNV"/>
      <sheetName val="CT 03"/>
      <sheetName val="TH 03"/>
      <sheetName val="HD1"/>
      <sheetName val="HD4"/>
      <sheetName val="HD3"/>
      <sheetName val="HD5"/>
      <sheetName val="HD7"/>
      <sheetName val="HD6"/>
      <sheetName val="HD2"/>
      <sheetName val="cn"/>
      <sheetName val="ct"/>
      <sheetName val="Nc"/>
      <sheetName val="pt"/>
      <sheetName val="ql"/>
      <sheetName val="ql (2)"/>
      <sheetName val="4"/>
      <sheetName val="Sheet13"/>
      <sheetName val="Sheet14"/>
      <sheetName val="Sheet15"/>
      <sheetName val="Sheet16"/>
      <sheetName val="Heso 3-2004 (3)"/>
      <sheetName val="Luong (2)"/>
      <sheetName val="heso T3"/>
      <sheetName val="heso T4"/>
      <sheetName val="heso T5"/>
      <sheetName val="Heso T6"/>
      <sheetName val="Heso T7"/>
      <sheetName val="Heso T8"/>
      <sheetName val="Heso T9"/>
      <sheetName val="Heso 2-2004"/>
      <sheetName val="Heso 3-2004"/>
      <sheetName val="Baocao"/>
      <sheetName val="Heso 3-2004 (2)"/>
      <sheetName val=" KQTH quy hoach 135"/>
      <sheetName val="Bao cao KQTH quy hoach 135"/>
      <sheetName val="T.K H.T.T5"/>
      <sheetName val="T.K T7"/>
      <sheetName val="TK T6"/>
      <sheetName val="T.K T5"/>
      <sheetName val="Bang thong ke hang ton"/>
      <sheetName val="thong ke "/>
      <sheetName val="T.KT04"/>
      <sheetName val="TH_BQ"/>
      <sheetName val="Coc 6"/>
      <sheetName val="Deo nai"/>
      <sheetName val="CKD than"/>
      <sheetName val="CTT Thong nhat"/>
      <sheetName val="CTT Nui beo"/>
      <sheetName val="CTT cao son"/>
      <sheetName val="CTT Khe cham"/>
      <sheetName val="XNxlva sxthanKCII"/>
      <sheetName val="Cam Y ut KC"/>
      <sheetName val="CTxay lap mo CP"/>
      <sheetName val="CTdo luong GDSP"/>
      <sheetName val="Dong bac"/>
      <sheetName val="Cac cang UT mua than Dong bac"/>
      <sheetName val="cua hang vtu"/>
      <sheetName val="Khach hang le "/>
      <sheetName val="nhat ky 5"/>
      <sheetName val="cac cong ty van tai"/>
      <sheetName val="tô rôiDY"/>
      <sheetName val="ATCANING"/>
      <sheetName val="KNH"/>
      <sheetName val="KVF"/>
      <sheetName val="Hoada"/>
      <sheetName val="TL"/>
      <sheetName val="GK"/>
    </sheetNames>
    <sheetDataSet>
      <sheetData sheetId="0" refreshError="1">
        <row r="7">
          <cell r="AH7" t="str">
            <v>SP1</v>
          </cell>
          <cell r="AI7" t="str">
            <v>SOLVENT CLEANING   (SSPC-SP-1)</v>
          </cell>
          <cell r="AJ7">
            <v>60</v>
          </cell>
          <cell r="AK7">
            <v>60</v>
          </cell>
          <cell r="AL7">
            <v>60</v>
          </cell>
        </row>
        <row r="8">
          <cell r="AH8" t="str">
            <v>SP2</v>
          </cell>
          <cell r="AI8" t="str">
            <v>HAND CLEANING   (SSPC-SP-2)</v>
          </cell>
          <cell r="AJ8">
            <v>50</v>
          </cell>
          <cell r="AK8">
            <v>50</v>
          </cell>
          <cell r="AL8">
            <v>50</v>
          </cell>
        </row>
        <row r="9">
          <cell r="AH9" t="str">
            <v>SP3</v>
          </cell>
          <cell r="AI9" t="str">
            <v>POWER CLEANING   (SSPC-SP-3)</v>
          </cell>
          <cell r="AJ9">
            <v>50</v>
          </cell>
          <cell r="AK9">
            <v>50</v>
          </cell>
          <cell r="AL9">
            <v>50</v>
          </cell>
        </row>
        <row r="10">
          <cell r="AH10" t="str">
            <v>SP5</v>
          </cell>
          <cell r="AI10" t="str">
            <v>WHITE METAL BLAST   (SSPC-SP-5)</v>
          </cell>
          <cell r="AJ10">
            <v>90</v>
          </cell>
          <cell r="AK10">
            <v>90</v>
          </cell>
          <cell r="AL10">
            <v>90</v>
          </cell>
        </row>
        <row r="11">
          <cell r="AH11" t="str">
            <v>SP6</v>
          </cell>
          <cell r="AI11" t="str">
            <v>COMMERCIAL BLAST (SSPC-SP-6)</v>
          </cell>
          <cell r="AJ11">
            <v>70</v>
          </cell>
          <cell r="AK11">
            <v>70</v>
          </cell>
          <cell r="AL11">
            <v>70</v>
          </cell>
        </row>
        <row r="12">
          <cell r="AH12" t="str">
            <v>SP7</v>
          </cell>
          <cell r="AI12" t="str">
            <v>BRUSH OFF BLAST CLEANING (SSPC-SP7)</v>
          </cell>
          <cell r="AJ12">
            <v>50</v>
          </cell>
          <cell r="AK12">
            <v>50</v>
          </cell>
          <cell r="AL12">
            <v>50</v>
          </cell>
        </row>
        <row r="13">
          <cell r="AH13" t="str">
            <v>SP8</v>
          </cell>
          <cell r="AI13" t="str">
            <v>PICKLING  (SSPC-SP-8)</v>
          </cell>
          <cell r="AJ13">
            <v>350</v>
          </cell>
          <cell r="AK13">
            <v>350</v>
          </cell>
          <cell r="AL13">
            <v>350</v>
          </cell>
        </row>
        <row r="14">
          <cell r="AH14" t="str">
            <v>SP10</v>
          </cell>
          <cell r="AI14" t="str">
            <v>NEAR WHITE BLAST (SSPC-SP-10)</v>
          </cell>
          <cell r="AJ14">
            <v>80</v>
          </cell>
          <cell r="AK14">
            <v>80</v>
          </cell>
          <cell r="AL14">
            <v>80</v>
          </cell>
        </row>
        <row r="16">
          <cell r="AH16" t="str">
            <v>RLP</v>
          </cell>
          <cell r="AI16" t="str">
            <v>RED LEAD PRIMER</v>
          </cell>
          <cell r="AJ16" t="str">
            <v>0101</v>
          </cell>
          <cell r="AK16" t="str">
            <v>905(OP-91)</v>
          </cell>
          <cell r="AL16" t="str">
            <v>210</v>
          </cell>
          <cell r="AM16">
            <v>1</v>
          </cell>
          <cell r="AN16">
            <v>9.1999999999999993</v>
          </cell>
          <cell r="AO16">
            <v>9.6999999999999993</v>
          </cell>
          <cell r="AP16">
            <v>14.8</v>
          </cell>
          <cell r="AQ16">
            <v>47.83</v>
          </cell>
          <cell r="AR16">
            <v>45.36</v>
          </cell>
          <cell r="AS16">
            <v>38.51</v>
          </cell>
          <cell r="AT16">
            <v>440</v>
          </cell>
          <cell r="AU16">
            <v>440</v>
          </cell>
          <cell r="AV16">
            <v>570</v>
          </cell>
        </row>
        <row r="17">
          <cell r="AI17" t="str">
            <v>RED LEAD PRIMER</v>
          </cell>
          <cell r="AJ17" t="str">
            <v>0102</v>
          </cell>
          <cell r="AK17" t="str">
            <v>906(OP-92)</v>
          </cell>
          <cell r="AL17" t="str">
            <v>220</v>
          </cell>
          <cell r="AM17">
            <v>1</v>
          </cell>
          <cell r="AN17">
            <v>8.7799999999999994</v>
          </cell>
          <cell r="AO17">
            <v>10</v>
          </cell>
          <cell r="AP17">
            <v>12.4</v>
          </cell>
          <cell r="AQ17">
            <v>47.83</v>
          </cell>
          <cell r="AR17">
            <v>42</v>
          </cell>
          <cell r="AS17">
            <v>38.71</v>
          </cell>
          <cell r="AT17">
            <v>420</v>
          </cell>
          <cell r="AU17">
            <v>420</v>
          </cell>
          <cell r="AV17">
            <v>480</v>
          </cell>
        </row>
        <row r="18">
          <cell r="AI18" t="str">
            <v>B P RED LEAD PRIMER</v>
          </cell>
          <cell r="AJ18" t="str">
            <v>0103</v>
          </cell>
          <cell r="AK18" t="str">
            <v>911</v>
          </cell>
          <cell r="AM18">
            <v>1</v>
          </cell>
          <cell r="AN18">
            <v>8.44</v>
          </cell>
          <cell r="AO18">
            <v>9</v>
          </cell>
          <cell r="AQ18">
            <v>45</v>
          </cell>
          <cell r="AR18">
            <v>42.22</v>
          </cell>
          <cell r="AT18">
            <v>380</v>
          </cell>
          <cell r="AU18">
            <v>380</v>
          </cell>
        </row>
        <row r="19">
          <cell r="AH19" t="str">
            <v>ATP</v>
          </cell>
          <cell r="AI19" t="str">
            <v xml:space="preserve">ALUMINUM TRIPOLYPHOSPHATE PRIMER </v>
          </cell>
          <cell r="AJ19" t="str">
            <v>0107</v>
          </cell>
          <cell r="AK19" t="str">
            <v>992</v>
          </cell>
          <cell r="AL19" t="str">
            <v>221</v>
          </cell>
          <cell r="AM19">
            <v>1</v>
          </cell>
          <cell r="AN19">
            <v>12.6</v>
          </cell>
          <cell r="AO19">
            <v>7.09</v>
          </cell>
          <cell r="AP19">
            <v>11.4</v>
          </cell>
          <cell r="AQ19">
            <v>39.68</v>
          </cell>
          <cell r="AR19">
            <v>42.31</v>
          </cell>
          <cell r="AS19">
            <v>38.6</v>
          </cell>
          <cell r="AT19">
            <v>500</v>
          </cell>
          <cell r="AU19">
            <v>300</v>
          </cell>
          <cell r="AV19">
            <v>440</v>
          </cell>
        </row>
        <row r="20">
          <cell r="AH20" t="str">
            <v>AZCP</v>
          </cell>
          <cell r="AI20" t="str">
            <v xml:space="preserve">ALKYD ZINC CHROMATE PRIMER </v>
          </cell>
          <cell r="AJ20" t="str">
            <v>0111</v>
          </cell>
          <cell r="AK20" t="str">
            <v>907(OP-93)</v>
          </cell>
          <cell r="AL20" t="str">
            <v>240</v>
          </cell>
          <cell r="AM20">
            <v>1</v>
          </cell>
          <cell r="AN20">
            <v>10.9</v>
          </cell>
          <cell r="AO20">
            <v>10.6</v>
          </cell>
          <cell r="AP20">
            <v>9</v>
          </cell>
          <cell r="AQ20">
            <v>40.369999999999997</v>
          </cell>
          <cell r="AR20">
            <v>41.51</v>
          </cell>
          <cell r="AS20">
            <v>40.89</v>
          </cell>
          <cell r="AT20">
            <v>440</v>
          </cell>
          <cell r="AU20">
            <v>440</v>
          </cell>
          <cell r="AV20">
            <v>368</v>
          </cell>
        </row>
        <row r="21">
          <cell r="AH21" t="str">
            <v>ROP</v>
          </cell>
          <cell r="AI21" t="str">
            <v xml:space="preserve">RED OXIDE PRIMER </v>
          </cell>
          <cell r="AJ21" t="str">
            <v>0121</v>
          </cell>
          <cell r="AK21" t="str">
            <v>904(OP-95)</v>
          </cell>
          <cell r="AL21" t="str">
            <v>230</v>
          </cell>
          <cell r="AM21">
            <v>1</v>
          </cell>
          <cell r="AN21">
            <v>6.5</v>
          </cell>
          <cell r="AO21">
            <v>8.1999999999999993</v>
          </cell>
          <cell r="AP21">
            <v>5.2</v>
          </cell>
          <cell r="AQ21">
            <v>46.15</v>
          </cell>
          <cell r="AR21">
            <v>41.46</v>
          </cell>
          <cell r="AS21">
            <v>57.12</v>
          </cell>
          <cell r="AT21">
            <v>300</v>
          </cell>
          <cell r="AU21">
            <v>340</v>
          </cell>
          <cell r="AV21">
            <v>297</v>
          </cell>
        </row>
        <row r="22">
          <cell r="AH22" t="str">
            <v>GS</v>
          </cell>
          <cell r="AI22" t="str">
            <v xml:space="preserve">GRAY SURFACE </v>
          </cell>
          <cell r="AJ22" t="str">
            <v>0141</v>
          </cell>
          <cell r="AK22" t="str">
            <v>501</v>
          </cell>
          <cell r="AL22" t="str">
            <v>090</v>
          </cell>
          <cell r="AM22">
            <v>1</v>
          </cell>
          <cell r="AN22">
            <v>8.1</v>
          </cell>
          <cell r="AO22">
            <v>12.1</v>
          </cell>
          <cell r="AP22">
            <v>12.6</v>
          </cell>
          <cell r="AQ22">
            <v>37.04</v>
          </cell>
          <cell r="AR22">
            <v>37.19</v>
          </cell>
          <cell r="AS22">
            <v>37.94</v>
          </cell>
          <cell r="AT22">
            <v>300</v>
          </cell>
          <cell r="AU22">
            <v>450</v>
          </cell>
          <cell r="AV22">
            <v>478</v>
          </cell>
        </row>
        <row r="23">
          <cell r="AH23" t="str">
            <v>RMP</v>
          </cell>
          <cell r="AI23" t="str">
            <v>READY-MIXED PAINT</v>
          </cell>
          <cell r="AJ23" t="str">
            <v>0151</v>
          </cell>
          <cell r="AK23" t="str">
            <v>111</v>
          </cell>
          <cell r="AL23" t="str">
            <v>100</v>
          </cell>
          <cell r="AM23">
            <v>1</v>
          </cell>
          <cell r="AN23">
            <v>10.9</v>
          </cell>
          <cell r="AO23">
            <v>9.6</v>
          </cell>
          <cell r="AP23">
            <v>10</v>
          </cell>
          <cell r="AQ23">
            <v>41.28</v>
          </cell>
          <cell r="AR23">
            <v>41.67</v>
          </cell>
          <cell r="AS23">
            <v>38</v>
          </cell>
          <cell r="AT23">
            <v>450</v>
          </cell>
          <cell r="AU23">
            <v>400</v>
          </cell>
          <cell r="AV23">
            <v>380</v>
          </cell>
        </row>
        <row r="24">
          <cell r="AH24" t="str">
            <v>FRMP</v>
          </cell>
          <cell r="AI24" t="str">
            <v xml:space="preserve">FLAT READY-MIXED PAINT </v>
          </cell>
          <cell r="AJ24" t="str">
            <v>0153</v>
          </cell>
          <cell r="AK24" t="str">
            <v>508</v>
          </cell>
          <cell r="AM24">
            <v>1</v>
          </cell>
          <cell r="AN24">
            <v>11.8</v>
          </cell>
          <cell r="AO24">
            <v>9.4</v>
          </cell>
          <cell r="AQ24">
            <v>36.44</v>
          </cell>
          <cell r="AR24">
            <v>37.229999999999997</v>
          </cell>
          <cell r="AT24">
            <v>430</v>
          </cell>
          <cell r="AU24">
            <v>350</v>
          </cell>
        </row>
        <row r="25">
          <cell r="AH25" t="str">
            <v>AE</v>
          </cell>
          <cell r="AI25" t="str">
            <v xml:space="preserve">ALKYD ENAMEL </v>
          </cell>
          <cell r="AJ25" t="str">
            <v>0162</v>
          </cell>
          <cell r="AK25" t="str">
            <v>502</v>
          </cell>
          <cell r="AL25" t="str">
            <v>110</v>
          </cell>
          <cell r="AM25">
            <v>1</v>
          </cell>
          <cell r="AN25">
            <v>11.9</v>
          </cell>
          <cell r="AO25">
            <v>12.4</v>
          </cell>
          <cell r="AP25">
            <v>12</v>
          </cell>
          <cell r="AQ25">
            <v>35.29</v>
          </cell>
          <cell r="AR25">
            <v>37.1</v>
          </cell>
          <cell r="AS25">
            <v>37.92</v>
          </cell>
          <cell r="AT25">
            <v>420</v>
          </cell>
          <cell r="AU25">
            <v>460</v>
          </cell>
          <cell r="AV25">
            <v>455</v>
          </cell>
        </row>
        <row r="26">
          <cell r="AH26" t="str">
            <v>AP</v>
          </cell>
          <cell r="AI26" t="str">
            <v>ALUMIN PAINT</v>
          </cell>
          <cell r="AJ26" t="str">
            <v>0152</v>
          </cell>
          <cell r="AK26" t="str">
            <v>103</v>
          </cell>
          <cell r="AL26" t="str">
            <v>310</v>
          </cell>
          <cell r="AM26">
            <v>1</v>
          </cell>
          <cell r="AN26">
            <v>10.9</v>
          </cell>
          <cell r="AO26">
            <v>13.5</v>
          </cell>
          <cell r="AP26">
            <v>13.5</v>
          </cell>
          <cell r="AQ26">
            <v>36.700000000000003</v>
          </cell>
          <cell r="AR26">
            <v>34.07</v>
          </cell>
          <cell r="AS26">
            <v>32.44</v>
          </cell>
          <cell r="AT26">
            <v>400</v>
          </cell>
          <cell r="AU26">
            <v>460</v>
          </cell>
          <cell r="AV26">
            <v>438</v>
          </cell>
        </row>
        <row r="27">
          <cell r="AH27" t="str">
            <v>AMF</v>
          </cell>
          <cell r="AI27" t="str">
            <v>PHEN0LIC-MODIFIED ALKYD M.I.O.FINISH</v>
          </cell>
          <cell r="AJ27" t="str">
            <v>4690(Ar-900)</v>
          </cell>
          <cell r="AL27" t="str">
            <v>800</v>
          </cell>
          <cell r="AM27">
            <v>1</v>
          </cell>
          <cell r="AN27">
            <v>19.16</v>
          </cell>
          <cell r="AP27">
            <v>17.8</v>
          </cell>
          <cell r="AQ27">
            <v>26.1</v>
          </cell>
          <cell r="AS27">
            <v>37.869999999999997</v>
          </cell>
          <cell r="AT27">
            <v>500</v>
          </cell>
          <cell r="AV27">
            <v>674</v>
          </cell>
        </row>
        <row r="28">
          <cell r="AH28" t="str">
            <v>GP</v>
          </cell>
          <cell r="AI28" t="str">
            <v xml:space="preserve">GALVAN. STEEL SHEET EHULSION PAINT </v>
          </cell>
          <cell r="AK28" t="str">
            <v>100(OM-12)</v>
          </cell>
          <cell r="AM28">
            <v>1</v>
          </cell>
          <cell r="AO28">
            <v>14.3</v>
          </cell>
          <cell r="AR28">
            <v>47.55</v>
          </cell>
          <cell r="AU28">
            <v>680</v>
          </cell>
        </row>
        <row r="29">
          <cell r="AI29" t="str">
            <v xml:space="preserve">EPOXY RESIN </v>
          </cell>
        </row>
        <row r="30">
          <cell r="AH30" t="str">
            <v>ERLP</v>
          </cell>
          <cell r="AI30" t="str">
            <v xml:space="preserve">EPOXY RED LEAD PRIMER </v>
          </cell>
          <cell r="AJ30" t="str">
            <v>0401</v>
          </cell>
          <cell r="AK30" t="str">
            <v>1007(EP-01)</v>
          </cell>
          <cell r="AM30">
            <v>1</v>
          </cell>
          <cell r="AN30">
            <v>13.7</v>
          </cell>
          <cell r="AO30">
            <v>11.9</v>
          </cell>
          <cell r="AQ30">
            <v>41.61</v>
          </cell>
          <cell r="AR30">
            <v>47.9</v>
          </cell>
          <cell r="AT30">
            <v>570</v>
          </cell>
          <cell r="AU30">
            <v>570</v>
          </cell>
        </row>
        <row r="31">
          <cell r="AH31" t="str">
            <v>EZCP</v>
          </cell>
          <cell r="AI31" t="str">
            <v xml:space="preserve">EPOXY ZINC CHROMATE PRIMER </v>
          </cell>
          <cell r="AJ31" t="str">
            <v>0411</v>
          </cell>
          <cell r="AK31" t="str">
            <v>1008(EP-09)</v>
          </cell>
          <cell r="AL31" t="str">
            <v>56</v>
          </cell>
          <cell r="AM31">
            <v>1</v>
          </cell>
          <cell r="AN31">
            <v>13.7</v>
          </cell>
          <cell r="AO31">
            <v>13.2</v>
          </cell>
          <cell r="AP31">
            <v>15.7</v>
          </cell>
          <cell r="AQ31">
            <v>41.61</v>
          </cell>
          <cell r="AR31">
            <v>43.18</v>
          </cell>
          <cell r="AS31">
            <v>57.32</v>
          </cell>
          <cell r="AT31">
            <v>570</v>
          </cell>
          <cell r="AU31">
            <v>570</v>
          </cell>
          <cell r="AV31">
            <v>900</v>
          </cell>
        </row>
        <row r="32">
          <cell r="AH32" t="str">
            <v>EZRP</v>
          </cell>
          <cell r="AI32" t="str">
            <v xml:space="preserve">EPOXY ZINC RICH PRIMER </v>
          </cell>
          <cell r="AJ32" t="str">
            <v>0416</v>
          </cell>
          <cell r="AK32" t="str">
            <v>1006(EP-03)</v>
          </cell>
          <cell r="AL32" t="str">
            <v>63</v>
          </cell>
          <cell r="AM32">
            <v>1</v>
          </cell>
          <cell r="AN32">
            <v>24.9</v>
          </cell>
          <cell r="AO32">
            <v>18.899999999999999</v>
          </cell>
          <cell r="AP32">
            <v>44.29</v>
          </cell>
          <cell r="AQ32">
            <v>44.18</v>
          </cell>
          <cell r="AR32">
            <v>52.91</v>
          </cell>
          <cell r="AS32">
            <v>29.35</v>
          </cell>
          <cell r="AT32">
            <v>1100</v>
          </cell>
          <cell r="AU32">
            <v>1000</v>
          </cell>
          <cell r="AV32">
            <v>1300</v>
          </cell>
        </row>
        <row r="33">
          <cell r="AH33" t="str">
            <v>EROP</v>
          </cell>
          <cell r="AI33" t="str">
            <v xml:space="preserve">EPOXY RED OXIDE PRIMER </v>
          </cell>
          <cell r="AJ33" t="str">
            <v>0421(Z-500)</v>
          </cell>
          <cell r="AK33" t="str">
            <v>1009(EP-02)</v>
          </cell>
          <cell r="AL33" t="str">
            <v>87</v>
          </cell>
          <cell r="AM33">
            <v>1</v>
          </cell>
          <cell r="AN33">
            <v>11.3</v>
          </cell>
          <cell r="AO33">
            <v>10.9</v>
          </cell>
          <cell r="AP33">
            <v>28.1</v>
          </cell>
          <cell r="AQ33">
            <v>41.59</v>
          </cell>
          <cell r="AR33">
            <v>43.12</v>
          </cell>
          <cell r="AS33">
            <v>39.15</v>
          </cell>
          <cell r="AT33">
            <v>470</v>
          </cell>
          <cell r="AU33">
            <v>470</v>
          </cell>
          <cell r="AV33">
            <v>1100</v>
          </cell>
        </row>
        <row r="34">
          <cell r="AH34" t="str">
            <v>EV</v>
          </cell>
          <cell r="AI34" t="str">
            <v xml:space="preserve">EPOXY VARNISH </v>
          </cell>
          <cell r="AJ34" t="str">
            <v>0450</v>
          </cell>
          <cell r="AK34" t="str">
            <v>1010</v>
          </cell>
          <cell r="AL34" t="str">
            <v>46</v>
          </cell>
          <cell r="AM34">
            <v>1</v>
          </cell>
          <cell r="AN34">
            <v>19</v>
          </cell>
          <cell r="AO34">
            <v>19.399999999999999</v>
          </cell>
          <cell r="AP34">
            <v>21.1</v>
          </cell>
          <cell r="AQ34">
            <v>28.95</v>
          </cell>
          <cell r="AR34">
            <v>28.35</v>
          </cell>
          <cell r="AS34">
            <v>26.07</v>
          </cell>
          <cell r="AT34">
            <v>550</v>
          </cell>
          <cell r="AU34">
            <v>550</v>
          </cell>
          <cell r="AV34">
            <v>550</v>
          </cell>
        </row>
        <row r="35">
          <cell r="AH35" t="str">
            <v>EFC</v>
          </cell>
          <cell r="AI35" t="str">
            <v xml:space="preserve">EPOXY FINISH COATING </v>
          </cell>
          <cell r="AJ35" t="str">
            <v>0451</v>
          </cell>
          <cell r="AK35" t="str">
            <v>1001(EP-04)</v>
          </cell>
          <cell r="AL35" t="str">
            <v>86</v>
          </cell>
          <cell r="AM35">
            <v>1</v>
          </cell>
          <cell r="AN35">
            <v>16.8</v>
          </cell>
          <cell r="AO35">
            <v>18.3</v>
          </cell>
          <cell r="AP35">
            <v>34.9</v>
          </cell>
          <cell r="AQ35">
            <v>41.67</v>
          </cell>
          <cell r="AR35">
            <v>38.25</v>
          </cell>
          <cell r="AS35">
            <v>22.92</v>
          </cell>
          <cell r="AT35">
            <v>700</v>
          </cell>
          <cell r="AU35">
            <v>700</v>
          </cell>
          <cell r="AV35">
            <v>800</v>
          </cell>
        </row>
        <row r="36">
          <cell r="AH36" t="str">
            <v>CTE</v>
          </cell>
          <cell r="AI36" t="str">
            <v xml:space="preserve">COAL TAR EPOXY HB </v>
          </cell>
          <cell r="AJ36" t="str">
            <v>0459</v>
          </cell>
          <cell r="AK36" t="str">
            <v>1004(EP-06)</v>
          </cell>
          <cell r="AL36" t="str">
            <v>58</v>
          </cell>
          <cell r="AM36">
            <v>1</v>
          </cell>
          <cell r="AN36">
            <v>7.9</v>
          </cell>
          <cell r="AO36">
            <v>7.6</v>
          </cell>
          <cell r="AQ36">
            <v>50.63</v>
          </cell>
          <cell r="AR36">
            <v>52.63</v>
          </cell>
          <cell r="AT36">
            <v>400</v>
          </cell>
          <cell r="AU36">
            <v>400</v>
          </cell>
          <cell r="AV36">
            <v>700</v>
          </cell>
        </row>
        <row r="37">
          <cell r="AH37" t="str">
            <v>IZRP</v>
          </cell>
          <cell r="AI37" t="str">
            <v xml:space="preserve">INORGANIC ZINC RICH PRIMER </v>
          </cell>
          <cell r="AJ37" t="str">
            <v>4120(Z-120HB)</v>
          </cell>
          <cell r="AK37" t="str">
            <v>1011(IZ-01)</v>
          </cell>
          <cell r="AL37" t="str">
            <v>33</v>
          </cell>
          <cell r="AM37">
            <v>1</v>
          </cell>
          <cell r="AN37">
            <v>19.399999999999999</v>
          </cell>
          <cell r="AO37">
            <v>15.6</v>
          </cell>
          <cell r="AP37">
            <v>30.3</v>
          </cell>
          <cell r="AQ37">
            <v>56.7</v>
          </cell>
          <cell r="AR37">
            <v>64.099999999999994</v>
          </cell>
          <cell r="AS37">
            <v>42.9</v>
          </cell>
          <cell r="AT37">
            <v>1100</v>
          </cell>
          <cell r="AU37">
            <v>1000</v>
          </cell>
          <cell r="AV37">
            <v>1300</v>
          </cell>
        </row>
        <row r="38">
          <cell r="AH38" t="str">
            <v>EATP</v>
          </cell>
          <cell r="AI38" t="str">
            <v>EPOXY ALUMINUM TRIPOLYPHOSPHATE PRIMER</v>
          </cell>
          <cell r="AJ38" t="str">
            <v>A-536</v>
          </cell>
          <cell r="AK38" t="str">
            <v>1075</v>
          </cell>
          <cell r="AL38" t="str">
            <v>57</v>
          </cell>
          <cell r="AM38">
            <v>1</v>
          </cell>
          <cell r="AN38">
            <v>18.7</v>
          </cell>
          <cell r="AO38">
            <v>14.7</v>
          </cell>
          <cell r="AP38">
            <v>15.5</v>
          </cell>
          <cell r="AQ38">
            <v>42.78</v>
          </cell>
          <cell r="AR38">
            <v>42.86</v>
          </cell>
          <cell r="AS38">
            <v>39.03</v>
          </cell>
          <cell r="AT38">
            <v>800</v>
          </cell>
          <cell r="AU38">
            <v>630</v>
          </cell>
          <cell r="AV38">
            <v>605</v>
          </cell>
        </row>
        <row r="39">
          <cell r="AH39" t="str">
            <v>EBZRP</v>
          </cell>
          <cell r="AI39" t="str">
            <v xml:space="preserve">EPOXY CURED BASED ZINC RICH PRIMER </v>
          </cell>
          <cell r="AJ39" t="str">
            <v>4180(Z-800)</v>
          </cell>
          <cell r="AK39" t="str">
            <v>1002</v>
          </cell>
          <cell r="AM39">
            <v>1</v>
          </cell>
          <cell r="AN39">
            <v>27.3</v>
          </cell>
          <cell r="AO39">
            <v>15.7</v>
          </cell>
          <cell r="AQ39">
            <v>40.29</v>
          </cell>
          <cell r="AR39">
            <v>38.22</v>
          </cell>
          <cell r="AT39">
            <v>1100</v>
          </cell>
          <cell r="AU39">
            <v>600</v>
          </cell>
        </row>
        <row r="40">
          <cell r="AH40" t="str">
            <v>HBEP</v>
          </cell>
          <cell r="AI40" t="str">
            <v>HIGH BUILD EPOXY POLYAMINE CURED</v>
          </cell>
          <cell r="AJ40" t="str">
            <v>4418(A-418)</v>
          </cell>
          <cell r="AK40" t="str">
            <v>1015</v>
          </cell>
          <cell r="AM40">
            <v>1</v>
          </cell>
          <cell r="AN40">
            <v>18.3</v>
          </cell>
          <cell r="AO40">
            <v>13.1</v>
          </cell>
          <cell r="AQ40">
            <v>65.569999999999993</v>
          </cell>
          <cell r="AR40">
            <v>83.97</v>
          </cell>
          <cell r="AT40">
            <v>1200</v>
          </cell>
          <cell r="AU40">
            <v>1100</v>
          </cell>
        </row>
        <row r="41">
          <cell r="AH41" t="str">
            <v>HSCP</v>
          </cell>
          <cell r="AI41" t="str">
            <v>HIGH SOILD EPOXY POLYAMINE CURED PRIMER</v>
          </cell>
          <cell r="AJ41" t="str">
            <v>4418(A-448)</v>
          </cell>
          <cell r="AK41">
            <v>1017</v>
          </cell>
          <cell r="AM41">
            <v>1</v>
          </cell>
          <cell r="AN41">
            <v>20.309999999999999</v>
          </cell>
          <cell r="AO41">
            <v>13.1</v>
          </cell>
          <cell r="AQ41">
            <v>64</v>
          </cell>
          <cell r="AR41">
            <v>83.97</v>
          </cell>
          <cell r="AT41">
            <v>1300</v>
          </cell>
          <cell r="AU41">
            <v>1100</v>
          </cell>
        </row>
        <row r="42">
          <cell r="AH42" t="str">
            <v>EEA</v>
          </cell>
          <cell r="AI42" t="str">
            <v>EPOXY ENAMEL AMINE ADDUCT CURED</v>
          </cell>
          <cell r="AJ42" t="str">
            <v>4450(A-500)</v>
          </cell>
          <cell r="AK42" t="str">
            <v>1014</v>
          </cell>
          <cell r="AM42">
            <v>1</v>
          </cell>
          <cell r="AN42">
            <v>23.8</v>
          </cell>
          <cell r="AO42">
            <v>11.4</v>
          </cell>
          <cell r="AQ42">
            <v>37.82</v>
          </cell>
          <cell r="AR42">
            <v>83.33</v>
          </cell>
          <cell r="AT42">
            <v>900</v>
          </cell>
          <cell r="AU42">
            <v>950</v>
          </cell>
        </row>
        <row r="43">
          <cell r="AH43" t="str">
            <v>NEP</v>
          </cell>
          <cell r="AI43" t="str">
            <v>NON-REACTIVE EPOXY PRIMER</v>
          </cell>
          <cell r="AJ43" t="str">
            <v>4405(A-505)</v>
          </cell>
          <cell r="AM43">
            <v>1</v>
          </cell>
          <cell r="AN43">
            <v>19.2</v>
          </cell>
          <cell r="AQ43">
            <v>41.67</v>
          </cell>
          <cell r="AT43">
            <v>800</v>
          </cell>
        </row>
        <row r="44">
          <cell r="AH44" t="str">
            <v>ZCOP</v>
          </cell>
          <cell r="AI44" t="str">
            <v xml:space="preserve">ZINC CHROMATE-RED OXIDE/EPOXY PRIMER </v>
          </cell>
          <cell r="AJ44" t="str">
            <v>4451(A-510)</v>
          </cell>
          <cell r="AK44" t="str">
            <v>1016</v>
          </cell>
          <cell r="AL44" t="str">
            <v>530</v>
          </cell>
          <cell r="AM44">
            <v>1</v>
          </cell>
          <cell r="AN44">
            <v>18.2</v>
          </cell>
          <cell r="AO44">
            <v>8.1999999999999993</v>
          </cell>
          <cell r="AP44">
            <v>15.5</v>
          </cell>
          <cell r="AQ44">
            <v>42.86</v>
          </cell>
          <cell r="AR44">
            <v>85.37</v>
          </cell>
          <cell r="AS44">
            <v>36.450000000000003</v>
          </cell>
          <cell r="AT44">
            <v>780</v>
          </cell>
          <cell r="AU44">
            <v>700</v>
          </cell>
          <cell r="AV44">
            <v>565</v>
          </cell>
        </row>
        <row r="45">
          <cell r="AH45" t="str">
            <v>EPC</v>
          </cell>
          <cell r="AI45" t="str">
            <v xml:space="preserve">EPOXY ENAMEL/POLYAMIDE CURED </v>
          </cell>
          <cell r="AJ45" t="str">
            <v>4415(A-515)</v>
          </cell>
          <cell r="AM45">
            <v>1</v>
          </cell>
          <cell r="AN45">
            <v>19.8</v>
          </cell>
          <cell r="AQ45">
            <v>42.93</v>
          </cell>
          <cell r="AT45">
            <v>850</v>
          </cell>
        </row>
        <row r="46">
          <cell r="AH46" t="str">
            <v>4425(A-525)</v>
          </cell>
          <cell r="AI46" t="str">
            <v>EPOXY NON-SKID SURFACING</v>
          </cell>
          <cell r="AJ46" t="str">
            <v>4425(A-525)</v>
          </cell>
          <cell r="AK46" t="str">
            <v>1018</v>
          </cell>
          <cell r="AM46">
            <v>1</v>
          </cell>
          <cell r="AN46">
            <v>18</v>
          </cell>
          <cell r="AO46">
            <v>31.3</v>
          </cell>
          <cell r="AQ46">
            <v>37.78</v>
          </cell>
          <cell r="AR46">
            <v>47.92</v>
          </cell>
          <cell r="AT46">
            <v>680</v>
          </cell>
          <cell r="AU46">
            <v>1500</v>
          </cell>
        </row>
        <row r="47">
          <cell r="AH47" t="str">
            <v>EPAP</v>
          </cell>
          <cell r="AI47" t="str">
            <v>EPOXY-POLYAMIDE,ALLOY PRIMER.</v>
          </cell>
          <cell r="AJ47" t="str">
            <v>4465(A-650)</v>
          </cell>
          <cell r="AK47">
            <v>1020</v>
          </cell>
          <cell r="AM47">
            <v>1</v>
          </cell>
          <cell r="AN47">
            <v>21</v>
          </cell>
          <cell r="AO47">
            <v>26.92</v>
          </cell>
          <cell r="AQ47">
            <v>42.86</v>
          </cell>
          <cell r="AR47">
            <v>13</v>
          </cell>
          <cell r="AT47">
            <v>900</v>
          </cell>
          <cell r="AU47">
            <v>350</v>
          </cell>
        </row>
        <row r="48">
          <cell r="AI48" t="str">
            <v>LEAD SILICO CHROMATE EP.PRI./POLYAMIDE CURED</v>
          </cell>
          <cell r="AJ48" t="str">
            <v>4430(A-530)</v>
          </cell>
          <cell r="AM48">
            <v>1</v>
          </cell>
          <cell r="AN48">
            <v>21.97</v>
          </cell>
          <cell r="AQ48">
            <v>37.78</v>
          </cell>
          <cell r="AT48">
            <v>830</v>
          </cell>
        </row>
        <row r="49">
          <cell r="AH49" t="str">
            <v>ERLP</v>
          </cell>
          <cell r="AI49" t="str">
            <v>EPOXY RED LEAD POLYAMIDE CURED PRIMER</v>
          </cell>
          <cell r="AJ49" t="str">
            <v>4440(A-540)</v>
          </cell>
          <cell r="AK49" t="str">
            <v>1051</v>
          </cell>
          <cell r="AM49">
            <v>1</v>
          </cell>
          <cell r="AN49">
            <v>19.399999999999999</v>
          </cell>
          <cell r="AO49">
            <v>15.8</v>
          </cell>
          <cell r="AQ49">
            <v>42.78</v>
          </cell>
          <cell r="AR49">
            <v>43.04</v>
          </cell>
          <cell r="AT49">
            <v>830</v>
          </cell>
          <cell r="AU49">
            <v>680</v>
          </cell>
        </row>
        <row r="50">
          <cell r="AH50" t="str">
            <v>EROP</v>
          </cell>
          <cell r="AI50" t="str">
            <v>RED LEAD-RED OXIDE EP./POLYAMIDE CURED PRI.</v>
          </cell>
          <cell r="AJ50" t="str">
            <v>4445(A-545)</v>
          </cell>
          <cell r="AK50" t="str">
            <v>1060</v>
          </cell>
          <cell r="AM50">
            <v>1</v>
          </cell>
          <cell r="AN50">
            <v>18.7</v>
          </cell>
          <cell r="AO50">
            <v>20.9</v>
          </cell>
          <cell r="AQ50">
            <v>42.78</v>
          </cell>
          <cell r="AR50">
            <v>28.71</v>
          </cell>
          <cell r="AT50">
            <v>800</v>
          </cell>
          <cell r="AU50">
            <v>600</v>
          </cell>
        </row>
        <row r="51">
          <cell r="AH51" t="str">
            <v>ETC</v>
          </cell>
          <cell r="AI51" t="str">
            <v>TAR EPOXY COATING/AMINE CURED</v>
          </cell>
          <cell r="AJ51" t="str">
            <v>4460(A-560)</v>
          </cell>
          <cell r="AK51" t="str">
            <v>1070(EP-10)</v>
          </cell>
          <cell r="AM51">
            <v>1</v>
          </cell>
          <cell r="AN51">
            <v>11.69</v>
          </cell>
          <cell r="AO51">
            <v>12.2</v>
          </cell>
          <cell r="AQ51">
            <v>42.78</v>
          </cell>
          <cell r="AR51">
            <v>57.38</v>
          </cell>
          <cell r="AT51">
            <v>500</v>
          </cell>
          <cell r="AU51">
            <v>700</v>
          </cell>
        </row>
        <row r="52">
          <cell r="AH52" t="str">
            <v>EWB</v>
          </cell>
          <cell r="AI52" t="str">
            <v>WATER BASE EPOXY ENAMEL/POLTAMINE CURED</v>
          </cell>
          <cell r="AJ52" t="str">
            <v>4458(A-580)</v>
          </cell>
          <cell r="AK52" t="str">
            <v>1017(EP-07)</v>
          </cell>
          <cell r="AL52" t="str">
            <v>96</v>
          </cell>
          <cell r="AM52">
            <v>1</v>
          </cell>
          <cell r="AN52">
            <v>34.4</v>
          </cell>
          <cell r="AO52">
            <v>16</v>
          </cell>
          <cell r="AP52">
            <v>32.700000000000003</v>
          </cell>
          <cell r="AQ52">
            <v>37.79</v>
          </cell>
          <cell r="AR52">
            <v>43.75</v>
          </cell>
          <cell r="AS52">
            <v>45.87</v>
          </cell>
          <cell r="AT52">
            <v>1300</v>
          </cell>
          <cell r="AU52">
            <v>700</v>
          </cell>
          <cell r="AV52">
            <v>1500</v>
          </cell>
        </row>
        <row r="53">
          <cell r="AH53" t="str">
            <v>CCTE</v>
          </cell>
          <cell r="AI53" t="str">
            <v>CATALYZED COAL TAR EPOXY POLYAMINE CURED</v>
          </cell>
          <cell r="AJ53" t="str">
            <v>4459(A-590)</v>
          </cell>
          <cell r="AK53" t="str">
            <v>SP-06</v>
          </cell>
          <cell r="AM53">
            <v>1</v>
          </cell>
          <cell r="AN53">
            <v>12.6</v>
          </cell>
          <cell r="AO53">
            <v>32.1</v>
          </cell>
          <cell r="AQ53">
            <v>55.56</v>
          </cell>
          <cell r="AR53">
            <v>42.37</v>
          </cell>
          <cell r="AT53">
            <v>700</v>
          </cell>
          <cell r="AU53">
            <v>1360</v>
          </cell>
        </row>
        <row r="54">
          <cell r="AH54" t="str">
            <v>EPF</v>
          </cell>
          <cell r="AI54" t="str">
            <v>EPOXY-POLYAMINE,FINISH</v>
          </cell>
          <cell r="AJ54" t="str">
            <v>4465(A-650)</v>
          </cell>
          <cell r="AK54" t="str">
            <v>SP-08</v>
          </cell>
          <cell r="AM54">
            <v>1</v>
          </cell>
          <cell r="AN54">
            <v>21</v>
          </cell>
          <cell r="AO54">
            <v>24.4</v>
          </cell>
          <cell r="AQ54">
            <v>42.86</v>
          </cell>
          <cell r="AR54">
            <v>25</v>
          </cell>
          <cell r="AT54">
            <v>900</v>
          </cell>
          <cell r="AU54">
            <v>610</v>
          </cell>
        </row>
        <row r="55">
          <cell r="AH55" t="str">
            <v>EPRLP</v>
          </cell>
          <cell r="AI55" t="str">
            <v>EPOXY/POLYAMINE,RED LEAD PRIMER</v>
          </cell>
          <cell r="AJ55" t="str">
            <v>4570(A-700)</v>
          </cell>
          <cell r="AK55" t="str">
            <v>SP-09</v>
          </cell>
          <cell r="AM55">
            <v>1</v>
          </cell>
          <cell r="AN55">
            <v>21</v>
          </cell>
          <cell r="AO55">
            <v>32</v>
          </cell>
          <cell r="AQ55">
            <v>42.86</v>
          </cell>
          <cell r="AR55">
            <v>23.75</v>
          </cell>
          <cell r="AT55">
            <v>900</v>
          </cell>
          <cell r="AU55">
            <v>760</v>
          </cell>
        </row>
        <row r="56">
          <cell r="AH56" t="str">
            <v>EMOP</v>
          </cell>
          <cell r="AI56" t="str">
            <v xml:space="preserve">EPOXY MIO PRIMER </v>
          </cell>
          <cell r="AJ56" t="str">
            <v>4691(Ar-910)</v>
          </cell>
          <cell r="AK56" t="str">
            <v>1050(EP-20)</v>
          </cell>
          <cell r="AL56" t="str">
            <v>76</v>
          </cell>
          <cell r="AM56">
            <v>1</v>
          </cell>
          <cell r="AN56">
            <v>17.3</v>
          </cell>
          <cell r="AO56">
            <v>9.2799999999999994</v>
          </cell>
          <cell r="AP56">
            <v>30.9</v>
          </cell>
          <cell r="AQ56">
            <v>43.35</v>
          </cell>
          <cell r="AR56">
            <v>31.25</v>
          </cell>
          <cell r="AS56">
            <v>25.89</v>
          </cell>
          <cell r="AT56">
            <v>750</v>
          </cell>
          <cell r="AU56">
            <v>290</v>
          </cell>
          <cell r="AV56">
            <v>800</v>
          </cell>
        </row>
        <row r="57">
          <cell r="AH57" t="str">
            <v>EPCP</v>
          </cell>
          <cell r="AI57" t="str">
            <v>EPOXY-PHENOLIC CURED PRIMER .</v>
          </cell>
          <cell r="AJ57" t="str">
            <v>4691(Ar-910)</v>
          </cell>
          <cell r="AK57" t="str">
            <v>1060</v>
          </cell>
          <cell r="AL57" t="str">
            <v>76</v>
          </cell>
          <cell r="AM57">
            <v>1</v>
          </cell>
          <cell r="AN57">
            <v>17.3</v>
          </cell>
          <cell r="AO57">
            <v>19.2</v>
          </cell>
          <cell r="AP57">
            <v>30.9</v>
          </cell>
          <cell r="AQ57">
            <v>43.35</v>
          </cell>
          <cell r="AR57">
            <v>31.25</v>
          </cell>
          <cell r="AS57">
            <v>25.89</v>
          </cell>
          <cell r="AT57">
            <v>750</v>
          </cell>
          <cell r="AU57">
            <v>600</v>
          </cell>
          <cell r="AV57">
            <v>800</v>
          </cell>
        </row>
        <row r="59">
          <cell r="AI59" t="str">
            <v xml:space="preserve">CHLORINATED RUBBER RESIN </v>
          </cell>
        </row>
        <row r="60">
          <cell r="AH60" t="str">
            <v>CRRLP</v>
          </cell>
          <cell r="AI60" t="str">
            <v xml:space="preserve">CALORINATED RUBBER RED LEAD PRIMER </v>
          </cell>
          <cell r="AJ60" t="str">
            <v>0201</v>
          </cell>
          <cell r="AK60" t="str">
            <v>1402(RF-63)</v>
          </cell>
          <cell r="AL60" t="str">
            <v>530</v>
          </cell>
          <cell r="AM60">
            <v>1</v>
          </cell>
          <cell r="AN60">
            <v>14.7</v>
          </cell>
          <cell r="AO60">
            <v>12.9</v>
          </cell>
          <cell r="AP60">
            <v>15.5</v>
          </cell>
          <cell r="AQ60">
            <v>32.65</v>
          </cell>
          <cell r="AR60">
            <v>37.979999999999997</v>
          </cell>
          <cell r="AS60">
            <v>36.450000000000003</v>
          </cell>
          <cell r="AT60">
            <v>480</v>
          </cell>
          <cell r="AU60">
            <v>490</v>
          </cell>
          <cell r="AV60">
            <v>565</v>
          </cell>
        </row>
        <row r="61">
          <cell r="AH61" t="str">
            <v>CRZCP</v>
          </cell>
          <cell r="AI61" t="str">
            <v>CHLORINATED RUBBER PRIMER ZINC CHROMATE PR.</v>
          </cell>
          <cell r="AJ61" t="str">
            <v>0211</v>
          </cell>
          <cell r="AK61" t="str">
            <v>1450(RF-67)</v>
          </cell>
          <cell r="AL61" t="str">
            <v>540</v>
          </cell>
          <cell r="AM61">
            <v>1</v>
          </cell>
          <cell r="AN61">
            <v>15.5</v>
          </cell>
          <cell r="AO61">
            <v>11.3</v>
          </cell>
          <cell r="AP61">
            <v>14.1</v>
          </cell>
          <cell r="AQ61">
            <v>30.97</v>
          </cell>
          <cell r="AR61">
            <v>42.48</v>
          </cell>
          <cell r="AS61">
            <v>36.450000000000003</v>
          </cell>
          <cell r="AT61">
            <v>480</v>
          </cell>
          <cell r="AU61">
            <v>480</v>
          </cell>
          <cell r="AV61">
            <v>514</v>
          </cell>
        </row>
        <row r="62">
          <cell r="AH62" t="str">
            <v>CRROP</v>
          </cell>
          <cell r="AI62" t="str">
            <v xml:space="preserve">CHLORINATED RUBBER RED OXIDE PRIMER </v>
          </cell>
          <cell r="AJ62" t="str">
            <v>0221</v>
          </cell>
          <cell r="AK62" t="str">
            <v>1403(RF-65)</v>
          </cell>
          <cell r="AL62" t="str">
            <v>510</v>
          </cell>
          <cell r="AM62">
            <v>1</v>
          </cell>
          <cell r="AN62">
            <v>14.6</v>
          </cell>
          <cell r="AO62">
            <v>12.1</v>
          </cell>
          <cell r="AP62">
            <v>31</v>
          </cell>
          <cell r="AQ62">
            <v>30.82</v>
          </cell>
          <cell r="AR62">
            <v>38.020000000000003</v>
          </cell>
          <cell r="AS62">
            <v>38.549999999999997</v>
          </cell>
          <cell r="AT62">
            <v>450</v>
          </cell>
          <cell r="AU62">
            <v>460</v>
          </cell>
          <cell r="AV62">
            <v>1195</v>
          </cell>
        </row>
        <row r="63">
          <cell r="AH63" t="str">
            <v>CRF</v>
          </cell>
          <cell r="AI63" t="str">
            <v xml:space="preserve">CHLORINATED RUBBER FINISH </v>
          </cell>
          <cell r="AJ63" t="str">
            <v>0251</v>
          </cell>
          <cell r="AK63" t="str">
            <v>1401</v>
          </cell>
          <cell r="AL63" t="str">
            <v>520</v>
          </cell>
          <cell r="AM63">
            <v>1</v>
          </cell>
          <cell r="AN63">
            <v>18.899999999999999</v>
          </cell>
          <cell r="AO63">
            <v>15.8</v>
          </cell>
          <cell r="AP63">
            <v>16.7</v>
          </cell>
          <cell r="AQ63">
            <v>31.75</v>
          </cell>
          <cell r="AR63">
            <v>34.18</v>
          </cell>
          <cell r="AS63">
            <v>33.83</v>
          </cell>
          <cell r="AT63">
            <v>600</v>
          </cell>
          <cell r="AU63">
            <v>540</v>
          </cell>
          <cell r="AV63">
            <v>565</v>
          </cell>
        </row>
        <row r="64">
          <cell r="AH64" t="str">
            <v>CRATP</v>
          </cell>
          <cell r="AI64" t="str">
            <v>C RUBBER ALUMINUM TRIPOLYPHOSPHATE PRIMER</v>
          </cell>
          <cell r="AJ64" t="str">
            <v>0203</v>
          </cell>
          <cell r="AL64" t="str">
            <v>531</v>
          </cell>
          <cell r="AM64">
            <v>1</v>
          </cell>
          <cell r="AN64">
            <v>13.4</v>
          </cell>
          <cell r="AP64">
            <v>14.5</v>
          </cell>
          <cell r="AQ64">
            <v>37.31</v>
          </cell>
          <cell r="AS64">
            <v>36.409999999999997</v>
          </cell>
          <cell r="AT64">
            <v>500</v>
          </cell>
          <cell r="AV64">
            <v>528</v>
          </cell>
        </row>
        <row r="65">
          <cell r="AH65" t="str">
            <v>PCRF</v>
          </cell>
          <cell r="AI65" t="str">
            <v>PIGMENTED CHLORINATED RUBBER FINISH</v>
          </cell>
          <cell r="AJ65" t="str">
            <v>4470(C-700)</v>
          </cell>
          <cell r="AK65" t="str">
            <v>RF-51~56</v>
          </cell>
          <cell r="AL65" t="str">
            <v>560</v>
          </cell>
          <cell r="AM65">
            <v>1</v>
          </cell>
          <cell r="AN65">
            <v>27.1</v>
          </cell>
          <cell r="AO65">
            <v>12.3</v>
          </cell>
          <cell r="AP65">
            <v>13.5</v>
          </cell>
          <cell r="AQ65">
            <v>33.21</v>
          </cell>
          <cell r="AR65">
            <v>38.21</v>
          </cell>
          <cell r="AS65">
            <v>33.78</v>
          </cell>
          <cell r="AT65">
            <v>900</v>
          </cell>
          <cell r="AU65">
            <v>470</v>
          </cell>
          <cell r="AV65">
            <v>456</v>
          </cell>
        </row>
        <row r="66">
          <cell r="AH66" t="str">
            <v>CRRLP</v>
          </cell>
          <cell r="AI66" t="str">
            <v xml:space="preserve">CHLORINATED RUBBER RED LEAD PRIMER </v>
          </cell>
          <cell r="AJ66" t="str">
            <v>4575(C-750)</v>
          </cell>
          <cell r="AK66">
            <v>0</v>
          </cell>
          <cell r="AL66" t="str">
            <v>500</v>
          </cell>
          <cell r="AM66">
            <v>1</v>
          </cell>
          <cell r="AN66">
            <v>17.2</v>
          </cell>
          <cell r="AO66">
            <v>0</v>
          </cell>
          <cell r="AP66">
            <v>15</v>
          </cell>
          <cell r="AQ66">
            <v>37.79</v>
          </cell>
          <cell r="AS66">
            <v>30.4</v>
          </cell>
          <cell r="AT66">
            <v>650</v>
          </cell>
          <cell r="AV66">
            <v>456</v>
          </cell>
        </row>
        <row r="67">
          <cell r="AH67" t="str">
            <v>CRROP</v>
          </cell>
          <cell r="AI67" t="str">
            <v xml:space="preserve">CHLORINATED RUBBER RED LEAD-RED OXIDE PRIMER </v>
          </cell>
          <cell r="AJ67" t="str">
            <v>4576(C-760)</v>
          </cell>
          <cell r="AL67" t="str">
            <v>550</v>
          </cell>
          <cell r="AM67">
            <v>1</v>
          </cell>
          <cell r="AN67">
            <v>15.9</v>
          </cell>
          <cell r="AP67">
            <v>14.8</v>
          </cell>
          <cell r="AQ67">
            <v>38.99</v>
          </cell>
          <cell r="AS67">
            <v>33.78</v>
          </cell>
          <cell r="AT67">
            <v>620</v>
          </cell>
          <cell r="AV67">
            <v>500</v>
          </cell>
        </row>
        <row r="68">
          <cell r="AH68" t="str">
            <v>VZCP</v>
          </cell>
          <cell r="AI68" t="str">
            <v>CHLORINATED RUBBER BASE M.I.O.COATING</v>
          </cell>
          <cell r="AJ68" t="str">
            <v>4693(Ar-930)</v>
          </cell>
          <cell r="AK68" t="str">
            <v>1452(RF-68)</v>
          </cell>
          <cell r="AL68" t="str">
            <v>600</v>
          </cell>
          <cell r="AM68">
            <v>1</v>
          </cell>
          <cell r="AN68">
            <v>16.399999999999999</v>
          </cell>
          <cell r="AO68">
            <v>13.2</v>
          </cell>
          <cell r="AP68">
            <v>14.8</v>
          </cell>
          <cell r="AQ68">
            <v>37.799999999999997</v>
          </cell>
          <cell r="AR68">
            <v>37.880000000000003</v>
          </cell>
          <cell r="AS68">
            <v>33.72</v>
          </cell>
          <cell r="AT68">
            <v>620</v>
          </cell>
          <cell r="AU68">
            <v>500</v>
          </cell>
          <cell r="AV68">
            <v>499</v>
          </cell>
        </row>
        <row r="70">
          <cell r="AV70">
            <v>406</v>
          </cell>
        </row>
        <row r="71">
          <cell r="AI71" t="str">
            <v xml:space="preserve">SILICONE RESIN </v>
          </cell>
          <cell r="AT71">
            <v>440</v>
          </cell>
        </row>
        <row r="72">
          <cell r="AH72" t="str">
            <v>HP200</v>
          </cell>
          <cell r="AI72" t="str">
            <v>HEAT-RESISTING PRIMER 200'C ,SILICONE SERIES.</v>
          </cell>
          <cell r="AJ72" t="str">
            <v>0631</v>
          </cell>
          <cell r="AK72" t="str">
            <v>1512</v>
          </cell>
          <cell r="AM72">
            <v>1</v>
          </cell>
          <cell r="AN72">
            <v>16.5</v>
          </cell>
          <cell r="AO72">
            <v>26.2</v>
          </cell>
          <cell r="AQ72">
            <v>36.36</v>
          </cell>
          <cell r="AR72">
            <v>38.17</v>
          </cell>
          <cell r="AT72">
            <v>600</v>
          </cell>
          <cell r="AU72">
            <v>1000</v>
          </cell>
        </row>
        <row r="73">
          <cell r="AH73" t="str">
            <v>HP300</v>
          </cell>
          <cell r="AI73" t="str">
            <v xml:space="preserve">HEAT-RESISTING PRIMER 300'C </v>
          </cell>
          <cell r="AJ73" t="str">
            <v>0632</v>
          </cell>
          <cell r="AK73" t="str">
            <v>1507</v>
          </cell>
          <cell r="AL73" t="str">
            <v>330-1</v>
          </cell>
          <cell r="AM73">
            <v>1</v>
          </cell>
          <cell r="AN73">
            <v>20.7</v>
          </cell>
          <cell r="AO73">
            <v>20.399999999999999</v>
          </cell>
          <cell r="AP73">
            <v>29</v>
          </cell>
          <cell r="AQ73">
            <v>36.229999999999997</v>
          </cell>
          <cell r="AR73">
            <v>38.24</v>
          </cell>
          <cell r="AS73">
            <v>33.76</v>
          </cell>
          <cell r="AT73">
            <v>750</v>
          </cell>
          <cell r="AU73">
            <v>780</v>
          </cell>
          <cell r="AV73">
            <v>979</v>
          </cell>
        </row>
        <row r="74">
          <cell r="AH74" t="str">
            <v>HP500</v>
          </cell>
          <cell r="AI74" t="str">
            <v>HEAT-RESISTING PRIMER 500'C</v>
          </cell>
          <cell r="AJ74" t="str">
            <v>0634</v>
          </cell>
          <cell r="AK74" t="str">
            <v>1501</v>
          </cell>
          <cell r="AM74">
            <v>1</v>
          </cell>
          <cell r="AN74">
            <v>35.799999999999997</v>
          </cell>
          <cell r="AO74">
            <v>34.1</v>
          </cell>
          <cell r="AQ74">
            <v>36.31</v>
          </cell>
          <cell r="AR74">
            <v>38.119999999999997</v>
          </cell>
          <cell r="AT74">
            <v>1300</v>
          </cell>
          <cell r="AU74">
            <v>1300</v>
          </cell>
        </row>
        <row r="75">
          <cell r="AH75" t="str">
            <v>HP600</v>
          </cell>
          <cell r="AI75" t="str">
            <v>HEAT-RESISTING PRIMER 600'C</v>
          </cell>
          <cell r="AJ75" t="str">
            <v>0635</v>
          </cell>
          <cell r="AK75" t="str">
            <v>1500</v>
          </cell>
          <cell r="AL75" t="str">
            <v>320-1</v>
          </cell>
          <cell r="AM75">
            <v>1</v>
          </cell>
          <cell r="AN75">
            <v>44.09</v>
          </cell>
          <cell r="AO75">
            <v>34.1</v>
          </cell>
          <cell r="AP75">
            <v>44.4</v>
          </cell>
          <cell r="AQ75">
            <v>31.75</v>
          </cell>
          <cell r="AR75">
            <v>38.119999999999997</v>
          </cell>
          <cell r="AS75">
            <v>33.78</v>
          </cell>
          <cell r="AT75">
            <v>1400</v>
          </cell>
          <cell r="AU75">
            <v>1300</v>
          </cell>
          <cell r="AV75">
            <v>1500</v>
          </cell>
        </row>
        <row r="76">
          <cell r="AH76" t="str">
            <v>HF200</v>
          </cell>
          <cell r="AI76" t="str">
            <v>HEAT-RESISTING PAINT 200'C SILICONE SREIES.</v>
          </cell>
          <cell r="AJ76" t="str">
            <v>0651</v>
          </cell>
          <cell r="AK76" t="str">
            <v>1504</v>
          </cell>
          <cell r="AM76">
            <v>1</v>
          </cell>
          <cell r="AN76">
            <v>17.5</v>
          </cell>
          <cell r="AO76">
            <v>27.3</v>
          </cell>
          <cell r="AQ76">
            <v>30.29</v>
          </cell>
          <cell r="AR76">
            <v>28.57</v>
          </cell>
          <cell r="AT76">
            <v>530</v>
          </cell>
          <cell r="AU76">
            <v>780</v>
          </cell>
        </row>
        <row r="77">
          <cell r="AH77" t="str">
            <v>HF300</v>
          </cell>
          <cell r="AI77" t="str">
            <v>HEAT-RESISTING PAINT 300'C</v>
          </cell>
          <cell r="AJ77" t="str">
            <v>0652</v>
          </cell>
          <cell r="AK77" t="str">
            <v>1505</v>
          </cell>
          <cell r="AL77" t="str">
            <v>330</v>
          </cell>
          <cell r="AM77">
            <v>1</v>
          </cell>
          <cell r="AN77">
            <v>27.6</v>
          </cell>
          <cell r="AO77">
            <v>27.3</v>
          </cell>
          <cell r="AP77">
            <v>28.4</v>
          </cell>
          <cell r="AQ77">
            <v>27.17</v>
          </cell>
          <cell r="AR77">
            <v>28.57</v>
          </cell>
          <cell r="AS77">
            <v>32.54</v>
          </cell>
          <cell r="AT77">
            <v>750</v>
          </cell>
          <cell r="AU77">
            <v>780</v>
          </cell>
          <cell r="AV77">
            <v>924</v>
          </cell>
        </row>
        <row r="78">
          <cell r="AH78" t="str">
            <v>HF400</v>
          </cell>
          <cell r="AI78" t="str">
            <v>HEAT-RESISTING PAINT 400'C ALUM. SERIES.</v>
          </cell>
          <cell r="AJ78" t="str">
            <v>0654</v>
          </cell>
          <cell r="AK78" t="str">
            <v>1503</v>
          </cell>
          <cell r="AM78">
            <v>1</v>
          </cell>
          <cell r="AN78">
            <v>51.61</v>
          </cell>
          <cell r="AO78">
            <v>59.4</v>
          </cell>
          <cell r="AQ78">
            <v>25.19</v>
          </cell>
          <cell r="AR78">
            <v>28.62</v>
          </cell>
          <cell r="AT78">
            <v>1300</v>
          </cell>
          <cell r="AU78">
            <v>1700</v>
          </cell>
        </row>
        <row r="79">
          <cell r="AH79" t="str">
            <v>HF600</v>
          </cell>
          <cell r="AI79" t="str">
            <v>HEAT-RESISTING PAINT 600'C</v>
          </cell>
          <cell r="AJ79" t="str">
            <v>0655</v>
          </cell>
          <cell r="AK79" t="str">
            <v>1508</v>
          </cell>
          <cell r="AL79" t="str">
            <v>320</v>
          </cell>
          <cell r="AM79">
            <v>1</v>
          </cell>
          <cell r="AN79">
            <v>74.400000000000006</v>
          </cell>
          <cell r="AO79">
            <v>52.39</v>
          </cell>
          <cell r="AP79">
            <v>43.5</v>
          </cell>
          <cell r="AQ79">
            <v>20.16</v>
          </cell>
          <cell r="AR79">
            <v>28.63</v>
          </cell>
          <cell r="AS79">
            <v>32.479999999999997</v>
          </cell>
          <cell r="AT79">
            <v>1500</v>
          </cell>
          <cell r="AU79">
            <v>1500</v>
          </cell>
          <cell r="AV79">
            <v>1413</v>
          </cell>
        </row>
        <row r="80">
          <cell r="AH80" t="str">
            <v>ITIP</v>
          </cell>
          <cell r="AI80" t="str">
            <v>THERMOINDICATIVE PAINT INTERBOND TEMP. INDICATING PAINT</v>
          </cell>
          <cell r="AJ80" t="str">
            <v>0654</v>
          </cell>
          <cell r="AK80" t="str">
            <v>HAA-705</v>
          </cell>
          <cell r="AM80">
            <v>1</v>
          </cell>
          <cell r="AN80">
            <v>51.61</v>
          </cell>
          <cell r="AO80">
            <v>68</v>
          </cell>
          <cell r="AQ80">
            <v>25.19</v>
          </cell>
          <cell r="AR80">
            <v>10</v>
          </cell>
          <cell r="AT80">
            <v>1300</v>
          </cell>
          <cell r="AU80">
            <v>680</v>
          </cell>
        </row>
        <row r="81">
          <cell r="AI81" t="str">
            <v>RED LEAD PRIMER</v>
          </cell>
          <cell r="AJ81" t="str">
            <v>0102</v>
          </cell>
          <cell r="AK81" t="str">
            <v>906(OP-92)</v>
          </cell>
          <cell r="AL81" t="str">
            <v>220</v>
          </cell>
          <cell r="AM81">
            <v>1</v>
          </cell>
          <cell r="AN81">
            <v>8.7799999999999994</v>
          </cell>
          <cell r="AO81">
            <v>10</v>
          </cell>
          <cell r="AP81">
            <v>12.4</v>
          </cell>
          <cell r="AQ81">
            <v>47.83</v>
          </cell>
          <cell r="AR81">
            <v>42</v>
          </cell>
          <cell r="AS81">
            <v>38.71</v>
          </cell>
          <cell r="AT81">
            <v>420</v>
          </cell>
          <cell r="AU81">
            <v>420</v>
          </cell>
          <cell r="AV81">
            <v>480</v>
          </cell>
        </row>
        <row r="82">
          <cell r="AI82" t="str">
            <v xml:space="preserve">POLY-VINYL BUTYRAL RESIN (PVB) </v>
          </cell>
          <cell r="AT82">
            <v>540</v>
          </cell>
          <cell r="AU82">
            <v>570</v>
          </cell>
        </row>
        <row r="83">
          <cell r="AH83" t="str">
            <v>VRLP</v>
          </cell>
          <cell r="AI83" t="str">
            <v>VINYL RED LEAD PRIMER</v>
          </cell>
          <cell r="AJ83" t="str">
            <v>0301</v>
          </cell>
          <cell r="AK83" t="str">
            <v>SP30(VP-71)</v>
          </cell>
          <cell r="AL83" t="str">
            <v xml:space="preserve"> 21</v>
          </cell>
          <cell r="AM83">
            <v>1</v>
          </cell>
          <cell r="AN83">
            <v>21.8</v>
          </cell>
          <cell r="AO83">
            <v>25.3</v>
          </cell>
          <cell r="AP83">
            <v>64.900000000000006</v>
          </cell>
          <cell r="AQ83">
            <v>25.23</v>
          </cell>
          <cell r="AR83">
            <v>23.72</v>
          </cell>
          <cell r="AS83">
            <v>21.57</v>
          </cell>
          <cell r="AT83">
            <v>550</v>
          </cell>
          <cell r="AU83">
            <v>600</v>
          </cell>
          <cell r="AV83">
            <v>1400</v>
          </cell>
        </row>
        <row r="84">
          <cell r="AH84" t="str">
            <v>VZCP</v>
          </cell>
          <cell r="AI84" t="str">
            <v>VINYL ZINC CHRMATE PRIMER</v>
          </cell>
          <cell r="AJ84" t="str">
            <v>0311</v>
          </cell>
          <cell r="AK84" t="str">
            <v>VP-72</v>
          </cell>
          <cell r="AM84">
            <v>1</v>
          </cell>
          <cell r="AN84">
            <v>24.5</v>
          </cell>
          <cell r="AO84">
            <v>28.8</v>
          </cell>
          <cell r="AQ84">
            <v>22.04</v>
          </cell>
          <cell r="AR84">
            <v>19.79</v>
          </cell>
          <cell r="AT84">
            <v>540</v>
          </cell>
          <cell r="AU84">
            <v>570</v>
          </cell>
        </row>
        <row r="85">
          <cell r="AH85" t="str">
            <v>WP</v>
          </cell>
          <cell r="AI85" t="str">
            <v>WASH PRIMER</v>
          </cell>
          <cell r="AJ85" t="str">
            <v>0345</v>
          </cell>
          <cell r="AK85" t="str">
            <v>908(SP-02)</v>
          </cell>
          <cell r="AL85" t="str">
            <v xml:space="preserve"> 11</v>
          </cell>
          <cell r="AM85">
            <v>1</v>
          </cell>
          <cell r="AN85">
            <v>55.83</v>
          </cell>
          <cell r="AO85">
            <v>37.1</v>
          </cell>
          <cell r="AP85">
            <v>78.3</v>
          </cell>
          <cell r="AQ85">
            <v>8.06</v>
          </cell>
          <cell r="AR85">
            <v>11.86</v>
          </cell>
          <cell r="AS85">
            <v>8.94</v>
          </cell>
          <cell r="AT85">
            <v>450</v>
          </cell>
          <cell r="AU85">
            <v>440</v>
          </cell>
          <cell r="AV85">
            <v>700</v>
          </cell>
        </row>
        <row r="86">
          <cell r="AH86" t="str">
            <v>VE</v>
          </cell>
          <cell r="AI86" t="str">
            <v xml:space="preserve">VINYL ENAMEL </v>
          </cell>
          <cell r="AJ86" t="str">
            <v>0351</v>
          </cell>
          <cell r="AK86" t="str">
            <v>SP32(VA-11)</v>
          </cell>
          <cell r="AM86">
            <v>1</v>
          </cell>
          <cell r="AN86">
            <v>29.1</v>
          </cell>
          <cell r="AO86">
            <v>26.21</v>
          </cell>
          <cell r="AQ86">
            <v>18.899999999999999</v>
          </cell>
          <cell r="AR86">
            <v>19.079999999999998</v>
          </cell>
          <cell r="AT86">
            <v>550</v>
          </cell>
          <cell r="AU86">
            <v>500</v>
          </cell>
        </row>
        <row r="87">
          <cell r="AI87" t="str">
            <v>PIGMENTED PVC VINYL FINISH</v>
          </cell>
          <cell r="AJ87" t="str">
            <v>4340(U-400)</v>
          </cell>
          <cell r="AK87" t="str">
            <v>SP34(VA-51)</v>
          </cell>
          <cell r="AM87">
            <v>1</v>
          </cell>
          <cell r="AN87">
            <v>21.2</v>
          </cell>
          <cell r="AO87">
            <v>27.3</v>
          </cell>
          <cell r="AQ87">
            <v>30.19</v>
          </cell>
          <cell r="AR87">
            <v>19.78</v>
          </cell>
          <cell r="AT87">
            <v>640</v>
          </cell>
          <cell r="AU87">
            <v>540</v>
          </cell>
        </row>
        <row r="89">
          <cell r="AI89" t="str">
            <v xml:space="preserve">POLYOL POLYISOCYANATE </v>
          </cell>
        </row>
        <row r="90">
          <cell r="AH90" t="str">
            <v>PCC</v>
          </cell>
          <cell r="AI90" t="str">
            <v xml:space="preserve">POLYURETHANE COATING CLEAR </v>
          </cell>
          <cell r="AJ90" t="str">
            <v>0550</v>
          </cell>
          <cell r="AK90" t="str">
            <v>722</v>
          </cell>
          <cell r="AL90" t="str">
            <v xml:space="preserve"> 67</v>
          </cell>
          <cell r="AM90">
            <v>1</v>
          </cell>
          <cell r="AN90">
            <v>27.8</v>
          </cell>
          <cell r="AO90">
            <v>29.8</v>
          </cell>
          <cell r="AP90">
            <v>81.790000000000006</v>
          </cell>
          <cell r="AQ90">
            <v>25.18</v>
          </cell>
          <cell r="AR90">
            <v>25.17</v>
          </cell>
          <cell r="AS90">
            <v>18.34</v>
          </cell>
          <cell r="AT90">
            <v>700</v>
          </cell>
          <cell r="AU90">
            <v>750</v>
          </cell>
          <cell r="AV90">
            <v>1500</v>
          </cell>
        </row>
        <row r="91">
          <cell r="AH91" t="str">
            <v>PF</v>
          </cell>
          <cell r="AI91" t="str">
            <v>POLYURETHANE COATING</v>
          </cell>
          <cell r="AJ91" t="str">
            <v>0551</v>
          </cell>
          <cell r="AK91" t="str">
            <v>725</v>
          </cell>
          <cell r="AL91" t="str">
            <v xml:space="preserve"> 66</v>
          </cell>
          <cell r="AM91">
            <v>1</v>
          </cell>
          <cell r="AN91">
            <v>33.1</v>
          </cell>
          <cell r="AO91">
            <v>29.8</v>
          </cell>
          <cell r="AP91">
            <v>92.79</v>
          </cell>
          <cell r="AQ91">
            <v>27.19</v>
          </cell>
          <cell r="AR91">
            <v>30.2</v>
          </cell>
          <cell r="AS91">
            <v>18.32</v>
          </cell>
          <cell r="AT91">
            <v>900</v>
          </cell>
          <cell r="AU91">
            <v>900</v>
          </cell>
          <cell r="AV91">
            <v>1700</v>
          </cell>
        </row>
        <row r="92">
          <cell r="AH92" t="str">
            <v>PFC</v>
          </cell>
          <cell r="AI92" t="str">
            <v>POLYURETHANE COATING</v>
          </cell>
          <cell r="AJ92" t="str">
            <v>0551</v>
          </cell>
          <cell r="AK92" t="str">
            <v>UP-04</v>
          </cell>
          <cell r="AL92" t="str">
            <v xml:space="preserve"> 66</v>
          </cell>
          <cell r="AM92">
            <v>1</v>
          </cell>
          <cell r="AN92">
            <v>36.78</v>
          </cell>
          <cell r="AO92">
            <v>16.059999999999999</v>
          </cell>
          <cell r="AP92">
            <v>92.79</v>
          </cell>
          <cell r="AQ92">
            <v>27.19</v>
          </cell>
          <cell r="AR92">
            <v>30.2</v>
          </cell>
          <cell r="AS92">
            <v>18.32</v>
          </cell>
          <cell r="AT92">
            <v>1000</v>
          </cell>
          <cell r="AU92">
            <v>485</v>
          </cell>
          <cell r="AV92">
            <v>1700</v>
          </cell>
        </row>
        <row r="93">
          <cell r="AH93" t="str">
            <v>AICP</v>
          </cell>
          <cell r="AI93" t="str">
            <v>ALIPHATIC ISCYANATE CURED POLYURETHANE FIN.</v>
          </cell>
          <cell r="AJ93" t="str">
            <v>4231(I-300)</v>
          </cell>
          <cell r="AK93" t="str">
            <v>728</v>
          </cell>
          <cell r="AM93">
            <v>1</v>
          </cell>
          <cell r="AN93">
            <v>46.3</v>
          </cell>
          <cell r="AO93">
            <v>56.2</v>
          </cell>
          <cell r="AQ93">
            <v>30.24</v>
          </cell>
          <cell r="AR93">
            <v>30.25</v>
          </cell>
          <cell r="AT93">
            <v>1400</v>
          </cell>
          <cell r="AU93">
            <v>1700</v>
          </cell>
        </row>
        <row r="94">
          <cell r="AI94" t="str">
            <v>POLYURETHANE TANK LINING</v>
          </cell>
          <cell r="AJ94" t="str">
            <v>4230(I-310)</v>
          </cell>
          <cell r="AK94" t="str">
            <v>733</v>
          </cell>
          <cell r="AM94">
            <v>1</v>
          </cell>
          <cell r="AN94">
            <v>37</v>
          </cell>
          <cell r="AO94">
            <v>19.8</v>
          </cell>
          <cell r="AQ94">
            <v>37.840000000000003</v>
          </cell>
          <cell r="AR94">
            <v>28.79</v>
          </cell>
          <cell r="AT94">
            <v>1400</v>
          </cell>
          <cell r="AU94">
            <v>570</v>
          </cell>
        </row>
        <row r="95">
          <cell r="AI95" t="str">
            <v>NON-REACTIVE POLYURETHANE PRIMER</v>
          </cell>
          <cell r="AJ95" t="str">
            <v>4239(I-350)</v>
          </cell>
          <cell r="AM95">
            <v>1</v>
          </cell>
          <cell r="AN95">
            <v>18</v>
          </cell>
          <cell r="AQ95">
            <v>55.56</v>
          </cell>
          <cell r="AT95">
            <v>1000</v>
          </cell>
        </row>
        <row r="96">
          <cell r="AI96" t="str">
            <v>CLEAR POLYURETHANE FINISH</v>
          </cell>
          <cell r="AJ96" t="str">
            <v>4235(I-390)</v>
          </cell>
          <cell r="AK96" t="str">
            <v>1101</v>
          </cell>
          <cell r="AM96">
            <v>1</v>
          </cell>
          <cell r="AN96">
            <v>31.7</v>
          </cell>
          <cell r="AO96">
            <v>17</v>
          </cell>
          <cell r="AQ96">
            <v>37.85</v>
          </cell>
          <cell r="AR96">
            <v>26.47</v>
          </cell>
          <cell r="AT96">
            <v>1200</v>
          </cell>
          <cell r="AU96">
            <v>450</v>
          </cell>
        </row>
        <row r="97">
          <cell r="AI97" t="str">
            <v>URETHANE CHROMATE PRIMER</v>
          </cell>
          <cell r="AJ97" t="str">
            <v>4420(A-200)</v>
          </cell>
          <cell r="AK97" t="str">
            <v>1106</v>
          </cell>
          <cell r="AM97">
            <v>1</v>
          </cell>
          <cell r="AN97">
            <v>21.6</v>
          </cell>
          <cell r="AO97">
            <v>12.5</v>
          </cell>
          <cell r="AQ97">
            <v>37.04</v>
          </cell>
          <cell r="AR97">
            <v>24</v>
          </cell>
          <cell r="AT97">
            <v>800</v>
          </cell>
          <cell r="AU97">
            <v>300</v>
          </cell>
        </row>
        <row r="98">
          <cell r="AI98" t="str">
            <v>ZINC TETROXYCHROMATE BUTYRAL ETCH PRIMER</v>
          </cell>
          <cell r="AJ98" t="str">
            <v>4322(U-220)</v>
          </cell>
          <cell r="AK98" t="str">
            <v>738</v>
          </cell>
          <cell r="AM98">
            <v>1</v>
          </cell>
          <cell r="AN98">
            <v>58.41</v>
          </cell>
          <cell r="AO98">
            <v>69.59</v>
          </cell>
          <cell r="AQ98">
            <v>8.56</v>
          </cell>
          <cell r="AR98">
            <v>28.74</v>
          </cell>
          <cell r="AT98">
            <v>500</v>
          </cell>
          <cell r="AU98">
            <v>2000</v>
          </cell>
        </row>
        <row r="100">
          <cell r="AI100" t="str">
            <v>MASONRY &amp; ACRYLIC PAINT</v>
          </cell>
        </row>
        <row r="101">
          <cell r="AI101" t="str">
            <v>SOLVENT BASE MASONRY PRIMER</v>
          </cell>
          <cell r="AJ101" t="str">
            <v>1541</v>
          </cell>
          <cell r="AL101" t="str">
            <v>140</v>
          </cell>
          <cell r="AM101">
            <v>1</v>
          </cell>
          <cell r="AN101">
            <v>9.6999999999999993</v>
          </cell>
          <cell r="AP101">
            <v>14</v>
          </cell>
          <cell r="AQ101">
            <v>40.21</v>
          </cell>
          <cell r="AS101">
            <v>30.36</v>
          </cell>
          <cell r="AT101">
            <v>390</v>
          </cell>
          <cell r="AV101">
            <v>425</v>
          </cell>
        </row>
        <row r="102">
          <cell r="AI102" t="str">
            <v>WATER BASE MASONRY PRIMER</v>
          </cell>
          <cell r="AJ102" t="str">
            <v>1546</v>
          </cell>
          <cell r="AL102" t="str">
            <v>140-1</v>
          </cell>
          <cell r="AM102">
            <v>1</v>
          </cell>
          <cell r="AN102">
            <v>8.1999999999999993</v>
          </cell>
          <cell r="AP102">
            <v>12</v>
          </cell>
          <cell r="AQ102">
            <v>40.24</v>
          </cell>
          <cell r="AS102">
            <v>33.83</v>
          </cell>
          <cell r="AT102">
            <v>330</v>
          </cell>
          <cell r="AV102">
            <v>406</v>
          </cell>
        </row>
        <row r="103">
          <cell r="AI103" t="str">
            <v>WATER BASE MASONRY PAINT</v>
          </cell>
          <cell r="AJ103" t="str">
            <v>1556</v>
          </cell>
          <cell r="AM103">
            <v>1</v>
          </cell>
          <cell r="AN103">
            <v>11.9</v>
          </cell>
          <cell r="AQ103">
            <v>36.97</v>
          </cell>
          <cell r="AT103">
            <v>440</v>
          </cell>
        </row>
        <row r="104">
          <cell r="AH104" t="str">
            <v>1656</v>
          </cell>
          <cell r="AI104" t="str">
            <v xml:space="preserve">ACRYLIC EMULSION PAINT </v>
          </cell>
          <cell r="AJ104" t="str">
            <v>1656</v>
          </cell>
          <cell r="AM104">
            <v>1</v>
          </cell>
          <cell r="AN104">
            <v>9.4</v>
          </cell>
          <cell r="AP104">
            <v>25.8</v>
          </cell>
          <cell r="AQ104">
            <v>38.299999999999997</v>
          </cell>
          <cell r="AS104">
            <v>34.880000000000003</v>
          </cell>
          <cell r="AT104">
            <v>360</v>
          </cell>
          <cell r="AV104">
            <v>900</v>
          </cell>
        </row>
        <row r="105">
          <cell r="AI105" t="str">
            <v xml:space="preserve">EMULSION PAINT </v>
          </cell>
          <cell r="AJ105" t="str">
            <v>1657</v>
          </cell>
          <cell r="AL105" t="str">
            <v>130</v>
          </cell>
          <cell r="AM105">
            <v>1</v>
          </cell>
          <cell r="AN105">
            <v>6.4</v>
          </cell>
          <cell r="AP105">
            <v>5.8</v>
          </cell>
          <cell r="AQ105">
            <v>40.630000000000003</v>
          </cell>
          <cell r="AS105">
            <v>34.83</v>
          </cell>
          <cell r="AT105">
            <v>260</v>
          </cell>
          <cell r="AV105">
            <v>202</v>
          </cell>
        </row>
        <row r="107">
          <cell r="AI107" t="str">
            <v>OTHER PAINT</v>
          </cell>
        </row>
        <row r="108">
          <cell r="AH108" t="str">
            <v>AO</v>
          </cell>
          <cell r="AI108" t="str">
            <v>AMERLOCK-400 100,</v>
          </cell>
          <cell r="AM108">
            <v>1</v>
          </cell>
          <cell r="AO108">
            <v>35</v>
          </cell>
          <cell r="AR108">
            <v>21</v>
          </cell>
          <cell r="AU108">
            <v>735</v>
          </cell>
        </row>
        <row r="109">
          <cell r="AI109" t="str">
            <v>BLACK VARNISH</v>
          </cell>
          <cell r="AJ109" t="str">
            <v>1727</v>
          </cell>
          <cell r="AL109" t="str">
            <v>170</v>
          </cell>
          <cell r="AM109">
            <v>1</v>
          </cell>
          <cell r="AN109">
            <v>5.8</v>
          </cell>
          <cell r="AP109">
            <v>6.2</v>
          </cell>
          <cell r="AQ109">
            <v>34.479999999999997</v>
          </cell>
          <cell r="AS109">
            <v>26.94</v>
          </cell>
          <cell r="AT109">
            <v>200</v>
          </cell>
          <cell r="AV109">
            <v>167</v>
          </cell>
        </row>
        <row r="110">
          <cell r="AI110" t="str">
            <v>NEO WATER PROOF COATING</v>
          </cell>
          <cell r="AJ110" t="str">
            <v>1728</v>
          </cell>
          <cell r="AK110" t="str">
            <v>1018</v>
          </cell>
          <cell r="AL110" t="str">
            <v>160</v>
          </cell>
          <cell r="AM110">
            <v>1</v>
          </cell>
          <cell r="AN110">
            <v>4.4000000000000004</v>
          </cell>
          <cell r="AP110">
            <v>6.7</v>
          </cell>
          <cell r="AQ110">
            <v>227.27</v>
          </cell>
          <cell r="AS110">
            <v>28.81</v>
          </cell>
          <cell r="AT110">
            <v>1000</v>
          </cell>
          <cell r="AV110">
            <v>193</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refreshError="1"/>
      <sheetData sheetId="162" refreshError="1"/>
      <sheetData sheetId="163" refreshError="1"/>
      <sheetData sheetId="164" refreshError="1"/>
      <sheetData sheetId="165" refreshError="1"/>
      <sheetData sheetId="166" refreshError="1"/>
      <sheetData sheetId="167" refreshError="1"/>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refreshError="1"/>
      <sheetData sheetId="254" refreshError="1"/>
      <sheetData sheetId="255" refreshError="1"/>
      <sheetData sheetId="256" refreshError="1"/>
      <sheetData sheetId="257" refreshError="1"/>
      <sheetData sheetId="258" refreshError="1"/>
      <sheetData sheetId="259"/>
      <sheetData sheetId="260"/>
      <sheetData sheetId="261"/>
      <sheetData sheetId="262"/>
      <sheetData sheetId="263"/>
      <sheetData sheetId="264"/>
      <sheetData sheetId="265"/>
      <sheetData sheetId="266" refreshError="1"/>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refreshError="1"/>
      <sheetData sheetId="443" refreshError="1"/>
      <sheetData sheetId="444" refreshError="1"/>
      <sheetData sheetId="445" refreshError="1"/>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refreshError="1"/>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refreshError="1"/>
      <sheetData sheetId="660" refreshError="1"/>
      <sheetData sheetId="661" refreshError="1"/>
      <sheetData sheetId="662" refreshError="1"/>
      <sheetData sheetId="663" refreshError="1"/>
      <sheetData sheetId="664" refreshError="1"/>
      <sheetData sheetId="665" refreshError="1"/>
      <sheetData sheetId="666" refreshError="1"/>
      <sheetData sheetId="667" refreshError="1"/>
      <sheetData sheetId="668" refreshError="1"/>
      <sheetData sheetId="669" refreshError="1"/>
      <sheetData sheetId="670"/>
      <sheetData sheetId="671" refreshError="1"/>
      <sheetData sheetId="672" refreshError="1"/>
      <sheetData sheetId="673" refreshError="1"/>
      <sheetData sheetId="674" refreshError="1"/>
      <sheetData sheetId="675" refreshError="1"/>
      <sheetData sheetId="676" refreshError="1"/>
      <sheetData sheetId="677" refreshError="1"/>
      <sheetData sheetId="678" refreshError="1"/>
      <sheetData sheetId="679" refreshError="1"/>
      <sheetData sheetId="680" refreshError="1"/>
      <sheetData sheetId="681" refreshError="1"/>
      <sheetData sheetId="682" refreshError="1"/>
      <sheetData sheetId="683" refreshError="1"/>
      <sheetData sheetId="684"/>
      <sheetData sheetId="685"/>
      <sheetData sheetId="686"/>
      <sheetData sheetId="687"/>
      <sheetData sheetId="688"/>
      <sheetData sheetId="689"/>
      <sheetData sheetId="690"/>
      <sheetData sheetId="691"/>
      <sheetData sheetId="692"/>
      <sheetData sheetId="693" refreshError="1"/>
      <sheetData sheetId="694" refreshError="1"/>
      <sheetData sheetId="695" refreshError="1"/>
      <sheetData sheetId="696" refreshError="1"/>
      <sheetData sheetId="697" refreshError="1"/>
      <sheetData sheetId="698" refreshError="1"/>
      <sheetData sheetId="699" refreshError="1"/>
      <sheetData sheetId="700" refreshError="1"/>
      <sheetData sheetId="701" refreshError="1"/>
      <sheetData sheetId="702" refreshError="1"/>
      <sheetData sheetId="703" refreshError="1"/>
      <sheetData sheetId="704" refreshError="1"/>
      <sheetData sheetId="705" refreshError="1"/>
      <sheetData sheetId="706" refreshError="1"/>
      <sheetData sheetId="707" refreshError="1"/>
      <sheetData sheetId="708" refreshError="1"/>
      <sheetData sheetId="709" refreshError="1"/>
      <sheetData sheetId="710"/>
      <sheetData sheetId="711"/>
      <sheetData sheetId="712"/>
      <sheetData sheetId="713"/>
      <sheetData sheetId="714"/>
      <sheetData sheetId="715"/>
      <sheetData sheetId="716"/>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STI."/>
      <sheetName val="DI-ESTI"/>
      <sheetName val="切割 MTL"/>
      <sheetName val="切割 DI"/>
      <sheetName val="Daily"/>
      <sheetName val="Data-input"/>
      <sheetName val="Data"/>
      <sheetName val="TK12"/>
      <sheetName val="XXXXXXXX"/>
      <sheetName val="cham cong XL (2)"/>
      <sheetName val="cham cong XL"/>
      <sheetName val="chamcong"/>
      <sheetName val="Luong XD"/>
      <sheetName val="L.KHOAN 2 "/>
      <sheetName val="L.KHOAN 2"/>
      <sheetName val="CONGTRINHNHD"/>
      <sheetName val="L. KHOAN"/>
      <sheetName val="Luong XL"/>
      <sheetName val="PHANBOXL"/>
      <sheetName val="PHAN BO"/>
      <sheetName val="Luong XD thang 3"/>
      <sheetName val="CONGTRINHNHD thang3"/>
      <sheetName val="luong QL"/>
      <sheetName val="CONGDOAN "/>
      <sheetName val="CTACPHI"/>
      <sheetName val="Sheet3"/>
      <sheetName val="00000000"/>
      <sheetName val="XL4Poppy"/>
      <sheetName val="THKP"/>
      <sheetName val="HTchieusang"/>
      <sheetName val="HTdien"/>
      <sheetName val="CUNG CAP VAT TU"/>
      <sheetName val="TH.LIST CAP"/>
      <sheetName val="S3LIST CAP&amp;ONGDL"/>
      <sheetName val="S2LIST CAP&amp;ONGDL"/>
      <sheetName val="S1LIST CAP&amp;ONGDL"/>
      <sheetName val="NGUONGOCVATTU"/>
      <sheetName val="capdongluc"/>
      <sheetName val="KLMOI THAU"/>
      <sheetName val="10000000"/>
      <sheetName val="20000000"/>
      <sheetName val="30000000"/>
      <sheetName val="40000000"/>
      <sheetName val="50000000"/>
      <sheetName val="60000000"/>
      <sheetName val="XXXXXXX0"/>
      <sheetName val="Giao"/>
      <sheetName val="CHIET TINH"/>
      <sheetName val="Bang gia Ca May"/>
      <sheetName val="Bang Gia VL"/>
      <sheetName val="Tong Hop KP"/>
      <sheetName val=" DON GIA"/>
      <sheetName val="CHIET TINH THEO KH.SAT"/>
      <sheetName val="MAU_A"/>
      <sheetName val="MAU_B"/>
      <sheetName val="MAU_C"/>
      <sheetName val="MAU E -XCD"/>
      <sheetName val="MAU E -TDS1"/>
      <sheetName val="MAU E- NDH"/>
      <sheetName val="DI_ESTI"/>
      <sheetName val="tohop"/>
      <sheetName val="Phu luc XL2"/>
      <sheetName val="NN Tang Giam"/>
      <sheetName val="Phu luc XL1"/>
      <sheetName val="__ MTL"/>
      <sheetName val="__ DI"/>
      <sheetName val="CAN DOI"/>
      <sheetName val="GIA TRI"/>
      <sheetName val="NO-DIEN"/>
      <sheetName val="NO-KHUONG"/>
      <sheetName val="NO-DUNG"/>
      <sheetName val="NO-DU"/>
      <sheetName val="TC NV"/>
      <sheetName val="NHAP"/>
      <sheetName val="khuong"/>
      <sheetName val="du"/>
      <sheetName val="dien"/>
      <sheetName val="dung"/>
      <sheetName val="NO-BANG"/>
      <sheetName val="ton kho"/>
      <sheetName val="bang"/>
      <sheetName val="DTOAN"/>
      <sheetName val="THOP-KL"/>
      <sheetName val="CPHI KKS"/>
      <sheetName val="DG-KSAT"/>
      <sheetName val="TMDAUTU"/>
      <sheetName val="GTXLCHINH"/>
      <sheetName val="CPHI-TT"/>
      <sheetName val="CPHIBUVL"/>
      <sheetName val="CHENH VLCHINH"/>
      <sheetName val="GVLHT"/>
      <sheetName val="DGCT-QCH2"/>
      <sheetName val="Gia VL"/>
      <sheetName val="Bang luong CB"/>
      <sheetName val="Bang P.tich CT"/>
      <sheetName val="D.toan chi tiet"/>
      <sheetName val="Bang TH Dtoan"/>
      <sheetName val="THANG 09"/>
      <sheetName val="THANG 10"/>
      <sheetName val="Congty"/>
      <sheetName val="VPPN"/>
      <sheetName val="XN74"/>
      <sheetName val="XN54"/>
      <sheetName val="XN33"/>
      <sheetName val="NK96"/>
      <sheetName val="XL4Test5"/>
      <sheetName val="Cauchinh"/>
      <sheetName val="Dongnai"/>
      <sheetName val="TKenh"/>
      <sheetName val="Mhang"/>
      <sheetName val="Duong"/>
      <sheetName val="Chop"/>
      <sheetName val="Huydong"/>
      <sheetName val="THop"/>
      <sheetName val="CtinhCT"/>
      <sheetName val="DBT(h)"/>
      <sheetName val="BP"/>
      <sheetName val="CTduong"/>
      <sheetName val="CTCHop"/>
      <sheetName val="asphal"/>
      <sheetName val="Gvua"/>
      <sheetName val="Sheet1"/>
      <sheetName val="Cmay"/>
      <sheetName val="VL (2)"/>
      <sheetName val="May (2)"/>
      <sheetName val="GVLBo"/>
      <sheetName val="VL"/>
      <sheetName val="NHAN CONG"/>
      <sheetName val="MAY"/>
      <sheetName val="VUA"/>
      <sheetName val="DG CAU"/>
      <sheetName val="THOP CAU"/>
      <sheetName val="TLP CAU"/>
      <sheetName val="DAKT1"/>
      <sheetName val="XL4Poppy (2)"/>
      <sheetName val="Bthkl"/>
      <sheetName val="KM247"/>
      <sheetName val="km248"/>
      <sheetName val="TH"/>
      <sheetName val="XL"/>
      <sheetName val="1E"/>
      <sheetName val="2E"/>
      <sheetName val="3E"/>
      <sheetName val="7D"/>
      <sheetName val="8D"/>
      <sheetName val="14D"/>
      <sheetName val="10D"/>
      <sheetName val="20D"/>
      <sheetName val="22D"/>
      <sheetName val="24D"/>
      <sheetName val="26P"/>
      <sheetName val="28P"/>
      <sheetName val="33P"/>
      <sheetName val="PTro"/>
      <sheetName val="PT"/>
      <sheetName val="KSTK"/>
      <sheetName val="A6-II"/>
      <sheetName val="km338+00-km338+100(2)"/>
      <sheetName val="km337+136-km337-350"/>
      <sheetName val="km346+600-km346+820 (2)"/>
      <sheetName val="km346+330-km346+600 (2)"/>
      <sheetName val="km346+00-km346+240 (2)"/>
      <sheetName val="km345+400-km345+500 (6)"/>
      <sheetName val="km345+400-km345+500 (2)"/>
      <sheetName val="km345+661-km345+000"/>
      <sheetName val="km338+60-km338+130"/>
      <sheetName val="km338+176-km338+230"/>
      <sheetName val="km342+376.41- km342+520.29"/>
      <sheetName val="km338+439-km388+571.89"/>
      <sheetName val="km342+297.58-km342+376.41"/>
      <sheetName val="km338+571.89-km338+652"/>
      <sheetName val="km337+533.60-km338 (2)"/>
      <sheetName val="km341+275-km341+350"/>
      <sheetName val="km341+913-km341+963"/>
      <sheetName val="km341+1077 -km341+1177.61"/>
      <sheetName val="km341+612-341+682"/>
      <sheetName val="km337+00-km337+34 (3)"/>
      <sheetName val="km342+520-km342+690 (2)"/>
      <sheetName val="km341.26-km341+200 (2)"/>
      <sheetName val="Duong cong vu hcm (2)"/>
      <sheetName val="Duong cong vu hcm (4)"/>
      <sheetName val="Duong cong vu hcm (5)"/>
      <sheetName val="Duong cong vu hcm (9)"/>
      <sheetName val="Duong cong vu hcm (4;) (2)"/>
      <sheetName val="Duong cong vu hcm (7)"/>
      <sheetName val="Duong cong vu hcm (8)"/>
      <sheetName val="Duong cong vu hcm (6)"/>
      <sheetName val="Duong cong vu hcm (3)"/>
      <sheetName val="Duong cong vu hcm (2;) (2)"/>
      <sheetName val="Duong cong vu hcm (9;) (2)"/>
      <sheetName val="Duong cong vu hcm (8;) (2)"/>
      <sheetName val="Duong cong vu hcm (7;) (2)"/>
      <sheetName val="Duong cong vu hcm (13;) (2)"/>
      <sheetName val="Duong cong vu hcm( Lmat;0) (2)"/>
      <sheetName val="Duong cong vu hcm( Lmat;1) (2)"/>
      <sheetName val="Duong cong vu hcm( Lmat;2)"/>
      <sheetName val="cong ty so 9 VINACONEX"/>
      <sheetName val="cong ty so 9 VINACONEX (2)"/>
      <sheetName val="QTNC-2002"/>
      <sheetName val="QTNC2003"/>
      <sheetName val="QTNC-Tong hop"/>
      <sheetName val="QTVT-Tong hop"/>
      <sheetName val="GTQT-Tong hop"/>
      <sheetName val="QT - Duet"/>
      <sheetName val="Sheet7"/>
      <sheetName val="Sheet8"/>
      <sheetName val="Sheet9"/>
      <sheetName val="Sheet10"/>
      <sheetName val="Sheet11"/>
      <sheetName val="Sheet12"/>
      <sheetName val="Sheet13"/>
      <sheetName val="Sheet14"/>
      <sheetName val="Sheet15"/>
      <sheetName val="Sheet16"/>
      <sheetName val="K249 K98"/>
      <sheetName val="K249 K98 (2)"/>
      <sheetName val="K251 K98"/>
      <sheetName val="K251 SBase"/>
      <sheetName val="K251 AC"/>
      <sheetName val="K252 K98"/>
      <sheetName val="K252 SBase"/>
      <sheetName val="K252 AC"/>
      <sheetName val="K253"/>
      <sheetName val="K253 K98"/>
      <sheetName val="K253 Subbase"/>
      <sheetName val="K253 Base "/>
      <sheetName val="K253 SBase"/>
      <sheetName val="K253 AC"/>
      <sheetName val="K255"/>
      <sheetName val="K255 SBase"/>
      <sheetName val="K259"/>
      <sheetName val="K259 K98"/>
      <sheetName val="K259 Subbase"/>
      <sheetName val="K259 Base "/>
      <sheetName val="K259 AC"/>
      <sheetName val="K260"/>
      <sheetName val="K260 K98"/>
      <sheetName val="K260 Subbase"/>
      <sheetName val="K260 Base"/>
      <sheetName val="K260 AC"/>
      <sheetName val="K261"/>
      <sheetName val="K261 K98"/>
      <sheetName val="K261 Base"/>
      <sheetName val="K261 AC"/>
      <sheetName val="Sheet2"/>
      <sheetName val="Chart1"/>
      <sheetName val="Du an nut So"/>
      <sheetName val="Du an nut vong"/>
      <sheetName val="Du an nut Nam cau Tlong"/>
      <sheetName val="Duong kim lien 0 cho dua"/>
      <sheetName val="Du an KTDC Nam trung yen"/>
      <sheetName val="tong hop"/>
      <sheetName val="phan tich DG"/>
      <sheetName val="gia vat lieu"/>
      <sheetName val="gia xe may"/>
      <sheetName val="gia nhan cong"/>
      <sheetName val="Quang Tri"/>
      <sheetName val="TTHue"/>
      <sheetName val="Da Nang"/>
      <sheetName val="Quang Nam"/>
      <sheetName val="Quang Ngai"/>
      <sheetName val="TH DH-QN"/>
      <sheetName val="KP HD"/>
      <sheetName val="DB HD"/>
      <sheetName val="TK331A"/>
      <sheetName val="TK131B"/>
      <sheetName val="TK131A"/>
      <sheetName val="TK 331c1"/>
      <sheetName val="TK331C"/>
      <sheetName val="CT331-2003"/>
      <sheetName val="CT 331"/>
      <sheetName val="CT131-2003"/>
      <sheetName val="CT 131"/>
      <sheetName val="TK331B"/>
      <sheetName val="Tuan 1.01"/>
      <sheetName val="Tuan 3.01 "/>
      <sheetName val="Tuan 5.06 "/>
      <sheetName val="Tuan 6.06  "/>
      <sheetName val="Tuan 7.06 "/>
      <sheetName val="Tuan 7.06  (2)"/>
      <sheetName val="Tuan8,06"/>
      <sheetName val="Tuan9,06"/>
      <sheetName val="Tuan10,06 "/>
      <sheetName val="Tuan11,06  "/>
      <sheetName val="Tuan12,06"/>
      <sheetName val="Bao cao DD 31.3.06"/>
      <sheetName val="Bao cao DD 30.4.06"/>
      <sheetName val="Bao cao DD 31.5.06 "/>
      <sheetName val="Bao cao Quy I-06"/>
      <sheetName val="Bao cao DD 30.6.06"/>
      <sheetName val="Bao cao DD 31.7.06"/>
      <sheetName val="gVL"/>
      <sheetName val="caodothietke"/>
      <sheetName val="DTCT"/>
      <sheetName val="PTVT"/>
      <sheetName val="THDT"/>
      <sheetName val="THVT"/>
      <sheetName val="THGT"/>
      <sheetName val="ESTI_"/>
      <sheetName val="TH9"/>
      <sheetName val="TH12"/>
      <sheetName val="Thang 8"/>
      <sheetName val="Macro1"/>
      <sheetName val="Macro2"/>
      <sheetName val="Macro3"/>
      <sheetName val="Duong con' vu hcm (8)"/>
      <sheetName val="TK 911"/>
      <sheetName val="TK 711"/>
      <sheetName val="TK 632"/>
      <sheetName val="TK642"/>
      <sheetName val="TK627"/>
      <sheetName val="TK623"/>
      <sheetName val="TK622"/>
      <sheetName val="TK621"/>
      <sheetName val="Chi tiet 511"/>
      <sheetName val="TK 511"/>
      <sheetName val="TK421"/>
      <sheetName val="TK411"/>
      <sheetName val="TK 342 ( thue T.C )"/>
      <sheetName val="TK338"/>
      <sheetName val="Phat sinh 2005"/>
      <sheetName val="TK334"/>
      <sheetName val="TK333"/>
      <sheetName val="TK331"/>
      <sheetName val="TK 341vay dai han "/>
      <sheetName val="TK311"/>
      <sheetName val="TK 214"/>
      <sheetName val="TK 212"/>
      <sheetName val="Chi tiet TK 211"/>
      <sheetName val="TK 211"/>
      <sheetName val="TK 154"/>
      <sheetName val="TK153"/>
      <sheetName val="Chi tiet TK 152"/>
      <sheetName val="Can Doi TK"/>
      <sheetName val="TK 152"/>
      <sheetName val="Chung tu ghi so "/>
      <sheetName val="TK 142"/>
      <sheetName val="TK 141"/>
      <sheetName val="TK 133"/>
      <sheetName val="Chi tiet TK131"/>
      <sheetName val="TK 131"/>
      <sheetName val="TK 112"/>
      <sheetName val="TK 111"/>
      <sheetName val="Phieu thu"/>
      <sheetName val="Phieu chi "/>
      <sheetName val="Phieu nhap VTu "/>
      <sheetName val="Phieu xuat VTu"/>
      <sheetName val="Can doi vat tu nhap xuat "/>
      <sheetName val="Vat tu nhapxuat nam 2005"/>
      <sheetName val="Ca may can dung nam 2005"/>
      <sheetName val="Vat Tu can cho CT nam 2005"/>
      <sheetName val="HD thu mua hang NLS "/>
      <sheetName val="HD thu mua cat soi "/>
      <sheetName val="TLy HD mua ban "/>
      <sheetName val="Bien ban Nthu GK"/>
      <sheetName val="T. Ly HD giao khoan "/>
      <sheetName val="Hop dong giao khoan"/>
      <sheetName val="giay tam ung "/>
      <sheetName val="Bang ke T.toan "/>
      <sheetName val="Hoa don ban hang "/>
      <sheetName val="Bang phan bo tien luong 2005"/>
      <sheetName val="Bang cham cong "/>
      <sheetName val="Bang T.T Luong CB chu Chot2005"/>
      <sheetName val="Bang T.T luong CN lai xe"/>
      <sheetName val="Bang thanh toan luong 2005"/>
      <sheetName val="Nhan cong cho CT nam 2005"/>
      <sheetName val="Dinh Muc tieu hao VL 2005"/>
      <sheetName val="Dang Ky chi tiet KH 2005"/>
      <sheetName val="Bang phan bo NVL nam 2005"/>
      <sheetName val="Bang phan bo K.Hao 2005"/>
      <sheetName val="Dang Ky Khau hao 2005"/>
      <sheetName val="Phu luc so 3( TNDN)"/>
      <sheetName val="PhuLuc so 1(TNDN)"/>
      <sheetName val="Mau so 04 TNDN"/>
      <sheetName val="Mau so 02C"/>
      <sheetName val="Mau so 02B"/>
      <sheetName val="Mau so 02A"/>
      <sheetName val="Mau 01B"/>
      <sheetName val="To khai Mau 11"/>
      <sheetName val="Don xin khat nop thue nam 04"/>
      <sheetName val="Su dung hoa don mau 26"/>
      <sheetName val="QToan hoa don "/>
      <sheetName val="Mau so 01"/>
      <sheetName val="Mau so 02"/>
      <sheetName val="Chi tiet Mau 03 ( mua vao )"/>
      <sheetName val="Mau so 03"/>
      <sheetName val="Mau so 04"/>
      <sheetName val="Mau 05"/>
      <sheetName val="De nghi giai dap ve thue "/>
      <sheetName val="the duc"/>
      <sheetName val="Bao cao thong ke "/>
      <sheetName val="Phieu DTra Van Tai ( 01 TKe )"/>
      <sheetName val="Qheet3"/>
      <sheetName val="C47-456"/>
      <sheetName val="C46"/>
      <sheetName val="C47-PII"/>
      <sheetName val="TRUC TIEP"/>
      <sheetName val="GIAN TIEP"/>
      <sheetName val="HOP DONG"/>
      <sheetName val="CON LINH"/>
      <sheetName val="[RPT.xlsၝCmay"/>
      <sheetName val="Bang 聧ia ca may"/>
      <sheetName val="[RPT.x"/>
      <sheetName val="THChi"/>
      <sheetName val="THthu"/>
      <sheetName val="BCD"/>
      <sheetName val="111"/>
      <sheetName val="112"/>
      <sheetName val="131"/>
      <sheetName val="133"/>
      <sheetName val="138"/>
      <sheetName val="141"/>
      <sheetName val="142"/>
      <sheetName val="152"/>
      <sheetName val="153"/>
      <sheetName val="154"/>
      <sheetName val="211"/>
      <sheetName val="214"/>
      <sheetName val="331"/>
      <sheetName val="3331"/>
      <sheetName val="3334"/>
      <sheetName val="334"/>
      <sheetName val="411"/>
      <sheetName val="421"/>
      <sheetName val="511"/>
      <sheetName val="621"/>
      <sheetName val="622"/>
      <sheetName val="623"/>
      <sheetName val="627b"/>
      <sheetName val="632"/>
      <sheetName val="642"/>
      <sheetName val="711"/>
      <sheetName val="811"/>
      <sheetName val="911"/>
      <sheetName val="009"/>
      <sheetName val=" quy I-2005"/>
      <sheetName val="Quy 2- 2005 "/>
      <sheetName val="Quy III- 2005 "/>
      <sheetName val="Quy 4- 2005"/>
      <sheetName val="MTL$-INTER"/>
      <sheetName val="HDKT"/>
      <sheetName val="PIPERACK"/>
      <sheetName val="MONG T,V,E"/>
      <sheetName val="tk12A-B&amp;13A-B"/>
      <sheetName val="TAM-tk12A-B&amp;13A-B"/>
      <sheetName val="tk15&amp;11A-B"/>
      <sheetName val="TAM-tk15&amp;11A-B"/>
      <sheetName val="V31"/>
      <sheetName val="T-V31"/>
      <sheetName val="V51"/>
      <sheetName val="T-V51"/>
      <sheetName val="V11"/>
      <sheetName val="v12"/>
      <sheetName val="V13"/>
      <sheetName val="v22"/>
      <sheetName val="V23"/>
      <sheetName val="v24"/>
      <sheetName val="V25"/>
      <sheetName val="V52"/>
      <sheetName val="V61"/>
      <sheetName val="E-01"/>
      <sheetName val="E-02"/>
      <sheetName val="C-01"/>
      <sheetName val="pr-B"/>
      <sheetName val="pr-C"/>
      <sheetName val="pr-D"/>
      <sheetName val="pr-E"/>
      <sheetName val="S-SA"/>
      <sheetName val="S-SB"/>
      <sheetName val="S-SC1"/>
      <sheetName val="S-SC2"/>
      <sheetName val="S-SD1"/>
      <sheetName val="S-SD2"/>
      <sheetName val="S-SD3"/>
      <sheetName val="S-SE1"/>
      <sheetName val="S-SE2"/>
      <sheetName val="sum-sl"/>
      <sheetName val="sum-steel"/>
      <sheetName val="sum-T"/>
      <sheetName val="sum-E"/>
      <sheetName val="sum-pr"/>
      <sheetName val="REPORT"/>
      <sheetName val="Visual inspection record-07"/>
      <sheetName val="Fitup inspection record-06"/>
      <sheetName val="WELD MONITORING"/>
      <sheetName val="CHECK LIST"/>
      <sheetName val="MATERIAL B"/>
      <sheetName val="MATERIAL"/>
      <sheetName val="BENDING REPORT"/>
      <sheetName val="INPS RELEASE"/>
      <sheetName val="PAINTING REPORT"/>
      <sheetName val="hydro test"/>
      <sheetName val="GDMN.1"/>
      <sheetName val="GDMN.2"/>
      <sheetName val="GDMN.3"/>
      <sheetName val="GDMN.4"/>
      <sheetName val="GDMN.5"/>
      <sheetName val="GDTH.1"/>
      <sheetName val="GDTH.2"/>
      <sheetName val="GDTH.3"/>
      <sheetName val="GDTH.4"/>
      <sheetName val="GDTH.5"/>
      <sheetName val="THCS.1"/>
      <sheetName val="THCS.2"/>
      <sheetName val="THCS.3"/>
      <sheetName val="THCS.4"/>
      <sheetName val="THCS.5"/>
      <sheetName val="THCS.6"/>
      <sheetName val="THPT.1"/>
      <sheetName val="THPT.2"/>
      <sheetName val="THPT.3"/>
      <sheetName val="THPT.4"/>
      <sheetName val="THPT.5"/>
      <sheetName val="THPT.6"/>
      <sheetName val="DH,CD,THCN.1"/>
      <sheetName val="DH,CD,THCN.2"/>
      <sheetName val="DH,CD,THCN.3"/>
      <sheetName val="GDKCQ.1"/>
      <sheetName val="GDKCQ.2"/>
      <sheetName val="TAICHINH"/>
      <sheetName val="?? MTL"/>
      <sheetName val="?? DI"/>
      <sheetName val="[RPT.xls?Cmay"/>
      <sheetName val="Bang ?ia ca may"/>
      <sheetName val="km346+00-km346_x000b_240 (2)"/>
      <sheetName val="km342+297._x0015_8-km342+376.41"/>
      <sheetName val="km341+1077 -km34_x0011_+1177.61"/>
      <sheetName val="km338+00-km33Oé100(2)"/>
      <sheetName val="IBASE"/>
      <sheetName val="예적금"/>
      <sheetName val="Piping Design Data"/>
      <sheetName val="WE'T"/>
      <sheetName val="VAE264_VALVES"/>
      <sheetName val="BT-DSPK"/>
      <sheetName val="RPT"/>
      <sheetName val="BASE"/>
      <sheetName val="Final(1)summary"/>
      <sheetName val="Contents"/>
      <sheetName val="V-VESSEL (WITH DEMISTER)"/>
      <sheetName val="steam table"/>
      <sheetName val="예산M12A"/>
      <sheetName val="BM "/>
      <sheetName val="DWG LIST"/>
      <sheetName val="Dieuchinh"/>
      <sheetName val="REDUCER"/>
      <sheetName val="D-3"/>
      <sheetName val="BATCH"/>
      <sheetName val="General Data"/>
      <sheetName val="ASME B 36.10 M"/>
      <sheetName val="Building List for reference"/>
      <sheetName val="노임단가"/>
      <sheetName val="작성방법"/>
      <sheetName val="직원동원계획"/>
      <sheetName val="98TSON4A"/>
      <sheetName val="LKVL-CK-HT-GD1"/>
      <sheetName val="MOB-MAN1"/>
      <sheetName val="현장관리비"/>
      <sheetName val="Pop-up Tables"/>
      <sheetName val=""/>
      <sheetName val="m361 Base"/>
      <sheetName val="11"/>
      <sheetName val="10"/>
      <sheetName val="9"/>
      <sheetName val="8"/>
      <sheetName val="7"/>
      <sheetName val="6"/>
      <sheetName val="5"/>
      <sheetName val="4"/>
      <sheetName val="3"/>
      <sheetName val="2"/>
      <sheetName val="1"/>
      <sheetName val="1N"/>
      <sheetName val="XD"/>
      <sheetName val="GTGT1"/>
      <sheetName val="NHAHAT"/>
      <sheetName val="TGTGT2"/>
      <sheetName val="CAU"/>
      <sheetName val="KL"/>
      <sheetName val="MD1"/>
      <sheetName val="tienluong"/>
      <sheetName val="giamay"/>
      <sheetName val="km337+533î60-km3ó4 (2)"/>
      <sheetName val="pt0-1"/>
      <sheetName val="kp0-1"/>
      <sheetName val="0-1"/>
      <sheetName val="pt2-3"/>
      <sheetName val="thkp2-3"/>
      <sheetName val="clvl"/>
      <sheetName val="2-3"/>
      <sheetName val="cl1-2"/>
      <sheetName val="thkp1-2"/>
      <sheetName val="clvl1-2"/>
      <sheetName val="1-2"/>
      <sheetName val="cot_xa"/>
      <sheetName val="Quet rac"/>
      <sheetName val="Duïng cong vu hcm (13;) (2)"/>
      <sheetName val="Duong cong vu hcm (8;) (:)"/>
      <sheetName val="Duofg cong vu hcm (7;) (2)"/>
      <sheetName val="GTXLC@INH"/>
      <sheetName val="切割 II"/>
      <sheetName val="Mau so 04 TFDN"/>
      <sheetName val="N_x0008_AN CONG"/>
      <sheetName val="K251 _x0001_C"/>
      <sheetName val="km345+400-km345ÿÿ00 (6)"/>
      <sheetName val="XL²_x0000__x0000_t5"/>
      <sheetName val="Duong cong vu hcm (¶)"/>
      <sheetName val="刃割 MTL"/>
      <sheetName val="Ho=Ðdong giao khoan"/>
      <sheetName val="Km346+60_x0010_-km346+820 (2)"/>
      <sheetName val="km346+00-km3_x0014_6+240 (_x0012_)"/>
      <sheetName val="km345+6_x0016_1-km345+000"/>
      <sheetName val="km342+_x0013_76.41- km342+520.29"/>
      <sheetName val="km342+29_x0017_.58-km3_x0014_2+376.41"/>
      <sheetName val="Ë261"/>
      <sheetName val="K261_x0000_Base"/>
      <sheetName val="K2_x0016_1 AC"/>
      <sheetName val="CON(LINH"/>
      <sheetName val="K_x0000_5_x0001_ @9_x0008_"/>
      <sheetName val="CHEKe VLCHINH"/>
      <sheetName val="Con'ty"/>
      <sheetName val="DG1kSAT"/>
      <sheetName val="_x0010_p_x0000_Ё"/>
      <sheetName val="K259†Base "/>
      <sheetName val="thang 1"/>
      <sheetName val="thang2"/>
      <sheetName val="Thang 3"/>
      <sheetName val="thang5"/>
      <sheetName val="thang4"/>
      <sheetName val="00000001"/>
      <sheetName val="CTP"/>
      <sheetName val="LUONG"/>
      <sheetName val="lphi"/>
      <sheetName val="PLTT"/>
      <sheetName val="KTPLVP"/>
      <sheetName val="KTPL2"/>
      <sheetName val="KHKPHT7-02"/>
      <sheetName val="KHKPHT9-02"/>
      <sheetName val="KHKPHT8-02"/>
      <sheetName val="KHKPHT10-02 "/>
      <sheetName val="lptinh"/>
      <sheetName val="UHNN"/>
      <sheetName val="BHYT02"/>
      <sheetName val="TLL"/>
      <sheetName val="TLL (2)"/>
      <sheetName val="TLLhuyen"/>
      <sheetName val="Dsach"/>
      <sheetName val="현장지지물물량"/>
      <sheetName val="INDEX"/>
      <sheetName val="SEPARATOR"/>
    </sheetNames>
    <sheetDataSet>
      <sheetData sheetId="0" refreshError="1">
        <row r="1">
          <cell r="A1" t="str">
            <v>STATISTICAL ESTIMATION OF FITTINGS AND VALVES FOR PIPING WORK</v>
          </cell>
        </row>
        <row r="2">
          <cell r="A2" t="str">
            <v xml:space="preserve">PROJECT NO : </v>
          </cell>
        </row>
        <row r="3">
          <cell r="A3" t="str">
            <v>Fc =</v>
          </cell>
          <cell r="B3">
            <v>1</v>
          </cell>
          <cell r="C3" t="str">
            <v>Fp =</v>
          </cell>
          <cell r="D3">
            <v>0.1</v>
          </cell>
        </row>
        <row r="4">
          <cell r="F4" t="str">
            <v>FITTING NO</v>
          </cell>
          <cell r="N4" t="str">
            <v>VALVE NO</v>
          </cell>
          <cell r="R4" t="str">
            <v>TOTAL</v>
          </cell>
          <cell r="S4" t="str">
            <v>TOTAL</v>
          </cell>
          <cell r="T4" t="str">
            <v>J/M</v>
          </cell>
          <cell r="U4" t="str">
            <v>J/M</v>
          </cell>
        </row>
        <row r="5">
          <cell r="A5" t="str">
            <v>NO</v>
          </cell>
          <cell r="B5" t="str">
            <v>SIZE</v>
          </cell>
          <cell r="C5" t="str">
            <v>SCH</v>
          </cell>
          <cell r="D5" t="str">
            <v>LG (M)</v>
          </cell>
          <cell r="E5" t="str">
            <v>IN-M</v>
          </cell>
          <cell r="F5" t="str">
            <v>90 ELL</v>
          </cell>
          <cell r="G5" t="str">
            <v>45 ELL</v>
          </cell>
          <cell r="H5" t="str">
            <v>TEE</v>
          </cell>
          <cell r="I5" t="str">
            <v>RED</v>
          </cell>
          <cell r="J5" t="str">
            <v>FLG</v>
          </cell>
          <cell r="K5" t="str">
            <v>CPLG</v>
          </cell>
          <cell r="L5" t="str">
            <v>CAP</v>
          </cell>
          <cell r="M5" t="str">
            <v>TOTAL</v>
          </cell>
          <cell r="N5" t="str">
            <v>BLOCK</v>
          </cell>
          <cell r="O5" t="str">
            <v>CHECK</v>
          </cell>
          <cell r="P5" t="str">
            <v>GLOBE</v>
          </cell>
          <cell r="Q5" t="str">
            <v>TOTAL</v>
          </cell>
          <cell r="R5" t="str">
            <v>JOINT</v>
          </cell>
          <cell r="S5" t="str">
            <v>DI</v>
          </cell>
          <cell r="T5" t="str">
            <v>(JOINT)</v>
          </cell>
          <cell r="U5" t="str">
            <v>(DI)</v>
          </cell>
        </row>
        <row r="6">
          <cell r="A6">
            <v>1</v>
          </cell>
          <cell r="B6">
            <v>0.5</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row>
        <row r="7">
          <cell r="A7">
            <v>2</v>
          </cell>
          <cell r="B7">
            <v>0.75</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row>
        <row r="8">
          <cell r="A8">
            <v>3</v>
          </cell>
          <cell r="B8">
            <v>1</v>
          </cell>
          <cell r="C8">
            <v>0.5</v>
          </cell>
          <cell r="D8">
            <v>1.65</v>
          </cell>
          <cell r="E8">
            <v>0</v>
          </cell>
          <cell r="F8">
            <v>0</v>
          </cell>
          <cell r="G8">
            <v>0</v>
          </cell>
          <cell r="H8">
            <v>0</v>
          </cell>
          <cell r="I8">
            <v>0</v>
          </cell>
          <cell r="J8">
            <v>0</v>
          </cell>
          <cell r="K8">
            <v>0</v>
          </cell>
          <cell r="L8">
            <v>0</v>
          </cell>
          <cell r="M8">
            <v>0</v>
          </cell>
          <cell r="N8">
            <v>0</v>
          </cell>
          <cell r="O8">
            <v>0</v>
          </cell>
          <cell r="P8">
            <v>0</v>
          </cell>
          <cell r="Q8">
            <v>0</v>
          </cell>
          <cell r="R8">
            <v>0</v>
          </cell>
          <cell r="S8">
            <v>0</v>
          </cell>
          <cell r="T8">
            <v>0</v>
          </cell>
          <cell r="U8">
            <v>0</v>
          </cell>
        </row>
        <row r="9">
          <cell r="A9">
            <v>4</v>
          </cell>
          <cell r="B9">
            <v>1.5</v>
          </cell>
          <cell r="C9">
            <v>0.5</v>
          </cell>
          <cell r="D9">
            <v>1.65</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row>
        <row r="10">
          <cell r="A10">
            <v>5</v>
          </cell>
          <cell r="B10">
            <v>2</v>
          </cell>
          <cell r="C10">
            <v>0.5</v>
          </cell>
          <cell r="D10">
            <v>1.65</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row>
        <row r="11">
          <cell r="A11">
            <v>6</v>
          </cell>
          <cell r="B11">
            <v>2.5</v>
          </cell>
          <cell r="C11">
            <v>0.75</v>
          </cell>
          <cell r="D11">
            <v>1.65</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row>
        <row r="12">
          <cell r="A12">
            <v>7</v>
          </cell>
          <cell r="B12">
            <v>3</v>
          </cell>
          <cell r="C12">
            <v>0.75</v>
          </cell>
          <cell r="D12">
            <v>1.65</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row>
        <row r="13">
          <cell r="A13">
            <v>8</v>
          </cell>
          <cell r="B13">
            <v>4</v>
          </cell>
          <cell r="C13">
            <v>0.75</v>
          </cell>
          <cell r="D13">
            <v>1.65</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row>
        <row r="14">
          <cell r="A14">
            <v>9</v>
          </cell>
          <cell r="B14">
            <v>5</v>
          </cell>
          <cell r="C14">
            <v>1</v>
          </cell>
          <cell r="D14">
            <v>1.65</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row>
        <row r="15">
          <cell r="A15">
            <v>10</v>
          </cell>
          <cell r="B15">
            <v>6</v>
          </cell>
          <cell r="C15">
            <v>1</v>
          </cell>
          <cell r="D15">
            <v>1.65</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row>
        <row r="16">
          <cell r="A16">
            <v>11</v>
          </cell>
          <cell r="B16">
            <v>8</v>
          </cell>
          <cell r="C16">
            <v>1</v>
          </cell>
          <cell r="D16">
            <v>1.65</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row>
        <row r="17">
          <cell r="A17">
            <v>12</v>
          </cell>
          <cell r="B17">
            <v>10</v>
          </cell>
          <cell r="C17">
            <v>1.25</v>
          </cell>
          <cell r="D17">
            <v>1.65</v>
          </cell>
          <cell r="E17">
            <v>0</v>
          </cell>
          <cell r="F17">
            <v>0</v>
          </cell>
          <cell r="G17">
            <v>0</v>
          </cell>
          <cell r="H17">
            <v>0</v>
          </cell>
          <cell r="I17">
            <v>0</v>
          </cell>
          <cell r="J17">
            <v>0</v>
          </cell>
          <cell r="K17">
            <v>0.15</v>
          </cell>
          <cell r="L17">
            <v>0</v>
          </cell>
          <cell r="M17">
            <v>0</v>
          </cell>
          <cell r="N17">
            <v>0</v>
          </cell>
          <cell r="O17">
            <v>0</v>
          </cell>
          <cell r="P17">
            <v>0</v>
          </cell>
          <cell r="Q17">
            <v>0</v>
          </cell>
          <cell r="R17">
            <v>0</v>
          </cell>
          <cell r="S17">
            <v>0</v>
          </cell>
          <cell r="T17">
            <v>0</v>
          </cell>
          <cell r="U17">
            <v>0</v>
          </cell>
        </row>
        <row r="18">
          <cell r="A18">
            <v>13</v>
          </cell>
          <cell r="B18">
            <v>12</v>
          </cell>
          <cell r="C18">
            <v>1.25</v>
          </cell>
          <cell r="D18">
            <v>1.65</v>
          </cell>
          <cell r="E18">
            <v>0</v>
          </cell>
          <cell r="F18">
            <v>0</v>
          </cell>
          <cell r="G18">
            <v>0</v>
          </cell>
          <cell r="H18">
            <v>0</v>
          </cell>
          <cell r="I18">
            <v>0</v>
          </cell>
          <cell r="J18">
            <v>0</v>
          </cell>
          <cell r="K18">
            <v>0.15</v>
          </cell>
          <cell r="L18">
            <v>0</v>
          </cell>
          <cell r="M18">
            <v>0</v>
          </cell>
          <cell r="N18">
            <v>0</v>
          </cell>
          <cell r="O18">
            <v>0</v>
          </cell>
          <cell r="P18">
            <v>0</v>
          </cell>
          <cell r="Q18">
            <v>0</v>
          </cell>
          <cell r="R18">
            <v>0</v>
          </cell>
          <cell r="S18">
            <v>0</v>
          </cell>
          <cell r="T18">
            <v>0</v>
          </cell>
          <cell r="U18">
            <v>0</v>
          </cell>
        </row>
        <row r="19">
          <cell r="A19">
            <v>14</v>
          </cell>
          <cell r="B19">
            <v>14</v>
          </cell>
          <cell r="C19">
            <v>1.25</v>
          </cell>
          <cell r="D19">
            <v>1.65</v>
          </cell>
          <cell r="E19">
            <v>0</v>
          </cell>
          <cell r="F19">
            <v>0</v>
          </cell>
          <cell r="G19">
            <v>0</v>
          </cell>
          <cell r="H19">
            <v>0</v>
          </cell>
          <cell r="I19">
            <v>0</v>
          </cell>
          <cell r="J19">
            <v>0</v>
          </cell>
          <cell r="K19">
            <v>0.15</v>
          </cell>
          <cell r="L19">
            <v>0</v>
          </cell>
          <cell r="M19">
            <v>0</v>
          </cell>
          <cell r="N19">
            <v>0</v>
          </cell>
          <cell r="O19">
            <v>0</v>
          </cell>
          <cell r="P19">
            <v>0</v>
          </cell>
          <cell r="Q19">
            <v>0</v>
          </cell>
          <cell r="R19">
            <v>0</v>
          </cell>
          <cell r="S19">
            <v>0</v>
          </cell>
          <cell r="T19">
            <v>0</v>
          </cell>
          <cell r="U19">
            <v>0</v>
          </cell>
        </row>
        <row r="20">
          <cell r="A20">
            <v>15</v>
          </cell>
          <cell r="B20">
            <v>16</v>
          </cell>
          <cell r="C20">
            <v>1.5</v>
          </cell>
          <cell r="D20">
            <v>1.65</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row>
        <row r="21">
          <cell r="A21">
            <v>16</v>
          </cell>
          <cell r="B21">
            <v>18</v>
          </cell>
          <cell r="C21">
            <v>1.5</v>
          </cell>
          <cell r="D21">
            <v>1.65</v>
          </cell>
          <cell r="E21">
            <v>0</v>
          </cell>
          <cell r="F21">
            <v>0</v>
          </cell>
          <cell r="G21">
            <v>0</v>
          </cell>
          <cell r="H21">
            <v>0</v>
          </cell>
          <cell r="I21">
            <v>0</v>
          </cell>
          <cell r="J21">
            <v>0</v>
          </cell>
          <cell r="K21">
            <v>0.15</v>
          </cell>
          <cell r="L21">
            <v>0</v>
          </cell>
          <cell r="M21">
            <v>0</v>
          </cell>
          <cell r="N21">
            <v>0</v>
          </cell>
          <cell r="O21">
            <v>0</v>
          </cell>
          <cell r="P21">
            <v>0</v>
          </cell>
          <cell r="Q21">
            <v>0</v>
          </cell>
          <cell r="R21">
            <v>0</v>
          </cell>
          <cell r="S21">
            <v>0</v>
          </cell>
          <cell r="T21">
            <v>0</v>
          </cell>
          <cell r="U21">
            <v>0</v>
          </cell>
        </row>
        <row r="22">
          <cell r="A22">
            <v>17</v>
          </cell>
          <cell r="B22">
            <v>20</v>
          </cell>
          <cell r="C22">
            <v>1.5</v>
          </cell>
          <cell r="D22">
            <v>1.65</v>
          </cell>
          <cell r="E22">
            <v>0</v>
          </cell>
          <cell r="F22">
            <v>0</v>
          </cell>
          <cell r="G22">
            <v>0</v>
          </cell>
          <cell r="H22">
            <v>0</v>
          </cell>
          <cell r="I22">
            <v>0</v>
          </cell>
          <cell r="J22">
            <v>0</v>
          </cell>
          <cell r="K22">
            <v>0.15</v>
          </cell>
          <cell r="L22">
            <v>0</v>
          </cell>
          <cell r="M22">
            <v>0</v>
          </cell>
          <cell r="N22">
            <v>0</v>
          </cell>
          <cell r="O22">
            <v>0</v>
          </cell>
          <cell r="P22">
            <v>0</v>
          </cell>
          <cell r="Q22">
            <v>0</v>
          </cell>
          <cell r="R22">
            <v>0</v>
          </cell>
          <cell r="S22">
            <v>0</v>
          </cell>
          <cell r="T22">
            <v>0</v>
          </cell>
          <cell r="U22">
            <v>0</v>
          </cell>
        </row>
        <row r="23">
          <cell r="A23">
            <v>18</v>
          </cell>
          <cell r="B23">
            <v>22</v>
          </cell>
          <cell r="C23">
            <v>2</v>
          </cell>
          <cell r="D23">
            <v>1.65</v>
          </cell>
          <cell r="E23">
            <v>0</v>
          </cell>
          <cell r="F23">
            <v>0</v>
          </cell>
          <cell r="G23">
            <v>0</v>
          </cell>
          <cell r="H23">
            <v>0</v>
          </cell>
          <cell r="I23">
            <v>0</v>
          </cell>
          <cell r="J23">
            <v>0</v>
          </cell>
          <cell r="K23">
            <v>0.15</v>
          </cell>
          <cell r="L23">
            <v>0</v>
          </cell>
          <cell r="M23">
            <v>0</v>
          </cell>
          <cell r="N23">
            <v>0</v>
          </cell>
          <cell r="O23">
            <v>0</v>
          </cell>
          <cell r="P23">
            <v>0</v>
          </cell>
          <cell r="Q23">
            <v>0</v>
          </cell>
          <cell r="R23">
            <v>0</v>
          </cell>
          <cell r="S23">
            <v>0</v>
          </cell>
          <cell r="T23">
            <v>0</v>
          </cell>
          <cell r="U23">
            <v>0</v>
          </cell>
        </row>
        <row r="24">
          <cell r="A24">
            <v>19</v>
          </cell>
          <cell r="B24">
            <v>24</v>
          </cell>
          <cell r="C24">
            <v>2</v>
          </cell>
          <cell r="D24">
            <v>1.65</v>
          </cell>
          <cell r="E24">
            <v>0</v>
          </cell>
          <cell r="F24">
            <v>0</v>
          </cell>
          <cell r="G24">
            <v>0</v>
          </cell>
          <cell r="H24">
            <v>0</v>
          </cell>
          <cell r="I24">
            <v>0</v>
          </cell>
          <cell r="J24">
            <v>0</v>
          </cell>
          <cell r="K24">
            <v>0.15</v>
          </cell>
          <cell r="L24">
            <v>0</v>
          </cell>
          <cell r="M24">
            <v>0</v>
          </cell>
          <cell r="N24">
            <v>0</v>
          </cell>
          <cell r="O24">
            <v>0</v>
          </cell>
          <cell r="P24">
            <v>0</v>
          </cell>
          <cell r="Q24">
            <v>0</v>
          </cell>
          <cell r="R24">
            <v>0</v>
          </cell>
          <cell r="S24">
            <v>0</v>
          </cell>
          <cell r="T24">
            <v>0</v>
          </cell>
          <cell r="U24">
            <v>0</v>
          </cell>
        </row>
        <row r="25">
          <cell r="A25">
            <v>20</v>
          </cell>
          <cell r="B25">
            <v>26</v>
          </cell>
          <cell r="C25">
            <v>2</v>
          </cell>
          <cell r="D25">
            <v>1.65</v>
          </cell>
          <cell r="E25">
            <v>0</v>
          </cell>
          <cell r="F25">
            <v>0</v>
          </cell>
          <cell r="G25">
            <v>0</v>
          </cell>
          <cell r="H25">
            <v>0</v>
          </cell>
          <cell r="I25">
            <v>0</v>
          </cell>
          <cell r="J25">
            <v>0</v>
          </cell>
          <cell r="K25">
            <v>0.15</v>
          </cell>
          <cell r="L25">
            <v>0</v>
          </cell>
          <cell r="M25">
            <v>0</v>
          </cell>
          <cell r="N25">
            <v>0</v>
          </cell>
          <cell r="O25">
            <v>0</v>
          </cell>
          <cell r="P25">
            <v>0</v>
          </cell>
          <cell r="Q25">
            <v>0</v>
          </cell>
          <cell r="R25">
            <v>0</v>
          </cell>
          <cell r="S25">
            <v>0</v>
          </cell>
          <cell r="T25">
            <v>0</v>
          </cell>
          <cell r="U25">
            <v>0</v>
          </cell>
        </row>
        <row r="26">
          <cell r="A26">
            <v>21</v>
          </cell>
          <cell r="B26">
            <v>28</v>
          </cell>
          <cell r="C26">
            <v>2.5</v>
          </cell>
          <cell r="D26">
            <v>2.11</v>
          </cell>
          <cell r="E26">
            <v>0</v>
          </cell>
          <cell r="F26">
            <v>0</v>
          </cell>
          <cell r="G26">
            <v>0</v>
          </cell>
          <cell r="H26">
            <v>0</v>
          </cell>
          <cell r="I26">
            <v>0</v>
          </cell>
          <cell r="J26">
            <v>0</v>
          </cell>
          <cell r="K26">
            <v>0.15</v>
          </cell>
          <cell r="L26">
            <v>0</v>
          </cell>
          <cell r="M26">
            <v>0</v>
          </cell>
          <cell r="N26">
            <v>0</v>
          </cell>
          <cell r="O26">
            <v>0</v>
          </cell>
          <cell r="P26">
            <v>0</v>
          </cell>
          <cell r="Q26">
            <v>0</v>
          </cell>
          <cell r="R26">
            <v>0</v>
          </cell>
          <cell r="S26">
            <v>0</v>
          </cell>
          <cell r="T26">
            <v>0</v>
          </cell>
          <cell r="U26">
            <v>0</v>
          </cell>
        </row>
        <row r="27">
          <cell r="A27">
            <v>22</v>
          </cell>
          <cell r="B27">
            <v>30</v>
          </cell>
          <cell r="C27">
            <v>3</v>
          </cell>
          <cell r="D27">
            <v>2.11</v>
          </cell>
          <cell r="E27">
            <v>0</v>
          </cell>
          <cell r="F27">
            <v>0</v>
          </cell>
          <cell r="G27">
            <v>0</v>
          </cell>
          <cell r="H27">
            <v>0</v>
          </cell>
          <cell r="I27">
            <v>0</v>
          </cell>
          <cell r="J27">
            <v>0</v>
          </cell>
          <cell r="K27">
            <v>0.3</v>
          </cell>
          <cell r="L27">
            <v>0</v>
          </cell>
          <cell r="M27">
            <v>0</v>
          </cell>
          <cell r="N27">
            <v>0</v>
          </cell>
          <cell r="O27">
            <v>0</v>
          </cell>
          <cell r="P27">
            <v>0</v>
          </cell>
          <cell r="Q27">
            <v>0</v>
          </cell>
          <cell r="R27">
            <v>0</v>
          </cell>
          <cell r="S27">
            <v>0</v>
          </cell>
          <cell r="T27">
            <v>0</v>
          </cell>
          <cell r="U27">
            <v>0</v>
          </cell>
        </row>
        <row r="28">
          <cell r="A28">
            <v>23</v>
          </cell>
          <cell r="B28">
            <v>32</v>
          </cell>
          <cell r="C28">
            <v>3.5</v>
          </cell>
          <cell r="D28">
            <v>2.11</v>
          </cell>
          <cell r="E28">
            <v>0</v>
          </cell>
          <cell r="F28">
            <v>0</v>
          </cell>
          <cell r="G28">
            <v>0</v>
          </cell>
          <cell r="H28">
            <v>0</v>
          </cell>
          <cell r="I28">
            <v>0</v>
          </cell>
          <cell r="J28">
            <v>0</v>
          </cell>
          <cell r="K28">
            <v>0.3</v>
          </cell>
          <cell r="L28">
            <v>0</v>
          </cell>
          <cell r="M28">
            <v>0</v>
          </cell>
          <cell r="N28">
            <v>0</v>
          </cell>
          <cell r="O28">
            <v>0</v>
          </cell>
          <cell r="P28">
            <v>0</v>
          </cell>
          <cell r="Q28">
            <v>0</v>
          </cell>
          <cell r="R28">
            <v>0</v>
          </cell>
          <cell r="S28">
            <v>0</v>
          </cell>
          <cell r="T28">
            <v>0</v>
          </cell>
          <cell r="U28">
            <v>0</v>
          </cell>
        </row>
        <row r="29">
          <cell r="A29">
            <v>24</v>
          </cell>
          <cell r="B29">
            <v>34</v>
          </cell>
          <cell r="C29">
            <v>4</v>
          </cell>
          <cell r="D29">
            <v>2.11</v>
          </cell>
          <cell r="E29">
            <v>0</v>
          </cell>
          <cell r="F29">
            <v>0</v>
          </cell>
          <cell r="G29">
            <v>0</v>
          </cell>
          <cell r="H29">
            <v>0</v>
          </cell>
          <cell r="I29">
            <v>0</v>
          </cell>
          <cell r="J29">
            <v>0</v>
          </cell>
          <cell r="K29">
            <v>0.3</v>
          </cell>
          <cell r="L29">
            <v>0</v>
          </cell>
          <cell r="M29">
            <v>0</v>
          </cell>
          <cell r="N29">
            <v>0</v>
          </cell>
          <cell r="O29">
            <v>0</v>
          </cell>
          <cell r="P29">
            <v>0</v>
          </cell>
          <cell r="Q29">
            <v>0</v>
          </cell>
          <cell r="R29">
            <v>0</v>
          </cell>
          <cell r="S29">
            <v>0</v>
          </cell>
          <cell r="T29">
            <v>0</v>
          </cell>
          <cell r="U29">
            <v>0</v>
          </cell>
        </row>
        <row r="30">
          <cell r="A30">
            <v>25</v>
          </cell>
          <cell r="B30">
            <v>36</v>
          </cell>
          <cell r="C30">
            <v>5</v>
          </cell>
          <cell r="D30">
            <v>2.77</v>
          </cell>
          <cell r="E30">
            <v>0</v>
          </cell>
          <cell r="F30">
            <v>0</v>
          </cell>
          <cell r="G30">
            <v>0</v>
          </cell>
          <cell r="H30">
            <v>0</v>
          </cell>
          <cell r="I30">
            <v>0</v>
          </cell>
          <cell r="J30">
            <v>0</v>
          </cell>
          <cell r="K30">
            <v>0.3</v>
          </cell>
          <cell r="L30">
            <v>0</v>
          </cell>
          <cell r="M30">
            <v>0</v>
          </cell>
          <cell r="N30">
            <v>0</v>
          </cell>
          <cell r="O30">
            <v>0</v>
          </cell>
          <cell r="P30">
            <v>0</v>
          </cell>
          <cell r="Q30">
            <v>0</v>
          </cell>
          <cell r="R30">
            <v>0</v>
          </cell>
          <cell r="S30">
            <v>0</v>
          </cell>
          <cell r="T30">
            <v>0</v>
          </cell>
          <cell r="U30">
            <v>0</v>
          </cell>
        </row>
        <row r="31">
          <cell r="A31">
            <v>26</v>
          </cell>
          <cell r="B31">
            <v>38</v>
          </cell>
          <cell r="C31">
            <v>6</v>
          </cell>
          <cell r="D31">
            <v>2.77</v>
          </cell>
          <cell r="E31">
            <v>0</v>
          </cell>
          <cell r="F31">
            <v>0</v>
          </cell>
          <cell r="G31">
            <v>0</v>
          </cell>
          <cell r="H31">
            <v>0</v>
          </cell>
          <cell r="I31">
            <v>0</v>
          </cell>
          <cell r="J31">
            <v>0</v>
          </cell>
          <cell r="K31">
            <v>0.45</v>
          </cell>
          <cell r="L31">
            <v>0</v>
          </cell>
          <cell r="M31">
            <v>0</v>
          </cell>
          <cell r="N31">
            <v>0</v>
          </cell>
          <cell r="O31">
            <v>0</v>
          </cell>
          <cell r="P31">
            <v>0</v>
          </cell>
          <cell r="Q31">
            <v>0</v>
          </cell>
          <cell r="R31">
            <v>0</v>
          </cell>
          <cell r="S31">
            <v>0</v>
          </cell>
          <cell r="T31">
            <v>0</v>
          </cell>
          <cell r="U31">
            <v>0</v>
          </cell>
        </row>
        <row r="32">
          <cell r="A32">
            <v>27</v>
          </cell>
          <cell r="B32">
            <v>40</v>
          </cell>
          <cell r="C32">
            <v>8</v>
          </cell>
          <cell r="D32">
            <v>2.77</v>
          </cell>
          <cell r="E32">
            <v>0</v>
          </cell>
          <cell r="F32">
            <v>0</v>
          </cell>
          <cell r="G32">
            <v>0</v>
          </cell>
          <cell r="H32">
            <v>0</v>
          </cell>
          <cell r="I32">
            <v>0</v>
          </cell>
          <cell r="J32">
            <v>0</v>
          </cell>
          <cell r="K32">
            <v>0.45</v>
          </cell>
          <cell r="L32">
            <v>0</v>
          </cell>
          <cell r="M32">
            <v>0</v>
          </cell>
          <cell r="N32">
            <v>0</v>
          </cell>
          <cell r="O32">
            <v>0</v>
          </cell>
          <cell r="P32">
            <v>0</v>
          </cell>
          <cell r="Q32">
            <v>0</v>
          </cell>
          <cell r="R32">
            <v>0</v>
          </cell>
          <cell r="S32">
            <v>0</v>
          </cell>
          <cell r="T32">
            <v>0</v>
          </cell>
          <cell r="U32">
            <v>0</v>
          </cell>
        </row>
        <row r="33">
          <cell r="A33">
            <v>28</v>
          </cell>
          <cell r="B33">
            <v>42</v>
          </cell>
          <cell r="C33">
            <v>10</v>
          </cell>
          <cell r="D33">
            <v>3.4</v>
          </cell>
          <cell r="E33">
            <v>0</v>
          </cell>
          <cell r="F33">
            <v>0</v>
          </cell>
          <cell r="G33">
            <v>0</v>
          </cell>
          <cell r="H33">
            <v>0</v>
          </cell>
          <cell r="I33">
            <v>0</v>
          </cell>
          <cell r="J33">
            <v>0</v>
          </cell>
          <cell r="K33">
            <v>0.9</v>
          </cell>
          <cell r="L33">
            <v>0</v>
          </cell>
          <cell r="M33">
            <v>0</v>
          </cell>
          <cell r="N33">
            <v>0</v>
          </cell>
          <cell r="O33">
            <v>0</v>
          </cell>
          <cell r="P33">
            <v>0</v>
          </cell>
          <cell r="Q33">
            <v>0</v>
          </cell>
          <cell r="R33">
            <v>0</v>
          </cell>
          <cell r="S33">
            <v>0</v>
          </cell>
          <cell r="T33">
            <v>0</v>
          </cell>
          <cell r="U33">
            <v>0</v>
          </cell>
        </row>
        <row r="34">
          <cell r="A34">
            <v>29</v>
          </cell>
          <cell r="B34">
            <v>44</v>
          </cell>
          <cell r="C34">
            <v>12</v>
          </cell>
          <cell r="D34">
            <v>3.96</v>
          </cell>
          <cell r="E34">
            <v>0</v>
          </cell>
          <cell r="F34">
            <v>0</v>
          </cell>
          <cell r="G34">
            <v>0</v>
          </cell>
          <cell r="H34">
            <v>0</v>
          </cell>
          <cell r="I34">
            <v>0</v>
          </cell>
          <cell r="J34">
            <v>0</v>
          </cell>
          <cell r="K34">
            <v>1.2</v>
          </cell>
          <cell r="L34">
            <v>0</v>
          </cell>
          <cell r="M34">
            <v>0</v>
          </cell>
          <cell r="N34">
            <v>0</v>
          </cell>
          <cell r="O34">
            <v>0</v>
          </cell>
          <cell r="P34">
            <v>0</v>
          </cell>
          <cell r="Q34">
            <v>0</v>
          </cell>
          <cell r="R34">
            <v>0</v>
          </cell>
          <cell r="S34">
            <v>0</v>
          </cell>
          <cell r="T34">
            <v>0</v>
          </cell>
          <cell r="U34">
            <v>0</v>
          </cell>
        </row>
        <row r="35">
          <cell r="A35">
            <v>30</v>
          </cell>
          <cell r="B35">
            <v>46</v>
          </cell>
          <cell r="C35">
            <v>14</v>
          </cell>
          <cell r="D35">
            <v>3.96</v>
          </cell>
          <cell r="E35">
            <v>0</v>
          </cell>
          <cell r="F35">
            <v>0</v>
          </cell>
          <cell r="G35">
            <v>0</v>
          </cell>
          <cell r="H35">
            <v>0</v>
          </cell>
          <cell r="I35">
            <v>0</v>
          </cell>
          <cell r="J35">
            <v>0</v>
          </cell>
          <cell r="K35">
            <v>1.34</v>
          </cell>
          <cell r="L35">
            <v>0</v>
          </cell>
          <cell r="M35">
            <v>0</v>
          </cell>
          <cell r="N35">
            <v>0</v>
          </cell>
          <cell r="O35">
            <v>0</v>
          </cell>
          <cell r="P35">
            <v>0</v>
          </cell>
          <cell r="Q35">
            <v>0</v>
          </cell>
          <cell r="R35">
            <v>0</v>
          </cell>
          <cell r="S35">
            <v>0</v>
          </cell>
          <cell r="T35">
            <v>0</v>
          </cell>
          <cell r="U35">
            <v>0</v>
          </cell>
        </row>
        <row r="36">
          <cell r="A36">
            <v>31</v>
          </cell>
          <cell r="B36">
            <v>48</v>
          </cell>
          <cell r="C36">
            <v>16</v>
          </cell>
          <cell r="D36">
            <v>4.1900000000000004</v>
          </cell>
          <cell r="E36">
            <v>0</v>
          </cell>
          <cell r="F36">
            <v>0</v>
          </cell>
          <cell r="G36">
            <v>0</v>
          </cell>
          <cell r="H36">
            <v>0</v>
          </cell>
          <cell r="I36">
            <v>0</v>
          </cell>
          <cell r="J36">
            <v>0</v>
          </cell>
          <cell r="K36">
            <v>1.65</v>
          </cell>
          <cell r="L36">
            <v>0</v>
          </cell>
          <cell r="M36">
            <v>0</v>
          </cell>
          <cell r="N36">
            <v>0</v>
          </cell>
          <cell r="O36">
            <v>0</v>
          </cell>
          <cell r="P36">
            <v>0</v>
          </cell>
          <cell r="Q36">
            <v>0</v>
          </cell>
          <cell r="R36">
            <v>0</v>
          </cell>
          <cell r="S36">
            <v>0</v>
          </cell>
          <cell r="T36">
            <v>0</v>
          </cell>
          <cell r="U36">
            <v>0</v>
          </cell>
        </row>
        <row r="37">
          <cell r="A37">
            <v>32</v>
          </cell>
          <cell r="B37">
            <v>52</v>
          </cell>
          <cell r="C37">
            <v>18</v>
          </cell>
          <cell r="D37">
            <v>4.1900000000000004</v>
          </cell>
          <cell r="E37">
            <v>0</v>
          </cell>
          <cell r="F37">
            <v>0</v>
          </cell>
          <cell r="G37">
            <v>0</v>
          </cell>
          <cell r="H37">
            <v>0</v>
          </cell>
          <cell r="I37">
            <v>0</v>
          </cell>
          <cell r="J37">
            <v>0</v>
          </cell>
          <cell r="K37">
            <v>1.8</v>
          </cell>
          <cell r="L37">
            <v>0</v>
          </cell>
          <cell r="M37">
            <v>0</v>
          </cell>
          <cell r="N37">
            <v>0</v>
          </cell>
          <cell r="O37">
            <v>0</v>
          </cell>
          <cell r="P37">
            <v>0</v>
          </cell>
          <cell r="Q37">
            <v>0</v>
          </cell>
          <cell r="R37">
            <v>0</v>
          </cell>
          <cell r="S37">
            <v>0</v>
          </cell>
          <cell r="T37">
            <v>0</v>
          </cell>
          <cell r="U37">
            <v>0</v>
          </cell>
        </row>
        <row r="38">
          <cell r="A38">
            <v>33</v>
          </cell>
          <cell r="B38">
            <v>56</v>
          </cell>
          <cell r="C38">
            <v>20</v>
          </cell>
          <cell r="D38">
            <v>4.78</v>
          </cell>
          <cell r="E38">
            <v>0</v>
          </cell>
          <cell r="F38">
            <v>0</v>
          </cell>
          <cell r="G38">
            <v>0</v>
          </cell>
          <cell r="H38">
            <v>0</v>
          </cell>
          <cell r="I38">
            <v>0</v>
          </cell>
          <cell r="J38">
            <v>0</v>
          </cell>
          <cell r="K38">
            <v>2.54</v>
          </cell>
          <cell r="L38">
            <v>0</v>
          </cell>
          <cell r="M38">
            <v>0</v>
          </cell>
          <cell r="N38">
            <v>0</v>
          </cell>
          <cell r="O38">
            <v>0</v>
          </cell>
          <cell r="P38">
            <v>0</v>
          </cell>
          <cell r="Q38">
            <v>0</v>
          </cell>
          <cell r="R38">
            <v>0</v>
          </cell>
          <cell r="S38">
            <v>0</v>
          </cell>
          <cell r="T38">
            <v>0</v>
          </cell>
          <cell r="U38">
            <v>0</v>
          </cell>
        </row>
        <row r="39">
          <cell r="A39">
            <v>34</v>
          </cell>
          <cell r="B39">
            <v>60</v>
          </cell>
          <cell r="C39">
            <v>22</v>
          </cell>
          <cell r="D39">
            <v>4.78</v>
          </cell>
          <cell r="E39">
            <v>0</v>
          </cell>
          <cell r="F39">
            <v>0</v>
          </cell>
          <cell r="G39">
            <v>0</v>
          </cell>
          <cell r="H39">
            <v>0</v>
          </cell>
          <cell r="I39">
            <v>0</v>
          </cell>
          <cell r="J39">
            <v>0</v>
          </cell>
          <cell r="K39">
            <v>2.69</v>
          </cell>
          <cell r="L39">
            <v>0</v>
          </cell>
          <cell r="M39">
            <v>0</v>
          </cell>
          <cell r="N39">
            <v>0</v>
          </cell>
          <cell r="O39">
            <v>0</v>
          </cell>
          <cell r="P39">
            <v>0</v>
          </cell>
          <cell r="Q39">
            <v>0</v>
          </cell>
          <cell r="R39">
            <v>0</v>
          </cell>
          <cell r="S39">
            <v>0</v>
          </cell>
          <cell r="T39">
            <v>0</v>
          </cell>
          <cell r="U39">
            <v>0</v>
          </cell>
        </row>
        <row r="40">
          <cell r="A40">
            <v>35</v>
          </cell>
          <cell r="B40">
            <v>64</v>
          </cell>
          <cell r="C40">
            <v>24</v>
          </cell>
          <cell r="D40">
            <v>5.54</v>
          </cell>
          <cell r="E40">
            <v>0</v>
          </cell>
          <cell r="F40">
            <v>0</v>
          </cell>
          <cell r="G40">
            <v>0</v>
          </cell>
          <cell r="H40">
            <v>0</v>
          </cell>
          <cell r="I40">
            <v>0</v>
          </cell>
          <cell r="J40">
            <v>0</v>
          </cell>
          <cell r="K40">
            <v>3.9000000000000004</v>
          </cell>
          <cell r="L40">
            <v>0</v>
          </cell>
          <cell r="M40">
            <v>0</v>
          </cell>
          <cell r="N40">
            <v>0</v>
          </cell>
          <cell r="O40">
            <v>0</v>
          </cell>
          <cell r="P40">
            <v>0</v>
          </cell>
          <cell r="Q40">
            <v>0</v>
          </cell>
          <cell r="R40">
            <v>0</v>
          </cell>
          <cell r="S40">
            <v>0</v>
          </cell>
          <cell r="T40">
            <v>0</v>
          </cell>
          <cell r="U40">
            <v>0</v>
          </cell>
        </row>
        <row r="41">
          <cell r="A41">
            <v>36</v>
          </cell>
          <cell r="B41">
            <v>68</v>
          </cell>
          <cell r="C41">
            <v>30</v>
          </cell>
          <cell r="D41">
            <v>6.35</v>
          </cell>
          <cell r="E41">
            <v>0</v>
          </cell>
          <cell r="F41">
            <v>0</v>
          </cell>
          <cell r="G41">
            <v>0</v>
          </cell>
          <cell r="H41">
            <v>0</v>
          </cell>
          <cell r="I41">
            <v>0</v>
          </cell>
          <cell r="J41">
            <v>0</v>
          </cell>
          <cell r="K41">
            <v>6.15</v>
          </cell>
          <cell r="L41">
            <v>0</v>
          </cell>
          <cell r="M41">
            <v>0</v>
          </cell>
          <cell r="N41">
            <v>0</v>
          </cell>
          <cell r="O41">
            <v>0</v>
          </cell>
          <cell r="P41">
            <v>0</v>
          </cell>
          <cell r="Q41">
            <v>0</v>
          </cell>
          <cell r="R41">
            <v>0</v>
          </cell>
          <cell r="S41">
            <v>0</v>
          </cell>
          <cell r="T41">
            <v>0</v>
          </cell>
          <cell r="U41">
            <v>0</v>
          </cell>
        </row>
        <row r="42">
          <cell r="A42">
            <v>37</v>
          </cell>
          <cell r="B42">
            <v>72</v>
          </cell>
          <cell r="C42">
            <v>14</v>
          </cell>
          <cell r="D42">
            <v>6.35</v>
          </cell>
          <cell r="E42">
            <v>0</v>
          </cell>
          <cell r="F42">
            <v>0</v>
          </cell>
          <cell r="G42">
            <v>0</v>
          </cell>
          <cell r="H42">
            <v>0</v>
          </cell>
          <cell r="I42">
            <v>0</v>
          </cell>
          <cell r="J42">
            <v>0</v>
          </cell>
          <cell r="K42">
            <v>2.69</v>
          </cell>
          <cell r="L42">
            <v>0</v>
          </cell>
          <cell r="M42">
            <v>0</v>
          </cell>
          <cell r="N42">
            <v>0</v>
          </cell>
          <cell r="O42">
            <v>0</v>
          </cell>
          <cell r="P42">
            <v>0</v>
          </cell>
          <cell r="Q42">
            <v>0</v>
          </cell>
          <cell r="R42">
            <v>0</v>
          </cell>
          <cell r="S42">
            <v>0</v>
          </cell>
          <cell r="T42">
            <v>0</v>
          </cell>
          <cell r="U42">
            <v>0</v>
          </cell>
        </row>
        <row r="43">
          <cell r="A43">
            <v>38</v>
          </cell>
          <cell r="B43">
            <v>76</v>
          </cell>
          <cell r="C43">
            <v>16</v>
          </cell>
          <cell r="D43">
            <v>6.35</v>
          </cell>
          <cell r="E43">
            <v>0</v>
          </cell>
          <cell r="F43">
            <v>0</v>
          </cell>
          <cell r="G43">
            <v>0</v>
          </cell>
          <cell r="H43">
            <v>0</v>
          </cell>
          <cell r="I43">
            <v>0</v>
          </cell>
          <cell r="J43">
            <v>0</v>
          </cell>
          <cell r="K43">
            <v>3</v>
          </cell>
          <cell r="L43">
            <v>0</v>
          </cell>
          <cell r="M43">
            <v>0</v>
          </cell>
          <cell r="N43">
            <v>0</v>
          </cell>
          <cell r="O43">
            <v>0</v>
          </cell>
          <cell r="P43">
            <v>0</v>
          </cell>
          <cell r="Q43">
            <v>0</v>
          </cell>
          <cell r="R43">
            <v>0</v>
          </cell>
          <cell r="S43">
            <v>0</v>
          </cell>
          <cell r="T43">
            <v>0</v>
          </cell>
          <cell r="U43">
            <v>0</v>
          </cell>
        </row>
        <row r="44">
          <cell r="A44">
            <v>39</v>
          </cell>
          <cell r="B44">
            <v>80</v>
          </cell>
          <cell r="C44">
            <v>18</v>
          </cell>
          <cell r="D44">
            <v>6.35</v>
          </cell>
          <cell r="E44">
            <v>0</v>
          </cell>
          <cell r="F44">
            <v>0</v>
          </cell>
          <cell r="G44">
            <v>0</v>
          </cell>
          <cell r="H44">
            <v>0</v>
          </cell>
          <cell r="I44">
            <v>0</v>
          </cell>
          <cell r="J44">
            <v>0</v>
          </cell>
          <cell r="K44">
            <v>3.3</v>
          </cell>
          <cell r="L44">
            <v>0</v>
          </cell>
          <cell r="M44">
            <v>0</v>
          </cell>
          <cell r="N44">
            <v>0</v>
          </cell>
          <cell r="O44">
            <v>0</v>
          </cell>
          <cell r="P44">
            <v>0</v>
          </cell>
          <cell r="Q44">
            <v>0</v>
          </cell>
          <cell r="R44">
            <v>0</v>
          </cell>
          <cell r="S44">
            <v>0</v>
          </cell>
          <cell r="T44">
            <v>0</v>
          </cell>
          <cell r="U44">
            <v>0</v>
          </cell>
        </row>
        <row r="45">
          <cell r="A45" t="str">
            <v>AVE.</v>
          </cell>
          <cell r="B45">
            <v>0</v>
          </cell>
          <cell r="C45">
            <v>20</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row>
        <row r="46">
          <cell r="B46">
            <v>10</v>
          </cell>
          <cell r="C46">
            <v>22</v>
          </cell>
          <cell r="D46">
            <v>6.35</v>
          </cell>
          <cell r="E46">
            <v>1</v>
          </cell>
          <cell r="I46">
            <v>2.23</v>
          </cell>
          <cell r="J46">
            <v>2.27</v>
          </cell>
          <cell r="K46">
            <v>4.5</v>
          </cell>
          <cell r="P46">
            <v>8</v>
          </cell>
        </row>
        <row r="47">
          <cell r="A47" t="str">
            <v>*** Reference Paper : Predict Fittings For Piping Systems ***</v>
          </cell>
          <cell r="B47">
            <v>10</v>
          </cell>
          <cell r="C47">
            <v>24</v>
          </cell>
          <cell r="D47">
            <v>6.35</v>
          </cell>
          <cell r="E47">
            <v>1</v>
          </cell>
          <cell r="I47">
            <v>2.4300000000000002</v>
          </cell>
          <cell r="J47">
            <v>2.0699999999999998</v>
          </cell>
          <cell r="K47" t="str">
            <v>Fc = 0.25  Utility Supply Lines, OSBL</v>
          </cell>
          <cell r="P47">
            <v>8</v>
          </cell>
          <cell r="R47" t="str">
            <v>Fc = 2.00  Manifold Type Piping</v>
          </cell>
        </row>
        <row r="48">
          <cell r="B48">
            <v>10</v>
          </cell>
          <cell r="C48">
            <v>26</v>
          </cell>
          <cell r="D48" t="str">
            <v xml:space="preserve">   By William B. Hooper , Monsanto Co.</v>
          </cell>
          <cell r="E48">
            <v>1</v>
          </cell>
          <cell r="I48">
            <v>2.64</v>
          </cell>
          <cell r="J48">
            <v>4.8600000000000003</v>
          </cell>
          <cell r="K48" t="str">
            <v xml:space="preserve">        (PIPE JOINT FACTOR Fp = 100%)</v>
          </cell>
          <cell r="P48">
            <v>9</v>
          </cell>
          <cell r="R48" t="str">
            <v xml:space="preserve">        (PIPE JOINT FACTOR Fp = 0%)</v>
          </cell>
        </row>
        <row r="49">
          <cell r="B49">
            <v>10</v>
          </cell>
          <cell r="C49">
            <v>28</v>
          </cell>
          <cell r="D49">
            <v>7.92</v>
          </cell>
          <cell r="E49">
            <v>1</v>
          </cell>
          <cell r="I49">
            <v>2.84</v>
          </cell>
          <cell r="J49">
            <v>5.26</v>
          </cell>
          <cell r="K49" t="str">
            <v>Fc = 0.50  Long, Straight Piping Run</v>
          </cell>
          <cell r="P49">
            <v>9</v>
          </cell>
          <cell r="R49" t="str">
            <v>Fc = 4.00  Very Complex Manifolds</v>
          </cell>
        </row>
        <row r="50">
          <cell r="A50" t="str">
            <v>The number and types of pipe fittings can be estimated by this method</v>
          </cell>
          <cell r="B50">
            <v>10</v>
          </cell>
          <cell r="C50">
            <v>30</v>
          </cell>
          <cell r="D50">
            <v>7.92</v>
          </cell>
          <cell r="E50">
            <v>1</v>
          </cell>
          <cell r="I50">
            <v>3.04</v>
          </cell>
          <cell r="J50">
            <v>5.66</v>
          </cell>
          <cell r="K50" t="str">
            <v xml:space="preserve">        (PIPE JOINT FACTOR Fp = 100%)</v>
          </cell>
          <cell r="P50">
            <v>10</v>
          </cell>
          <cell r="R50" t="str">
            <v xml:space="preserve">        (PIPE JOINT FACTOR Fp = 0%)</v>
          </cell>
        </row>
        <row r="51">
          <cell r="A51" t="str">
            <v>long before the piping isometrics are done. Pipe size and a general idea</v>
          </cell>
          <cell r="B51">
            <v>10</v>
          </cell>
          <cell r="C51">
            <v>32</v>
          </cell>
          <cell r="D51">
            <v>7.92</v>
          </cell>
          <cell r="E51">
            <v>1</v>
          </cell>
          <cell r="I51">
            <v>3.24</v>
          </cell>
          <cell r="J51">
            <v>6.06</v>
          </cell>
          <cell r="K51" t="str">
            <v>Fc = 1.00  Normal Piping</v>
          </cell>
          <cell r="P51">
            <v>11</v>
          </cell>
        </row>
        <row r="52">
          <cell r="A52" t="str">
            <v>of the system's complexity are all that is needed.</v>
          </cell>
          <cell r="B52">
            <v>10</v>
          </cell>
          <cell r="C52">
            <v>34</v>
          </cell>
          <cell r="D52">
            <v>7.92</v>
          </cell>
          <cell r="E52">
            <v>1</v>
          </cell>
          <cell r="I52">
            <v>3.45</v>
          </cell>
          <cell r="J52">
            <v>6.44</v>
          </cell>
          <cell r="K52" t="str">
            <v xml:space="preserve">        (PIPE JOINT FACTOR Fp = 10%)</v>
          </cell>
          <cell r="P52">
            <v>12</v>
          </cell>
        </row>
      </sheetData>
      <sheetData sheetId="1" refreshError="1">
        <row r="8">
          <cell r="A8">
            <v>3</v>
          </cell>
          <cell r="B8" t="str">
            <v>5S</v>
          </cell>
          <cell r="C8">
            <v>0.5</v>
          </cell>
          <cell r="D8">
            <v>1.65</v>
          </cell>
          <cell r="E8">
            <v>1</v>
          </cell>
          <cell r="F8">
            <v>0</v>
          </cell>
          <cell r="G8">
            <v>0</v>
          </cell>
          <cell r="H8">
            <v>0</v>
          </cell>
          <cell r="I8">
            <v>7.0000000000000007E-2</v>
          </cell>
          <cell r="J8">
            <v>0</v>
          </cell>
          <cell r="K8">
            <v>7.0000000000000007E-2</v>
          </cell>
          <cell r="L8">
            <v>0</v>
          </cell>
          <cell r="M8">
            <v>0</v>
          </cell>
          <cell r="N8">
            <v>0</v>
          </cell>
          <cell r="O8">
            <v>0</v>
          </cell>
          <cell r="P8">
            <v>2</v>
          </cell>
          <cell r="Q8">
            <v>0</v>
          </cell>
          <cell r="R8">
            <v>0</v>
          </cell>
        </row>
        <row r="9">
          <cell r="A9">
            <v>4</v>
          </cell>
          <cell r="B9" t="str">
            <v>5S</v>
          </cell>
          <cell r="C9">
            <v>0.5</v>
          </cell>
          <cell r="D9">
            <v>1.65</v>
          </cell>
          <cell r="E9">
            <v>1</v>
          </cell>
          <cell r="F9">
            <v>0</v>
          </cell>
          <cell r="G9">
            <v>0</v>
          </cell>
          <cell r="H9">
            <v>0</v>
          </cell>
          <cell r="I9">
            <v>7.0000000000000007E-2</v>
          </cell>
          <cell r="J9">
            <v>0</v>
          </cell>
          <cell r="K9">
            <v>7.0000000000000007E-2</v>
          </cell>
          <cell r="L9">
            <v>0</v>
          </cell>
          <cell r="M9">
            <v>0</v>
          </cell>
          <cell r="N9">
            <v>0</v>
          </cell>
          <cell r="O9">
            <v>0</v>
          </cell>
          <cell r="P9">
            <v>2</v>
          </cell>
          <cell r="Q9">
            <v>0</v>
          </cell>
          <cell r="R9">
            <v>0</v>
          </cell>
        </row>
        <row r="10">
          <cell r="A10" t="str">
            <v>5S</v>
          </cell>
          <cell r="B10" t="str">
            <v>5S</v>
          </cell>
          <cell r="C10">
            <v>0.5</v>
          </cell>
          <cell r="D10">
            <v>1.65</v>
          </cell>
          <cell r="E10">
            <v>1</v>
          </cell>
          <cell r="F10">
            <v>0</v>
          </cell>
          <cell r="G10">
            <v>0</v>
          </cell>
          <cell r="H10">
            <v>0</v>
          </cell>
          <cell r="I10">
            <v>7.0000000000000007E-2</v>
          </cell>
          <cell r="J10">
            <v>0</v>
          </cell>
          <cell r="K10">
            <v>7.0000000000000007E-2</v>
          </cell>
          <cell r="L10">
            <v>0</v>
          </cell>
          <cell r="M10">
            <v>0</v>
          </cell>
          <cell r="N10">
            <v>0</v>
          </cell>
          <cell r="O10">
            <v>0</v>
          </cell>
          <cell r="P10">
            <v>2</v>
          </cell>
          <cell r="Q10">
            <v>0</v>
          </cell>
          <cell r="R10">
            <v>0</v>
          </cell>
        </row>
        <row r="11">
          <cell r="A11">
            <v>6</v>
          </cell>
          <cell r="B11" t="str">
            <v>5S</v>
          </cell>
          <cell r="C11">
            <v>0.75</v>
          </cell>
          <cell r="D11">
            <v>1.65</v>
          </cell>
          <cell r="E11">
            <v>1</v>
          </cell>
          <cell r="F11">
            <v>0</v>
          </cell>
          <cell r="G11">
            <v>0</v>
          </cell>
          <cell r="H11">
            <v>0</v>
          </cell>
          <cell r="I11">
            <v>7.0000000000000007E-2</v>
          </cell>
          <cell r="J11">
            <v>0</v>
          </cell>
          <cell r="K11">
            <v>7.0000000000000007E-2</v>
          </cell>
          <cell r="L11">
            <v>0</v>
          </cell>
          <cell r="M11">
            <v>0</v>
          </cell>
          <cell r="N11">
            <v>0</v>
          </cell>
          <cell r="O11">
            <v>0</v>
          </cell>
          <cell r="P11">
            <v>2</v>
          </cell>
          <cell r="Q11">
            <v>0</v>
          </cell>
          <cell r="R11">
            <v>0</v>
          </cell>
        </row>
        <row r="12">
          <cell r="A12">
            <v>7</v>
          </cell>
          <cell r="B12" t="str">
            <v>5S</v>
          </cell>
          <cell r="C12">
            <v>0.75</v>
          </cell>
          <cell r="D12">
            <v>1.65</v>
          </cell>
          <cell r="E12">
            <v>1</v>
          </cell>
          <cell r="F12">
            <v>0</v>
          </cell>
          <cell r="G12">
            <v>0</v>
          </cell>
          <cell r="H12">
            <v>0</v>
          </cell>
          <cell r="I12">
            <v>7.0000000000000007E-2</v>
          </cell>
          <cell r="J12">
            <v>0</v>
          </cell>
          <cell r="K12">
            <v>7.0000000000000007E-2</v>
          </cell>
          <cell r="L12">
            <v>0</v>
          </cell>
          <cell r="M12">
            <v>0</v>
          </cell>
          <cell r="N12">
            <v>0</v>
          </cell>
          <cell r="O12">
            <v>0</v>
          </cell>
          <cell r="P12">
            <v>2</v>
          </cell>
          <cell r="Q12">
            <v>0</v>
          </cell>
          <cell r="R12">
            <v>0</v>
          </cell>
        </row>
        <row r="13">
          <cell r="A13">
            <v>8</v>
          </cell>
          <cell r="B13" t="str">
            <v>5S</v>
          </cell>
          <cell r="C13">
            <v>0.75</v>
          </cell>
          <cell r="D13">
            <v>1.65</v>
          </cell>
          <cell r="E13">
            <v>1</v>
          </cell>
          <cell r="F13">
            <v>0</v>
          </cell>
          <cell r="G13">
            <v>0</v>
          </cell>
          <cell r="H13">
            <v>0</v>
          </cell>
          <cell r="I13">
            <v>7.0000000000000007E-2</v>
          </cell>
          <cell r="J13">
            <v>0</v>
          </cell>
          <cell r="K13">
            <v>7.0000000000000007E-2</v>
          </cell>
          <cell r="L13">
            <v>0</v>
          </cell>
          <cell r="M13">
            <v>0</v>
          </cell>
          <cell r="N13">
            <v>0</v>
          </cell>
          <cell r="O13">
            <v>0</v>
          </cell>
          <cell r="P13">
            <v>2</v>
          </cell>
          <cell r="Q13">
            <v>0</v>
          </cell>
          <cell r="R13">
            <v>0</v>
          </cell>
        </row>
        <row r="14">
          <cell r="A14">
            <v>9</v>
          </cell>
          <cell r="B14" t="str">
            <v>5S</v>
          </cell>
          <cell r="C14">
            <v>1</v>
          </cell>
          <cell r="D14">
            <v>1.65</v>
          </cell>
          <cell r="E14">
            <v>1</v>
          </cell>
          <cell r="F14">
            <v>0</v>
          </cell>
          <cell r="G14">
            <v>0</v>
          </cell>
          <cell r="H14">
            <v>0</v>
          </cell>
          <cell r="I14">
            <v>0.12</v>
          </cell>
          <cell r="J14">
            <v>0</v>
          </cell>
          <cell r="K14">
            <v>0.12</v>
          </cell>
          <cell r="L14">
            <v>0</v>
          </cell>
          <cell r="M14">
            <v>0</v>
          </cell>
          <cell r="N14">
            <v>0</v>
          </cell>
          <cell r="O14">
            <v>0</v>
          </cell>
          <cell r="P14">
            <v>2</v>
          </cell>
          <cell r="Q14">
            <v>0</v>
          </cell>
          <cell r="R14">
            <v>0</v>
          </cell>
        </row>
        <row r="15">
          <cell r="A15">
            <v>10</v>
          </cell>
          <cell r="B15" t="str">
            <v>5S</v>
          </cell>
          <cell r="C15">
            <v>1</v>
          </cell>
          <cell r="D15">
            <v>1.65</v>
          </cell>
          <cell r="E15">
            <v>1</v>
          </cell>
          <cell r="F15">
            <v>0</v>
          </cell>
          <cell r="G15">
            <v>0</v>
          </cell>
          <cell r="H15">
            <v>0</v>
          </cell>
          <cell r="I15">
            <v>0.12</v>
          </cell>
          <cell r="J15">
            <v>0</v>
          </cell>
          <cell r="K15">
            <v>0.12</v>
          </cell>
          <cell r="L15">
            <v>0</v>
          </cell>
          <cell r="M15">
            <v>0</v>
          </cell>
          <cell r="N15">
            <v>0</v>
          </cell>
          <cell r="O15">
            <v>0</v>
          </cell>
          <cell r="P15">
            <v>2</v>
          </cell>
          <cell r="Q15">
            <v>0</v>
          </cell>
          <cell r="R15">
            <v>0</v>
          </cell>
        </row>
        <row r="16">
          <cell r="A16">
            <v>11</v>
          </cell>
          <cell r="B16" t="str">
            <v>5S</v>
          </cell>
          <cell r="C16">
            <v>1</v>
          </cell>
          <cell r="D16">
            <v>1.65</v>
          </cell>
          <cell r="E16">
            <v>1</v>
          </cell>
          <cell r="F16">
            <v>0</v>
          </cell>
          <cell r="G16">
            <v>0</v>
          </cell>
          <cell r="H16">
            <v>0</v>
          </cell>
          <cell r="I16">
            <v>0.12</v>
          </cell>
          <cell r="J16">
            <v>0</v>
          </cell>
          <cell r="K16">
            <v>0.12</v>
          </cell>
          <cell r="L16">
            <v>0</v>
          </cell>
          <cell r="M16">
            <v>0</v>
          </cell>
          <cell r="N16">
            <v>0</v>
          </cell>
          <cell r="O16">
            <v>0</v>
          </cell>
          <cell r="P16">
            <v>2</v>
          </cell>
          <cell r="Q16">
            <v>0</v>
          </cell>
          <cell r="R16">
            <v>0</v>
          </cell>
        </row>
        <row r="17">
          <cell r="A17">
            <v>12</v>
          </cell>
          <cell r="B17" t="str">
            <v>5S</v>
          </cell>
          <cell r="C17">
            <v>1.25</v>
          </cell>
          <cell r="D17">
            <v>1.65</v>
          </cell>
          <cell r="E17">
            <v>1</v>
          </cell>
          <cell r="F17">
            <v>0</v>
          </cell>
          <cell r="G17">
            <v>0</v>
          </cell>
          <cell r="H17">
            <v>0</v>
          </cell>
          <cell r="I17">
            <v>0.15</v>
          </cell>
          <cell r="J17">
            <v>0</v>
          </cell>
          <cell r="K17">
            <v>0.15</v>
          </cell>
          <cell r="L17">
            <v>0</v>
          </cell>
          <cell r="M17">
            <v>0</v>
          </cell>
          <cell r="N17">
            <v>0</v>
          </cell>
          <cell r="O17">
            <v>0</v>
          </cell>
          <cell r="P17">
            <v>2</v>
          </cell>
          <cell r="Q17">
            <v>0</v>
          </cell>
          <cell r="R17">
            <v>0</v>
          </cell>
        </row>
        <row r="18">
          <cell r="A18">
            <v>13</v>
          </cell>
          <cell r="B18" t="str">
            <v>5S</v>
          </cell>
          <cell r="C18">
            <v>1.25</v>
          </cell>
          <cell r="D18">
            <v>1.65</v>
          </cell>
          <cell r="E18">
            <v>1</v>
          </cell>
          <cell r="F18">
            <v>0</v>
          </cell>
          <cell r="G18">
            <v>0</v>
          </cell>
          <cell r="H18">
            <v>0</v>
          </cell>
          <cell r="I18">
            <v>0.15</v>
          </cell>
          <cell r="J18">
            <v>0</v>
          </cell>
          <cell r="K18">
            <v>0.15</v>
          </cell>
          <cell r="L18">
            <v>0</v>
          </cell>
          <cell r="M18">
            <v>0</v>
          </cell>
          <cell r="N18">
            <v>0</v>
          </cell>
          <cell r="O18">
            <v>0</v>
          </cell>
          <cell r="P18">
            <v>2</v>
          </cell>
          <cell r="Q18">
            <v>0</v>
          </cell>
          <cell r="R18">
            <v>0</v>
          </cell>
        </row>
        <row r="19">
          <cell r="A19">
            <v>14</v>
          </cell>
          <cell r="B19" t="str">
            <v>5S</v>
          </cell>
          <cell r="C19">
            <v>1.25</v>
          </cell>
          <cell r="D19">
            <v>1.65</v>
          </cell>
          <cell r="E19">
            <v>1</v>
          </cell>
          <cell r="F19">
            <v>0</v>
          </cell>
          <cell r="G19">
            <v>0</v>
          </cell>
          <cell r="H19">
            <v>0</v>
          </cell>
          <cell r="I19">
            <v>0.15</v>
          </cell>
          <cell r="J19">
            <v>0</v>
          </cell>
          <cell r="K19">
            <v>0.15</v>
          </cell>
          <cell r="L19">
            <v>0</v>
          </cell>
          <cell r="M19">
            <v>0</v>
          </cell>
          <cell r="N19">
            <v>0</v>
          </cell>
          <cell r="O19">
            <v>0</v>
          </cell>
          <cell r="P19">
            <v>2</v>
          </cell>
          <cell r="Q19">
            <v>0</v>
          </cell>
          <cell r="R19">
            <v>0</v>
          </cell>
        </row>
        <row r="20">
          <cell r="A20">
            <v>15</v>
          </cell>
          <cell r="B20" t="str">
            <v>5S</v>
          </cell>
          <cell r="C20">
            <v>1.5</v>
          </cell>
          <cell r="D20">
            <v>1.65</v>
          </cell>
          <cell r="E20">
            <v>1</v>
          </cell>
          <cell r="F20">
            <v>0</v>
          </cell>
          <cell r="G20">
            <v>0</v>
          </cell>
          <cell r="H20">
            <v>0</v>
          </cell>
          <cell r="I20">
            <v>0.15</v>
          </cell>
          <cell r="J20">
            <v>0</v>
          </cell>
          <cell r="K20">
            <v>0.15</v>
          </cell>
          <cell r="L20">
            <v>0</v>
          </cell>
          <cell r="M20">
            <v>0</v>
          </cell>
          <cell r="N20">
            <v>0</v>
          </cell>
          <cell r="O20">
            <v>0</v>
          </cell>
          <cell r="P20">
            <v>2</v>
          </cell>
          <cell r="Q20">
            <v>0</v>
          </cell>
          <cell r="R20">
            <v>0</v>
          </cell>
        </row>
        <row r="21">
          <cell r="A21">
            <v>16</v>
          </cell>
          <cell r="B21" t="str">
            <v>5S</v>
          </cell>
          <cell r="C21">
            <v>1.5</v>
          </cell>
          <cell r="D21">
            <v>1.65</v>
          </cell>
          <cell r="E21">
            <v>1</v>
          </cell>
          <cell r="F21">
            <v>0</v>
          </cell>
          <cell r="G21">
            <v>0</v>
          </cell>
          <cell r="H21">
            <v>0</v>
          </cell>
          <cell r="I21">
            <v>0.15</v>
          </cell>
          <cell r="J21">
            <v>0</v>
          </cell>
          <cell r="K21">
            <v>0.15</v>
          </cell>
          <cell r="L21">
            <v>0</v>
          </cell>
          <cell r="M21">
            <v>0</v>
          </cell>
          <cell r="N21">
            <v>0</v>
          </cell>
          <cell r="O21">
            <v>0</v>
          </cell>
          <cell r="P21">
            <v>2</v>
          </cell>
          <cell r="Q21">
            <v>0</v>
          </cell>
          <cell r="R21">
            <v>0</v>
          </cell>
        </row>
        <row r="22">
          <cell r="A22">
            <v>17</v>
          </cell>
          <cell r="B22" t="str">
            <v>5S</v>
          </cell>
          <cell r="C22">
            <v>1.5</v>
          </cell>
          <cell r="D22">
            <v>1.65</v>
          </cell>
          <cell r="E22">
            <v>1</v>
          </cell>
          <cell r="F22">
            <v>0</v>
          </cell>
          <cell r="G22">
            <v>0</v>
          </cell>
          <cell r="H22">
            <v>0</v>
          </cell>
          <cell r="I22">
            <v>0.15</v>
          </cell>
          <cell r="J22">
            <v>0</v>
          </cell>
          <cell r="K22">
            <v>0.15</v>
          </cell>
          <cell r="L22">
            <v>0</v>
          </cell>
          <cell r="M22">
            <v>0</v>
          </cell>
          <cell r="N22">
            <v>0</v>
          </cell>
          <cell r="O22">
            <v>0</v>
          </cell>
          <cell r="P22">
            <v>2</v>
          </cell>
          <cell r="Q22">
            <v>0</v>
          </cell>
          <cell r="R22">
            <v>0</v>
          </cell>
        </row>
        <row r="23">
          <cell r="A23">
            <v>18</v>
          </cell>
          <cell r="B23" t="str">
            <v>5S</v>
          </cell>
          <cell r="C23">
            <v>2</v>
          </cell>
          <cell r="D23">
            <v>1.65</v>
          </cell>
          <cell r="E23">
            <v>1</v>
          </cell>
          <cell r="F23">
            <v>0</v>
          </cell>
          <cell r="G23">
            <v>0</v>
          </cell>
          <cell r="H23">
            <v>0</v>
          </cell>
          <cell r="I23">
            <v>0.15</v>
          </cell>
          <cell r="J23">
            <v>0</v>
          </cell>
          <cell r="K23">
            <v>0.15</v>
          </cell>
          <cell r="L23">
            <v>0</v>
          </cell>
          <cell r="M23">
            <v>0</v>
          </cell>
          <cell r="N23">
            <v>0</v>
          </cell>
          <cell r="O23">
            <v>0</v>
          </cell>
          <cell r="P23">
            <v>2</v>
          </cell>
          <cell r="Q23">
            <v>0</v>
          </cell>
          <cell r="R23">
            <v>0</v>
          </cell>
        </row>
        <row r="24">
          <cell r="A24">
            <v>19</v>
          </cell>
          <cell r="B24" t="str">
            <v>5S</v>
          </cell>
          <cell r="C24">
            <v>2</v>
          </cell>
          <cell r="D24">
            <v>1.65</v>
          </cell>
          <cell r="E24">
            <v>1</v>
          </cell>
          <cell r="F24">
            <v>0</v>
          </cell>
          <cell r="G24">
            <v>0</v>
          </cell>
          <cell r="H24">
            <v>0</v>
          </cell>
          <cell r="I24">
            <v>0.15</v>
          </cell>
          <cell r="J24">
            <v>0</v>
          </cell>
          <cell r="K24">
            <v>0.15</v>
          </cell>
          <cell r="L24">
            <v>0</v>
          </cell>
          <cell r="M24">
            <v>0</v>
          </cell>
          <cell r="N24">
            <v>0</v>
          </cell>
          <cell r="O24">
            <v>0</v>
          </cell>
          <cell r="P24">
            <v>2</v>
          </cell>
          <cell r="Q24">
            <v>0</v>
          </cell>
          <cell r="R24">
            <v>0</v>
          </cell>
        </row>
        <row r="25">
          <cell r="A25">
            <v>20</v>
          </cell>
          <cell r="B25" t="str">
            <v>5S</v>
          </cell>
          <cell r="C25">
            <v>2</v>
          </cell>
          <cell r="D25">
            <v>1.65</v>
          </cell>
          <cell r="E25">
            <v>1</v>
          </cell>
          <cell r="F25">
            <v>0</v>
          </cell>
          <cell r="G25">
            <v>0</v>
          </cell>
          <cell r="H25">
            <v>0</v>
          </cell>
          <cell r="I25">
            <v>0.15</v>
          </cell>
          <cell r="J25">
            <v>0</v>
          </cell>
          <cell r="K25">
            <v>0.15</v>
          </cell>
          <cell r="L25">
            <v>0</v>
          </cell>
          <cell r="M25">
            <v>0</v>
          </cell>
          <cell r="N25">
            <v>0</v>
          </cell>
          <cell r="O25">
            <v>0</v>
          </cell>
          <cell r="P25">
            <v>2</v>
          </cell>
          <cell r="Q25">
            <v>0</v>
          </cell>
          <cell r="R25">
            <v>0</v>
          </cell>
        </row>
        <row r="26">
          <cell r="A26">
            <v>21</v>
          </cell>
          <cell r="B26" t="str">
            <v>5S</v>
          </cell>
          <cell r="C26">
            <v>2.5</v>
          </cell>
          <cell r="D26">
            <v>2.11</v>
          </cell>
          <cell r="E26">
            <v>1</v>
          </cell>
          <cell r="F26">
            <v>0</v>
          </cell>
          <cell r="G26">
            <v>0</v>
          </cell>
          <cell r="H26">
            <v>0</v>
          </cell>
          <cell r="I26">
            <v>0.15</v>
          </cell>
          <cell r="J26">
            <v>0</v>
          </cell>
          <cell r="K26">
            <v>0.15</v>
          </cell>
          <cell r="L26">
            <v>0</v>
          </cell>
          <cell r="M26">
            <v>0</v>
          </cell>
          <cell r="N26">
            <v>0</v>
          </cell>
          <cell r="O26">
            <v>0</v>
          </cell>
          <cell r="P26">
            <v>2</v>
          </cell>
          <cell r="Q26">
            <v>0</v>
          </cell>
          <cell r="R26">
            <v>0</v>
          </cell>
        </row>
        <row r="27">
          <cell r="A27">
            <v>22</v>
          </cell>
          <cell r="B27" t="str">
            <v>5S</v>
          </cell>
          <cell r="C27">
            <v>3</v>
          </cell>
          <cell r="D27">
            <v>2.11</v>
          </cell>
          <cell r="E27">
            <v>1</v>
          </cell>
          <cell r="F27">
            <v>0</v>
          </cell>
          <cell r="G27">
            <v>0</v>
          </cell>
          <cell r="H27">
            <v>0</v>
          </cell>
          <cell r="I27">
            <v>0.3</v>
          </cell>
          <cell r="J27">
            <v>0</v>
          </cell>
          <cell r="K27">
            <v>0.3</v>
          </cell>
          <cell r="L27">
            <v>0</v>
          </cell>
          <cell r="M27">
            <v>0</v>
          </cell>
          <cell r="N27">
            <v>0</v>
          </cell>
          <cell r="O27">
            <v>0</v>
          </cell>
          <cell r="P27">
            <v>2</v>
          </cell>
          <cell r="Q27">
            <v>0</v>
          </cell>
          <cell r="R27">
            <v>0</v>
          </cell>
        </row>
        <row r="28">
          <cell r="A28">
            <v>23</v>
          </cell>
          <cell r="B28" t="str">
            <v>5S</v>
          </cell>
          <cell r="C28">
            <v>3.5</v>
          </cell>
          <cell r="D28">
            <v>2.11</v>
          </cell>
          <cell r="E28">
            <v>1</v>
          </cell>
          <cell r="F28">
            <v>0</v>
          </cell>
          <cell r="G28">
            <v>0</v>
          </cell>
          <cell r="H28">
            <v>0</v>
          </cell>
          <cell r="I28">
            <v>0.3</v>
          </cell>
          <cell r="J28">
            <v>0</v>
          </cell>
          <cell r="K28">
            <v>0.3</v>
          </cell>
          <cell r="L28">
            <v>0</v>
          </cell>
          <cell r="M28">
            <v>0</v>
          </cell>
          <cell r="N28">
            <v>0</v>
          </cell>
          <cell r="O28">
            <v>0</v>
          </cell>
          <cell r="P28">
            <v>3</v>
          </cell>
          <cell r="Q28">
            <v>0</v>
          </cell>
          <cell r="R28">
            <v>0</v>
          </cell>
        </row>
        <row r="29">
          <cell r="A29">
            <v>24</v>
          </cell>
          <cell r="B29" t="str">
            <v>5S</v>
          </cell>
          <cell r="C29">
            <v>4</v>
          </cell>
          <cell r="D29">
            <v>2.11</v>
          </cell>
          <cell r="E29">
            <v>1</v>
          </cell>
          <cell r="F29">
            <v>0</v>
          </cell>
          <cell r="G29">
            <v>0</v>
          </cell>
          <cell r="H29">
            <v>0</v>
          </cell>
          <cell r="I29">
            <v>0.3</v>
          </cell>
          <cell r="J29">
            <v>0</v>
          </cell>
          <cell r="K29">
            <v>0.3</v>
          </cell>
          <cell r="L29">
            <v>0</v>
          </cell>
          <cell r="M29">
            <v>0</v>
          </cell>
          <cell r="N29">
            <v>0</v>
          </cell>
          <cell r="O29">
            <v>0</v>
          </cell>
          <cell r="P29">
            <v>3</v>
          </cell>
          <cell r="Q29">
            <v>0</v>
          </cell>
          <cell r="R29">
            <v>0</v>
          </cell>
        </row>
        <row r="30">
          <cell r="A30">
            <v>25</v>
          </cell>
          <cell r="B30" t="str">
            <v>5S</v>
          </cell>
          <cell r="C30">
            <v>5</v>
          </cell>
          <cell r="D30">
            <v>2.77</v>
          </cell>
          <cell r="E30">
            <v>1</v>
          </cell>
          <cell r="F30">
            <v>0</v>
          </cell>
          <cell r="G30">
            <v>0</v>
          </cell>
          <cell r="H30">
            <v>0</v>
          </cell>
          <cell r="I30">
            <v>0.3</v>
          </cell>
          <cell r="J30">
            <v>0</v>
          </cell>
          <cell r="K30">
            <v>0.3</v>
          </cell>
          <cell r="L30">
            <v>0</v>
          </cell>
          <cell r="M30">
            <v>0</v>
          </cell>
          <cell r="N30">
            <v>0</v>
          </cell>
          <cell r="O30">
            <v>0</v>
          </cell>
          <cell r="P30">
            <v>4</v>
          </cell>
          <cell r="Q30">
            <v>0</v>
          </cell>
          <cell r="R30">
            <v>0</v>
          </cell>
        </row>
        <row r="31">
          <cell r="A31" t="str">
            <v>5S</v>
          </cell>
          <cell r="B31" t="str">
            <v>5S</v>
          </cell>
          <cell r="C31">
            <v>6</v>
          </cell>
          <cell r="D31">
            <v>2.77</v>
          </cell>
          <cell r="E31">
            <v>1</v>
          </cell>
          <cell r="F31">
            <v>0</v>
          </cell>
          <cell r="G31">
            <v>0</v>
          </cell>
          <cell r="H31">
            <v>0</v>
          </cell>
          <cell r="I31">
            <v>0.45</v>
          </cell>
          <cell r="J31">
            <v>0</v>
          </cell>
          <cell r="K31">
            <v>0.45</v>
          </cell>
          <cell r="L31">
            <v>0</v>
          </cell>
          <cell r="M31">
            <v>0</v>
          </cell>
          <cell r="N31">
            <v>0</v>
          </cell>
          <cell r="O31">
            <v>0</v>
          </cell>
          <cell r="P31">
            <v>4</v>
          </cell>
          <cell r="Q31">
            <v>0</v>
          </cell>
          <cell r="R31">
            <v>0</v>
          </cell>
        </row>
        <row r="32">
          <cell r="A32">
            <v>27</v>
          </cell>
          <cell r="B32" t="str">
            <v>5S</v>
          </cell>
          <cell r="C32">
            <v>8</v>
          </cell>
          <cell r="D32">
            <v>2.77</v>
          </cell>
          <cell r="E32">
            <v>1</v>
          </cell>
          <cell r="F32">
            <v>0</v>
          </cell>
          <cell r="G32">
            <v>0</v>
          </cell>
          <cell r="H32">
            <v>0</v>
          </cell>
          <cell r="I32">
            <v>0.45</v>
          </cell>
          <cell r="J32">
            <v>0</v>
          </cell>
          <cell r="K32">
            <v>0.45</v>
          </cell>
          <cell r="L32">
            <v>0</v>
          </cell>
          <cell r="M32">
            <v>0</v>
          </cell>
          <cell r="N32">
            <v>0</v>
          </cell>
          <cell r="O32">
            <v>0</v>
          </cell>
          <cell r="P32">
            <v>4</v>
          </cell>
          <cell r="Q32">
            <v>0</v>
          </cell>
          <cell r="R32">
            <v>0</v>
          </cell>
        </row>
        <row r="33">
          <cell r="A33">
            <v>28</v>
          </cell>
          <cell r="B33" t="str">
            <v>5S</v>
          </cell>
          <cell r="C33">
            <v>10</v>
          </cell>
          <cell r="D33">
            <v>3.4</v>
          </cell>
          <cell r="E33">
            <v>1</v>
          </cell>
          <cell r="F33">
            <v>0</v>
          </cell>
          <cell r="G33">
            <v>0</v>
          </cell>
          <cell r="H33">
            <v>0</v>
          </cell>
          <cell r="I33">
            <v>0.9</v>
          </cell>
          <cell r="J33">
            <v>0</v>
          </cell>
          <cell r="K33">
            <v>0.9</v>
          </cell>
          <cell r="L33">
            <v>0</v>
          </cell>
          <cell r="M33">
            <v>0</v>
          </cell>
          <cell r="N33">
            <v>0</v>
          </cell>
          <cell r="O33">
            <v>0</v>
          </cell>
          <cell r="P33">
            <v>4</v>
          </cell>
          <cell r="Q33">
            <v>0</v>
          </cell>
          <cell r="R33">
            <v>0</v>
          </cell>
        </row>
        <row r="34">
          <cell r="A34">
            <v>29</v>
          </cell>
          <cell r="B34" t="str">
            <v>5S</v>
          </cell>
          <cell r="C34">
            <v>12</v>
          </cell>
          <cell r="D34">
            <v>3.96</v>
          </cell>
          <cell r="E34">
            <v>1</v>
          </cell>
          <cell r="F34">
            <v>0</v>
          </cell>
          <cell r="G34">
            <v>0</v>
          </cell>
          <cell r="H34">
            <v>0</v>
          </cell>
          <cell r="I34">
            <v>1.2</v>
          </cell>
          <cell r="J34">
            <v>0</v>
          </cell>
          <cell r="K34">
            <v>1.2</v>
          </cell>
          <cell r="L34">
            <v>0</v>
          </cell>
          <cell r="M34">
            <v>0</v>
          </cell>
          <cell r="N34">
            <v>0</v>
          </cell>
          <cell r="O34">
            <v>0</v>
          </cell>
          <cell r="P34">
            <v>6</v>
          </cell>
          <cell r="Q34">
            <v>0</v>
          </cell>
          <cell r="R34">
            <v>0</v>
          </cell>
        </row>
        <row r="35">
          <cell r="A35">
            <v>30</v>
          </cell>
          <cell r="B35" t="str">
            <v>5S</v>
          </cell>
          <cell r="C35">
            <v>14</v>
          </cell>
          <cell r="D35">
            <v>3.96</v>
          </cell>
          <cell r="E35">
            <v>1</v>
          </cell>
          <cell r="F35">
            <v>0</v>
          </cell>
          <cell r="G35">
            <v>0</v>
          </cell>
          <cell r="H35">
            <v>0</v>
          </cell>
          <cell r="I35">
            <v>1.34</v>
          </cell>
          <cell r="J35">
            <v>0</v>
          </cell>
          <cell r="K35">
            <v>1.34</v>
          </cell>
          <cell r="L35">
            <v>0</v>
          </cell>
          <cell r="M35">
            <v>0</v>
          </cell>
          <cell r="N35">
            <v>0</v>
          </cell>
          <cell r="O35">
            <v>0</v>
          </cell>
          <cell r="P35">
            <v>6</v>
          </cell>
          <cell r="Q35">
            <v>0</v>
          </cell>
          <cell r="R35">
            <v>0</v>
          </cell>
        </row>
        <row r="36">
          <cell r="A36">
            <v>31</v>
          </cell>
          <cell r="B36" t="str">
            <v>5S</v>
          </cell>
          <cell r="C36">
            <v>16</v>
          </cell>
          <cell r="D36">
            <v>4.1900000000000004</v>
          </cell>
          <cell r="E36">
            <v>1</v>
          </cell>
          <cell r="F36">
            <v>0</v>
          </cell>
          <cell r="G36">
            <v>0</v>
          </cell>
          <cell r="H36">
            <v>0</v>
          </cell>
          <cell r="I36">
            <v>1.65</v>
          </cell>
          <cell r="J36">
            <v>0</v>
          </cell>
          <cell r="K36">
            <v>1.65</v>
          </cell>
          <cell r="L36">
            <v>0</v>
          </cell>
          <cell r="M36">
            <v>0</v>
          </cell>
          <cell r="N36">
            <v>0</v>
          </cell>
          <cell r="O36">
            <v>0</v>
          </cell>
          <cell r="P36">
            <v>6</v>
          </cell>
          <cell r="Q36">
            <v>0</v>
          </cell>
          <cell r="R36">
            <v>0</v>
          </cell>
        </row>
        <row r="37">
          <cell r="A37">
            <v>32</v>
          </cell>
          <cell r="B37" t="str">
            <v>5S</v>
          </cell>
          <cell r="C37">
            <v>18</v>
          </cell>
          <cell r="D37">
            <v>4.1900000000000004</v>
          </cell>
          <cell r="E37">
            <v>1</v>
          </cell>
          <cell r="F37">
            <v>0</v>
          </cell>
          <cell r="G37">
            <v>0</v>
          </cell>
          <cell r="H37">
            <v>0</v>
          </cell>
          <cell r="I37">
            <v>1.8</v>
          </cell>
          <cell r="J37">
            <v>0</v>
          </cell>
          <cell r="K37">
            <v>1.8</v>
          </cell>
          <cell r="L37">
            <v>0</v>
          </cell>
          <cell r="M37">
            <v>0</v>
          </cell>
          <cell r="N37">
            <v>0</v>
          </cell>
          <cell r="O37">
            <v>0</v>
          </cell>
          <cell r="P37">
            <v>6</v>
          </cell>
          <cell r="Q37">
            <v>0</v>
          </cell>
          <cell r="R37">
            <v>0</v>
          </cell>
        </row>
        <row r="38">
          <cell r="A38">
            <v>33</v>
          </cell>
          <cell r="B38" t="str">
            <v>5S</v>
          </cell>
          <cell r="C38">
            <v>20</v>
          </cell>
          <cell r="D38">
            <v>4.78</v>
          </cell>
          <cell r="E38">
            <v>1</v>
          </cell>
          <cell r="F38">
            <v>0</v>
          </cell>
          <cell r="G38">
            <v>0</v>
          </cell>
          <cell r="H38">
            <v>0</v>
          </cell>
          <cell r="I38">
            <v>2.54</v>
          </cell>
          <cell r="J38">
            <v>0</v>
          </cell>
          <cell r="K38">
            <v>2.54</v>
          </cell>
          <cell r="L38">
            <v>0</v>
          </cell>
          <cell r="M38">
            <v>0</v>
          </cell>
          <cell r="N38">
            <v>0</v>
          </cell>
          <cell r="O38">
            <v>0</v>
          </cell>
          <cell r="P38">
            <v>7</v>
          </cell>
          <cell r="Q38">
            <v>0</v>
          </cell>
          <cell r="R38">
            <v>0</v>
          </cell>
        </row>
        <row r="39">
          <cell r="A39">
            <v>34</v>
          </cell>
          <cell r="B39" t="str">
            <v>5S</v>
          </cell>
          <cell r="C39">
            <v>22</v>
          </cell>
          <cell r="D39">
            <v>4.78</v>
          </cell>
          <cell r="E39">
            <v>1</v>
          </cell>
          <cell r="F39">
            <v>0</v>
          </cell>
          <cell r="G39">
            <v>0</v>
          </cell>
          <cell r="H39">
            <v>0</v>
          </cell>
          <cell r="I39">
            <v>2.69</v>
          </cell>
          <cell r="J39">
            <v>0</v>
          </cell>
          <cell r="K39">
            <v>2.69</v>
          </cell>
          <cell r="L39">
            <v>0</v>
          </cell>
          <cell r="M39">
            <v>0</v>
          </cell>
          <cell r="N39">
            <v>0</v>
          </cell>
          <cell r="O39">
            <v>0</v>
          </cell>
          <cell r="P39">
            <v>8</v>
          </cell>
          <cell r="Q39">
            <v>0</v>
          </cell>
          <cell r="R39">
            <v>0</v>
          </cell>
        </row>
        <row r="40">
          <cell r="A40">
            <v>35</v>
          </cell>
          <cell r="B40" t="str">
            <v>5S</v>
          </cell>
          <cell r="C40">
            <v>24</v>
          </cell>
          <cell r="D40">
            <v>5.54</v>
          </cell>
          <cell r="E40">
            <v>1</v>
          </cell>
          <cell r="F40">
            <v>0</v>
          </cell>
          <cell r="G40">
            <v>0</v>
          </cell>
          <cell r="H40">
            <v>0</v>
          </cell>
          <cell r="I40">
            <v>2.4300000000000002</v>
          </cell>
          <cell r="J40">
            <v>1.47</v>
          </cell>
          <cell r="K40">
            <v>3.9000000000000004</v>
          </cell>
          <cell r="L40">
            <v>0</v>
          </cell>
          <cell r="M40">
            <v>0</v>
          </cell>
          <cell r="N40">
            <v>0</v>
          </cell>
          <cell r="O40">
            <v>0</v>
          </cell>
          <cell r="P40">
            <v>8</v>
          </cell>
          <cell r="Q40">
            <v>0</v>
          </cell>
          <cell r="R40">
            <v>0</v>
          </cell>
        </row>
        <row r="41">
          <cell r="A41">
            <v>36</v>
          </cell>
          <cell r="B41" t="str">
            <v>5S</v>
          </cell>
          <cell r="C41">
            <v>30</v>
          </cell>
          <cell r="D41">
            <v>6.35</v>
          </cell>
          <cell r="E41">
            <v>1</v>
          </cell>
          <cell r="F41">
            <v>0</v>
          </cell>
          <cell r="G41">
            <v>0</v>
          </cell>
          <cell r="H41">
            <v>0</v>
          </cell>
          <cell r="I41">
            <v>3.04</v>
          </cell>
          <cell r="J41">
            <v>3.11</v>
          </cell>
          <cell r="K41">
            <v>6.15</v>
          </cell>
          <cell r="L41">
            <v>0</v>
          </cell>
          <cell r="M41">
            <v>0</v>
          </cell>
          <cell r="N41">
            <v>0</v>
          </cell>
          <cell r="O41">
            <v>0</v>
          </cell>
          <cell r="P41">
            <v>10</v>
          </cell>
          <cell r="Q41">
            <v>0</v>
          </cell>
          <cell r="R41">
            <v>0</v>
          </cell>
        </row>
        <row r="42">
          <cell r="A42">
            <v>37</v>
          </cell>
          <cell r="B42">
            <v>10</v>
          </cell>
          <cell r="C42">
            <v>14</v>
          </cell>
          <cell r="D42">
            <v>6.35</v>
          </cell>
          <cell r="E42">
            <v>1</v>
          </cell>
          <cell r="F42">
            <v>0</v>
          </cell>
          <cell r="G42">
            <v>0</v>
          </cell>
          <cell r="H42">
            <v>0</v>
          </cell>
          <cell r="I42">
            <v>1.42</v>
          </cell>
          <cell r="J42">
            <v>1.27</v>
          </cell>
          <cell r="K42">
            <v>2.69</v>
          </cell>
          <cell r="L42">
            <v>0</v>
          </cell>
          <cell r="M42">
            <v>0</v>
          </cell>
          <cell r="N42">
            <v>0</v>
          </cell>
          <cell r="O42">
            <v>0</v>
          </cell>
          <cell r="P42">
            <v>6</v>
          </cell>
          <cell r="Q42">
            <v>0</v>
          </cell>
          <cell r="R42">
            <v>0</v>
          </cell>
        </row>
        <row r="43">
          <cell r="A43">
            <v>38</v>
          </cell>
          <cell r="B43">
            <v>10</v>
          </cell>
          <cell r="C43">
            <v>16</v>
          </cell>
          <cell r="D43">
            <v>6.35</v>
          </cell>
          <cell r="E43">
            <v>1</v>
          </cell>
          <cell r="F43">
            <v>0</v>
          </cell>
          <cell r="G43">
            <v>0</v>
          </cell>
          <cell r="H43">
            <v>0</v>
          </cell>
          <cell r="I43">
            <v>1.62</v>
          </cell>
          <cell r="J43">
            <v>1.38</v>
          </cell>
          <cell r="K43">
            <v>3</v>
          </cell>
          <cell r="L43">
            <v>0</v>
          </cell>
          <cell r="M43">
            <v>0</v>
          </cell>
          <cell r="N43">
            <v>0</v>
          </cell>
          <cell r="O43">
            <v>0</v>
          </cell>
          <cell r="P43">
            <v>6</v>
          </cell>
          <cell r="Q43">
            <v>0</v>
          </cell>
          <cell r="R43">
            <v>0</v>
          </cell>
        </row>
        <row r="44">
          <cell r="A44">
            <v>39</v>
          </cell>
          <cell r="B44">
            <v>10</v>
          </cell>
          <cell r="C44">
            <v>18</v>
          </cell>
          <cell r="D44">
            <v>6.35</v>
          </cell>
          <cell r="E44">
            <v>1</v>
          </cell>
          <cell r="F44">
            <v>0</v>
          </cell>
          <cell r="G44">
            <v>0</v>
          </cell>
          <cell r="H44">
            <v>0</v>
          </cell>
          <cell r="I44">
            <v>1.82</v>
          </cell>
          <cell r="J44">
            <v>1.48</v>
          </cell>
          <cell r="K44">
            <v>3.3</v>
          </cell>
          <cell r="L44">
            <v>0</v>
          </cell>
          <cell r="M44">
            <v>0</v>
          </cell>
          <cell r="N44">
            <v>0</v>
          </cell>
          <cell r="O44">
            <v>0</v>
          </cell>
          <cell r="P44">
            <v>6</v>
          </cell>
          <cell r="Q44">
            <v>0</v>
          </cell>
          <cell r="R44">
            <v>0</v>
          </cell>
        </row>
        <row r="45">
          <cell r="A45" t="str">
            <v>AVE.</v>
          </cell>
          <cell r="B45">
            <v>10</v>
          </cell>
          <cell r="C45">
            <v>20</v>
          </cell>
          <cell r="D45">
            <v>6.35</v>
          </cell>
          <cell r="E45">
            <v>1</v>
          </cell>
          <cell r="F45">
            <v>0</v>
          </cell>
          <cell r="G45">
            <v>0</v>
          </cell>
          <cell r="H45">
            <v>0</v>
          </cell>
          <cell r="I45">
            <v>2.0299999999999998</v>
          </cell>
          <cell r="J45">
            <v>1.72</v>
          </cell>
          <cell r="K45">
            <v>3.75</v>
          </cell>
          <cell r="L45">
            <v>0</v>
          </cell>
          <cell r="M45">
            <v>0</v>
          </cell>
          <cell r="N45">
            <v>0</v>
          </cell>
          <cell r="O45">
            <v>0</v>
          </cell>
          <cell r="P45">
            <v>7</v>
          </cell>
          <cell r="Q45">
            <v>0</v>
          </cell>
          <cell r="R45">
            <v>0</v>
          </cell>
        </row>
        <row r="46">
          <cell r="B46">
            <v>10</v>
          </cell>
          <cell r="C46">
            <v>22</v>
          </cell>
          <cell r="D46">
            <v>6.35</v>
          </cell>
          <cell r="E46">
            <v>1</v>
          </cell>
          <cell r="F46">
            <v>2.23</v>
          </cell>
          <cell r="G46">
            <v>2.27</v>
          </cell>
          <cell r="H46">
            <v>4.5</v>
          </cell>
          <cell r="I46">
            <v>2.23</v>
          </cell>
          <cell r="J46">
            <v>2.27</v>
          </cell>
          <cell r="K46">
            <v>4.5</v>
          </cell>
          <cell r="L46">
            <v>8</v>
          </cell>
          <cell r="P46">
            <v>8</v>
          </cell>
        </row>
        <row r="47">
          <cell r="A47" t="str">
            <v>*** Reference Paper : Predict Fittings For Piping Systems ***</v>
          </cell>
          <cell r="B47">
            <v>10</v>
          </cell>
          <cell r="C47">
            <v>24</v>
          </cell>
          <cell r="D47">
            <v>6.35</v>
          </cell>
          <cell r="E47">
            <v>1</v>
          </cell>
          <cell r="F47">
            <v>2.4300000000000002</v>
          </cell>
          <cell r="G47">
            <v>2.0699999999999998</v>
          </cell>
          <cell r="H47">
            <v>4.5</v>
          </cell>
          <cell r="I47">
            <v>2.4300000000000002</v>
          </cell>
          <cell r="J47">
            <v>2.0699999999999998</v>
          </cell>
          <cell r="K47">
            <v>4.5</v>
          </cell>
          <cell r="L47">
            <v>8</v>
          </cell>
          <cell r="P47">
            <v>8</v>
          </cell>
          <cell r="R47" t="str">
            <v>Fc = 2.00  Manifold Type Piping</v>
          </cell>
        </row>
        <row r="48">
          <cell r="B48">
            <v>10</v>
          </cell>
          <cell r="C48">
            <v>26</v>
          </cell>
          <cell r="D48">
            <v>7.92</v>
          </cell>
          <cell r="E48">
            <v>1</v>
          </cell>
          <cell r="F48">
            <v>2.64</v>
          </cell>
          <cell r="G48">
            <v>4.8600000000000003</v>
          </cell>
          <cell r="H48">
            <v>7.5</v>
          </cell>
          <cell r="I48">
            <v>2.64</v>
          </cell>
          <cell r="J48">
            <v>4.8600000000000003</v>
          </cell>
          <cell r="K48">
            <v>7.5</v>
          </cell>
          <cell r="L48">
            <v>9</v>
          </cell>
          <cell r="P48">
            <v>9</v>
          </cell>
          <cell r="R48" t="str">
            <v xml:space="preserve">        (PIPE JOINT FACTOR Fp = 0%)</v>
          </cell>
        </row>
        <row r="49">
          <cell r="B49">
            <v>10</v>
          </cell>
          <cell r="C49">
            <v>28</v>
          </cell>
          <cell r="D49">
            <v>7.92</v>
          </cell>
          <cell r="E49">
            <v>1</v>
          </cell>
          <cell r="F49">
            <v>2.84</v>
          </cell>
          <cell r="G49">
            <v>5.26</v>
          </cell>
          <cell r="H49">
            <v>8.1</v>
          </cell>
          <cell r="I49">
            <v>2.84</v>
          </cell>
          <cell r="J49">
            <v>5.26</v>
          </cell>
          <cell r="K49">
            <v>8.1</v>
          </cell>
          <cell r="L49">
            <v>9</v>
          </cell>
          <cell r="P49">
            <v>9</v>
          </cell>
          <cell r="R49" t="str">
            <v>Fc = 4.00  Very Complex Manifolds</v>
          </cell>
        </row>
        <row r="50">
          <cell r="A50" t="str">
            <v>The number and types of pipe fittings can be estimated by this method</v>
          </cell>
          <cell r="B50">
            <v>10</v>
          </cell>
          <cell r="C50">
            <v>30</v>
          </cell>
          <cell r="D50">
            <v>7.92</v>
          </cell>
          <cell r="E50">
            <v>1</v>
          </cell>
          <cell r="F50">
            <v>3.04</v>
          </cell>
          <cell r="G50">
            <v>5.66</v>
          </cell>
          <cell r="H50">
            <v>8.6999999999999993</v>
          </cell>
          <cell r="I50">
            <v>3.04</v>
          </cell>
          <cell r="J50">
            <v>5.66</v>
          </cell>
          <cell r="K50">
            <v>8.6999999999999993</v>
          </cell>
          <cell r="L50">
            <v>10</v>
          </cell>
          <cell r="P50">
            <v>10</v>
          </cell>
          <cell r="R50" t="str">
            <v xml:space="preserve">        (PIPE JOINT FACTOR Fp = 0%)</v>
          </cell>
        </row>
        <row r="51">
          <cell r="A51" t="str">
            <v>long before the piping isometrics are done. Pipe size and a general idea</v>
          </cell>
          <cell r="B51">
            <v>10</v>
          </cell>
          <cell r="C51">
            <v>32</v>
          </cell>
          <cell r="D51">
            <v>7.92</v>
          </cell>
          <cell r="E51">
            <v>1</v>
          </cell>
          <cell r="F51">
            <v>3.24</v>
          </cell>
          <cell r="G51">
            <v>6.06</v>
          </cell>
          <cell r="H51">
            <v>9.3000000000000007</v>
          </cell>
          <cell r="I51">
            <v>3.24</v>
          </cell>
          <cell r="J51">
            <v>6.06</v>
          </cell>
          <cell r="K51">
            <v>9.3000000000000007</v>
          </cell>
          <cell r="L51">
            <v>11</v>
          </cell>
          <cell r="P51">
            <v>11</v>
          </cell>
        </row>
        <row r="52">
          <cell r="A52" t="str">
            <v>of the system's complexity are all that is needed.</v>
          </cell>
          <cell r="B52">
            <v>10</v>
          </cell>
          <cell r="C52">
            <v>34</v>
          </cell>
          <cell r="D52">
            <v>7.92</v>
          </cell>
          <cell r="E52">
            <v>1</v>
          </cell>
          <cell r="F52">
            <v>3.45</v>
          </cell>
          <cell r="G52">
            <v>6.44</v>
          </cell>
          <cell r="H52">
            <v>9.89</v>
          </cell>
          <cell r="I52">
            <v>3.45</v>
          </cell>
          <cell r="J52">
            <v>6.44</v>
          </cell>
          <cell r="K52">
            <v>9.89</v>
          </cell>
          <cell r="L52">
            <v>12</v>
          </cell>
          <cell r="P52">
            <v>12</v>
          </cell>
        </row>
        <row r="53">
          <cell r="B53">
            <v>10</v>
          </cell>
          <cell r="C53">
            <v>36</v>
          </cell>
          <cell r="D53">
            <v>7.92</v>
          </cell>
          <cell r="E53">
            <v>1</v>
          </cell>
          <cell r="F53">
            <v>3.65</v>
          </cell>
          <cell r="G53">
            <v>6.84</v>
          </cell>
          <cell r="H53">
            <v>10.49</v>
          </cell>
          <cell r="I53">
            <v>3.65</v>
          </cell>
          <cell r="J53">
            <v>6.84</v>
          </cell>
          <cell r="K53">
            <v>10.49</v>
          </cell>
          <cell r="L53">
            <v>12</v>
          </cell>
          <cell r="P53">
            <v>12</v>
          </cell>
        </row>
        <row r="54">
          <cell r="B54" t="str">
            <v>10S</v>
          </cell>
          <cell r="C54">
            <v>0.125</v>
          </cell>
          <cell r="D54">
            <v>1.24</v>
          </cell>
          <cell r="E54">
            <v>1</v>
          </cell>
          <cell r="F54">
            <v>7.0000000000000007E-2</v>
          </cell>
          <cell r="G54">
            <v>7.0000000000000007E-2</v>
          </cell>
          <cell r="H54">
            <v>2</v>
          </cell>
          <cell r="I54">
            <v>7.0000000000000007E-2</v>
          </cell>
          <cell r="J54">
            <v>7.0000000000000007E-2</v>
          </cell>
          <cell r="K54">
            <v>7.0000000000000007E-2</v>
          </cell>
          <cell r="P54">
            <v>2</v>
          </cell>
        </row>
        <row r="55">
          <cell r="B55" t="str">
            <v>10S</v>
          </cell>
          <cell r="C55">
            <v>0.125</v>
          </cell>
          <cell r="D55">
            <v>1.24</v>
          </cell>
          <cell r="E55">
            <v>1</v>
          </cell>
          <cell r="F55">
            <v>7.0000000000000007E-2</v>
          </cell>
          <cell r="G55">
            <v>7.0000000000000007E-2</v>
          </cell>
          <cell r="H55">
            <v>2</v>
          </cell>
          <cell r="I55">
            <v>7.0000000000000007E-2</v>
          </cell>
          <cell r="J55">
            <v>7.0000000000000007E-2</v>
          </cell>
          <cell r="K55">
            <v>7.0000000000000007E-2</v>
          </cell>
          <cell r="P55">
            <v>2</v>
          </cell>
          <cell r="Q55" t="str">
            <v xml:space="preserve">S_x0001_N_x0002_1a_x0000__x0017_T«n nÒn b»ng c¸t ®Çm kü_x0002_m3_x0000_%X©y mãng ®¸ </v>
          </cell>
        </row>
        <row r="56">
          <cell r="B56" t="str">
            <v>10S</v>
          </cell>
          <cell r="C56">
            <v>0.125</v>
          </cell>
          <cell r="D56">
            <v>1.24</v>
          </cell>
          <cell r="E56">
            <v>1</v>
          </cell>
          <cell r="F56">
            <v>7.0000000000000007E-2</v>
          </cell>
          <cell r="G56">
            <v>7.0000000000000007E-2</v>
          </cell>
          <cell r="H56">
            <v>2</v>
          </cell>
          <cell r="I56">
            <v>7.0000000000000007E-2</v>
          </cell>
          <cell r="J56">
            <v>7.0000000000000007E-2</v>
          </cell>
          <cell r="K56">
            <v>7.0000000000000007E-2</v>
          </cell>
          <cell r="P56">
            <v>2</v>
          </cell>
        </row>
        <row r="57">
          <cell r="B57" t="str">
            <v>10S</v>
          </cell>
          <cell r="C57">
            <v>0.25</v>
          </cell>
          <cell r="D57">
            <v>1.65</v>
          </cell>
          <cell r="E57">
            <v>1</v>
          </cell>
          <cell r="F57">
            <v>7.0000000000000007E-2</v>
          </cell>
          <cell r="G57">
            <v>7.0000000000000007E-2</v>
          </cell>
          <cell r="H57">
            <v>2</v>
          </cell>
          <cell r="I57">
            <v>7.0000000000000007E-2</v>
          </cell>
          <cell r="J57">
            <v>7.0000000000000007E-2</v>
          </cell>
          <cell r="K57">
            <v>7.0000000000000007E-2</v>
          </cell>
          <cell r="P57">
            <v>2</v>
          </cell>
        </row>
        <row r="58">
          <cell r="B58" t="str">
            <v>10S</v>
          </cell>
          <cell r="C58">
            <v>0.25</v>
          </cell>
          <cell r="D58">
            <v>1.65</v>
          </cell>
          <cell r="E58">
            <v>1</v>
          </cell>
          <cell r="F58">
            <v>7.0000000000000007E-2</v>
          </cell>
          <cell r="G58">
            <v>7.0000000000000007E-2</v>
          </cell>
          <cell r="H58">
            <v>2</v>
          </cell>
          <cell r="I58">
            <v>7.0000000000000007E-2</v>
          </cell>
          <cell r="J58">
            <v>7.0000000000000007E-2</v>
          </cell>
          <cell r="K58">
            <v>7.0000000000000007E-2</v>
          </cell>
          <cell r="P58">
            <v>2</v>
          </cell>
        </row>
        <row r="59">
          <cell r="B59" t="str">
            <v>10S</v>
          </cell>
          <cell r="C59">
            <v>0.25</v>
          </cell>
          <cell r="D59">
            <v>1.65</v>
          </cell>
          <cell r="E59">
            <v>1</v>
          </cell>
          <cell r="F59">
            <v>7.0000000000000007E-2</v>
          </cell>
          <cell r="G59">
            <v>7.0000000000000007E-2</v>
          </cell>
          <cell r="H59">
            <v>2</v>
          </cell>
          <cell r="I59">
            <v>7.0000000000000007E-2</v>
          </cell>
          <cell r="J59">
            <v>7.0000000000000007E-2</v>
          </cell>
          <cell r="K59">
            <v>7.0000000000000007E-2</v>
          </cell>
          <cell r="P59">
            <v>2</v>
          </cell>
        </row>
        <row r="60">
          <cell r="B60" t="str">
            <v>10S</v>
          </cell>
          <cell r="C60">
            <v>0.375</v>
          </cell>
          <cell r="D60">
            <v>1.65</v>
          </cell>
          <cell r="E60">
            <v>1</v>
          </cell>
          <cell r="F60">
            <v>7.0000000000000007E-2</v>
          </cell>
          <cell r="G60">
            <v>0</v>
          </cell>
          <cell r="H60">
            <v>7.0000000000000007E-2</v>
          </cell>
          <cell r="I60">
            <v>7.0000000000000007E-2</v>
          </cell>
          <cell r="J60">
            <v>0</v>
          </cell>
          <cell r="K60">
            <v>7.0000000000000007E-2</v>
          </cell>
          <cell r="L60">
            <v>2</v>
          </cell>
          <cell r="P60">
            <v>2</v>
          </cell>
        </row>
        <row r="61">
          <cell r="B61" t="str">
            <v>10S</v>
          </cell>
          <cell r="C61">
            <v>0.375</v>
          </cell>
          <cell r="D61">
            <v>1.65</v>
          </cell>
          <cell r="E61">
            <v>1</v>
          </cell>
          <cell r="F61">
            <v>7.0000000000000007E-2</v>
          </cell>
          <cell r="G61">
            <v>0</v>
          </cell>
          <cell r="H61">
            <v>7.0000000000000007E-2</v>
          </cell>
          <cell r="I61">
            <v>7.0000000000000007E-2</v>
          </cell>
          <cell r="J61">
            <v>0</v>
          </cell>
          <cell r="K61">
            <v>7.0000000000000007E-2</v>
          </cell>
          <cell r="L61">
            <v>2</v>
          </cell>
          <cell r="P61">
            <v>2</v>
          </cell>
        </row>
        <row r="62">
          <cell r="B62" t="str">
            <v>10S</v>
          </cell>
          <cell r="C62">
            <v>0.375</v>
          </cell>
          <cell r="D62">
            <v>1.65</v>
          </cell>
          <cell r="E62">
            <v>1</v>
          </cell>
          <cell r="F62">
            <v>7.0000000000000007E-2</v>
          </cell>
          <cell r="G62">
            <v>0</v>
          </cell>
          <cell r="H62">
            <v>7.0000000000000007E-2</v>
          </cell>
          <cell r="I62">
            <v>7.0000000000000007E-2</v>
          </cell>
          <cell r="J62">
            <v>0</v>
          </cell>
          <cell r="K62">
            <v>7.0000000000000007E-2</v>
          </cell>
          <cell r="L62">
            <v>2</v>
          </cell>
          <cell r="P62">
            <v>2</v>
          </cell>
        </row>
        <row r="63">
          <cell r="B63" t="str">
            <v>10S</v>
          </cell>
          <cell r="C63">
            <v>0.5</v>
          </cell>
          <cell r="D63">
            <v>2.11</v>
          </cell>
          <cell r="E63">
            <v>1</v>
          </cell>
          <cell r="F63">
            <v>7.0000000000000007E-2</v>
          </cell>
          <cell r="G63">
            <v>0</v>
          </cell>
          <cell r="H63">
            <v>7.0000000000000007E-2</v>
          </cell>
          <cell r="I63">
            <v>7.0000000000000007E-2</v>
          </cell>
          <cell r="J63">
            <v>0</v>
          </cell>
          <cell r="K63">
            <v>7.0000000000000007E-2</v>
          </cell>
          <cell r="L63">
            <v>2</v>
          </cell>
          <cell r="P63">
            <v>2</v>
          </cell>
        </row>
        <row r="64">
          <cell r="B64" t="str">
            <v>10S</v>
          </cell>
          <cell r="C64">
            <v>0.5</v>
          </cell>
          <cell r="D64">
            <v>2.11</v>
          </cell>
          <cell r="E64">
            <v>1</v>
          </cell>
          <cell r="F64">
            <v>7.0000000000000007E-2</v>
          </cell>
          <cell r="G64">
            <v>0</v>
          </cell>
          <cell r="H64">
            <v>7.0000000000000007E-2</v>
          </cell>
          <cell r="I64">
            <v>7.0000000000000007E-2</v>
          </cell>
          <cell r="J64">
            <v>0</v>
          </cell>
          <cell r="K64">
            <v>7.0000000000000007E-2</v>
          </cell>
          <cell r="L64">
            <v>2</v>
          </cell>
          <cell r="P64">
            <v>2</v>
          </cell>
        </row>
        <row r="65">
          <cell r="B65" t="str">
            <v>10S</v>
          </cell>
          <cell r="C65">
            <v>0.5</v>
          </cell>
          <cell r="D65">
            <v>2.11</v>
          </cell>
          <cell r="E65">
            <v>1</v>
          </cell>
          <cell r="F65">
            <v>7.0000000000000007E-2</v>
          </cell>
          <cell r="G65">
            <v>0</v>
          </cell>
          <cell r="H65">
            <v>7.0000000000000007E-2</v>
          </cell>
          <cell r="I65">
            <v>7.0000000000000007E-2</v>
          </cell>
          <cell r="J65">
            <v>0</v>
          </cell>
          <cell r="K65">
            <v>7.0000000000000007E-2</v>
          </cell>
          <cell r="L65">
            <v>2</v>
          </cell>
          <cell r="P65">
            <v>2</v>
          </cell>
        </row>
        <row r="66">
          <cell r="B66" t="str">
            <v>10S</v>
          </cell>
          <cell r="C66">
            <v>0.75</v>
          </cell>
          <cell r="D66">
            <v>2.11</v>
          </cell>
          <cell r="E66">
            <v>1</v>
          </cell>
          <cell r="F66">
            <v>7.0000000000000007E-2</v>
          </cell>
          <cell r="G66">
            <v>0</v>
          </cell>
          <cell r="H66">
            <v>7.0000000000000007E-2</v>
          </cell>
          <cell r="I66">
            <v>7.0000000000000007E-2</v>
          </cell>
          <cell r="J66">
            <v>0</v>
          </cell>
          <cell r="K66">
            <v>7.0000000000000007E-2</v>
          </cell>
          <cell r="L66">
            <v>2</v>
          </cell>
          <cell r="P66">
            <v>2</v>
          </cell>
        </row>
        <row r="67">
          <cell r="B67" t="str">
            <v>10S</v>
          </cell>
          <cell r="C67">
            <v>0.75</v>
          </cell>
          <cell r="D67">
            <v>2.11</v>
          </cell>
          <cell r="E67">
            <v>1</v>
          </cell>
          <cell r="F67">
            <v>7.0000000000000007E-2</v>
          </cell>
          <cell r="G67">
            <v>0</v>
          </cell>
          <cell r="H67">
            <v>7.0000000000000007E-2</v>
          </cell>
          <cell r="I67">
            <v>7.0000000000000007E-2</v>
          </cell>
          <cell r="J67">
            <v>0</v>
          </cell>
          <cell r="K67">
            <v>7.0000000000000007E-2</v>
          </cell>
          <cell r="L67">
            <v>2</v>
          </cell>
          <cell r="P67">
            <v>2</v>
          </cell>
        </row>
        <row r="68">
          <cell r="B68" t="str">
            <v>10S</v>
          </cell>
          <cell r="C68">
            <v>0.75</v>
          </cell>
          <cell r="D68">
            <v>2.11</v>
          </cell>
          <cell r="E68">
            <v>1</v>
          </cell>
          <cell r="F68">
            <v>7.0000000000000007E-2</v>
          </cell>
          <cell r="G68">
            <v>0</v>
          </cell>
          <cell r="H68">
            <v>7.0000000000000007E-2</v>
          </cell>
          <cell r="I68">
            <v>7.0000000000000007E-2</v>
          </cell>
          <cell r="J68">
            <v>0</v>
          </cell>
          <cell r="K68">
            <v>7.0000000000000007E-2</v>
          </cell>
          <cell r="L68">
            <v>2</v>
          </cell>
          <cell r="P68">
            <v>2</v>
          </cell>
        </row>
        <row r="69">
          <cell r="B69" t="str">
            <v>10S</v>
          </cell>
          <cell r="C69">
            <v>1</v>
          </cell>
          <cell r="D69">
            <v>2.77</v>
          </cell>
          <cell r="E69">
            <v>1</v>
          </cell>
          <cell r="F69">
            <v>0.12</v>
          </cell>
          <cell r="G69">
            <v>0</v>
          </cell>
          <cell r="H69">
            <v>0.12</v>
          </cell>
          <cell r="I69">
            <v>0.12</v>
          </cell>
          <cell r="J69">
            <v>0</v>
          </cell>
          <cell r="K69">
            <v>0.12</v>
          </cell>
          <cell r="L69">
            <v>2</v>
          </cell>
          <cell r="P69">
            <v>2</v>
          </cell>
        </row>
        <row r="70">
          <cell r="B70" t="str">
            <v>10S</v>
          </cell>
          <cell r="C70">
            <v>1</v>
          </cell>
          <cell r="D70">
            <v>2.77</v>
          </cell>
          <cell r="E70">
            <v>1</v>
          </cell>
          <cell r="F70">
            <v>0.12</v>
          </cell>
          <cell r="G70">
            <v>0</v>
          </cell>
          <cell r="H70">
            <v>0.12</v>
          </cell>
          <cell r="I70">
            <v>0.12</v>
          </cell>
          <cell r="J70">
            <v>0</v>
          </cell>
          <cell r="K70">
            <v>0.12</v>
          </cell>
          <cell r="L70">
            <v>2</v>
          </cell>
          <cell r="P70">
            <v>2</v>
          </cell>
        </row>
        <row r="71">
          <cell r="B71" t="str">
            <v>10S</v>
          </cell>
          <cell r="C71">
            <v>1</v>
          </cell>
          <cell r="D71">
            <v>2.77</v>
          </cell>
          <cell r="E71">
            <v>1</v>
          </cell>
          <cell r="F71">
            <v>0.12</v>
          </cell>
          <cell r="G71">
            <v>0</v>
          </cell>
          <cell r="H71">
            <v>0.12</v>
          </cell>
          <cell r="I71">
            <v>0.12</v>
          </cell>
          <cell r="J71">
            <v>0</v>
          </cell>
          <cell r="K71">
            <v>0.12</v>
          </cell>
          <cell r="L71">
            <v>2</v>
          </cell>
          <cell r="P71">
            <v>2</v>
          </cell>
        </row>
        <row r="72">
          <cell r="B72" t="str">
            <v>10S</v>
          </cell>
          <cell r="C72">
            <v>1.25</v>
          </cell>
          <cell r="D72">
            <v>2.77</v>
          </cell>
          <cell r="E72">
            <v>1</v>
          </cell>
          <cell r="F72">
            <v>0.15</v>
          </cell>
          <cell r="G72">
            <v>0.15</v>
          </cell>
          <cell r="H72">
            <v>2</v>
          </cell>
          <cell r="I72">
            <v>0.15</v>
          </cell>
          <cell r="J72">
            <v>0.15</v>
          </cell>
          <cell r="K72">
            <v>0.15</v>
          </cell>
          <cell r="P72">
            <v>2</v>
          </cell>
        </row>
        <row r="73">
          <cell r="B73" t="str">
            <v>10S</v>
          </cell>
          <cell r="C73">
            <v>1.25</v>
          </cell>
          <cell r="D73">
            <v>2.77</v>
          </cell>
          <cell r="E73">
            <v>1</v>
          </cell>
          <cell r="F73">
            <v>0.15</v>
          </cell>
          <cell r="G73">
            <v>0.15</v>
          </cell>
          <cell r="H73">
            <v>2</v>
          </cell>
          <cell r="I73">
            <v>0.15</v>
          </cell>
          <cell r="J73">
            <v>0.15</v>
          </cell>
          <cell r="K73">
            <v>0.15</v>
          </cell>
          <cell r="P73">
            <v>2</v>
          </cell>
        </row>
        <row r="74">
          <cell r="B74" t="str">
            <v>10S</v>
          </cell>
          <cell r="C74">
            <v>1.25</v>
          </cell>
          <cell r="D74">
            <v>2.77</v>
          </cell>
          <cell r="E74">
            <v>1</v>
          </cell>
          <cell r="F74">
            <v>0.15</v>
          </cell>
          <cell r="G74">
            <v>0.15</v>
          </cell>
          <cell r="H74">
            <v>2</v>
          </cell>
          <cell r="I74">
            <v>0.15</v>
          </cell>
          <cell r="J74">
            <v>0.15</v>
          </cell>
          <cell r="K74">
            <v>0.15</v>
          </cell>
          <cell r="P74">
            <v>2</v>
          </cell>
        </row>
        <row r="75">
          <cell r="B75" t="str">
            <v>10S</v>
          </cell>
          <cell r="C75">
            <v>1.5</v>
          </cell>
          <cell r="D75">
            <v>2.77</v>
          </cell>
          <cell r="E75">
            <v>1</v>
          </cell>
          <cell r="F75">
            <v>0.15</v>
          </cell>
          <cell r="G75">
            <v>0</v>
          </cell>
          <cell r="H75">
            <v>0.15</v>
          </cell>
          <cell r="I75">
            <v>0.15</v>
          </cell>
          <cell r="J75">
            <v>0</v>
          </cell>
          <cell r="K75">
            <v>0.15</v>
          </cell>
          <cell r="L75">
            <v>2</v>
          </cell>
          <cell r="P75">
            <v>2</v>
          </cell>
        </row>
        <row r="76">
          <cell r="B76" t="str">
            <v>10S</v>
          </cell>
          <cell r="C76">
            <v>1.5</v>
          </cell>
          <cell r="D76">
            <v>2.77</v>
          </cell>
          <cell r="E76">
            <v>1</v>
          </cell>
          <cell r="F76">
            <v>0.15</v>
          </cell>
          <cell r="G76">
            <v>0</v>
          </cell>
          <cell r="H76">
            <v>0.15</v>
          </cell>
          <cell r="I76">
            <v>0.15</v>
          </cell>
          <cell r="J76">
            <v>0</v>
          </cell>
          <cell r="K76">
            <v>0.15</v>
          </cell>
          <cell r="L76">
            <v>2</v>
          </cell>
          <cell r="P76">
            <v>2</v>
          </cell>
        </row>
        <row r="77">
          <cell r="B77" t="str">
            <v>10S</v>
          </cell>
          <cell r="C77">
            <v>1.5</v>
          </cell>
          <cell r="D77">
            <v>2.77</v>
          </cell>
          <cell r="E77">
            <v>1</v>
          </cell>
          <cell r="F77">
            <v>0.15</v>
          </cell>
          <cell r="G77">
            <v>0</v>
          </cell>
          <cell r="H77">
            <v>0.15</v>
          </cell>
          <cell r="I77">
            <v>0.15</v>
          </cell>
          <cell r="J77">
            <v>0</v>
          </cell>
          <cell r="K77">
            <v>0.15</v>
          </cell>
          <cell r="L77">
            <v>2</v>
          </cell>
          <cell r="P77">
            <v>2</v>
          </cell>
        </row>
        <row r="78">
          <cell r="B78" t="str">
            <v>10S</v>
          </cell>
          <cell r="C78">
            <v>2</v>
          </cell>
          <cell r="D78">
            <v>2.77</v>
          </cell>
          <cell r="E78">
            <v>1</v>
          </cell>
          <cell r="F78">
            <v>0.15</v>
          </cell>
          <cell r="G78">
            <v>0</v>
          </cell>
          <cell r="H78">
            <v>0.15</v>
          </cell>
          <cell r="I78">
            <v>0.15</v>
          </cell>
          <cell r="J78">
            <v>0</v>
          </cell>
          <cell r="K78">
            <v>0.15</v>
          </cell>
          <cell r="L78">
            <v>2</v>
          </cell>
          <cell r="P78">
            <v>2</v>
          </cell>
        </row>
        <row r="79">
          <cell r="B79" t="str">
            <v>10S</v>
          </cell>
          <cell r="C79">
            <v>2</v>
          </cell>
          <cell r="D79">
            <v>2.77</v>
          </cell>
          <cell r="E79">
            <v>1</v>
          </cell>
          <cell r="F79">
            <v>0.15</v>
          </cell>
          <cell r="G79">
            <v>0</v>
          </cell>
          <cell r="H79">
            <v>0.15</v>
          </cell>
          <cell r="I79">
            <v>0.15</v>
          </cell>
          <cell r="J79">
            <v>0</v>
          </cell>
          <cell r="K79">
            <v>0.15</v>
          </cell>
          <cell r="L79">
            <v>2</v>
          </cell>
          <cell r="P79">
            <v>2</v>
          </cell>
        </row>
        <row r="80">
          <cell r="B80" t="str">
            <v>10S</v>
          </cell>
          <cell r="C80">
            <v>2</v>
          </cell>
          <cell r="D80">
            <v>2.77</v>
          </cell>
          <cell r="E80">
            <v>1</v>
          </cell>
          <cell r="F80">
            <v>0.15</v>
          </cell>
          <cell r="G80">
            <v>0</v>
          </cell>
          <cell r="H80">
            <v>0.15</v>
          </cell>
          <cell r="I80">
            <v>0.15</v>
          </cell>
          <cell r="J80">
            <v>0</v>
          </cell>
          <cell r="K80">
            <v>0.15</v>
          </cell>
          <cell r="L80">
            <v>2</v>
          </cell>
          <cell r="P80">
            <v>2</v>
          </cell>
        </row>
        <row r="81">
          <cell r="B81" t="str">
            <v>10S</v>
          </cell>
          <cell r="C81">
            <v>2.5</v>
          </cell>
          <cell r="D81">
            <v>3.05</v>
          </cell>
          <cell r="E81">
            <v>1</v>
          </cell>
          <cell r="F81">
            <v>0.15</v>
          </cell>
          <cell r="G81">
            <v>0</v>
          </cell>
          <cell r="H81">
            <v>0.15</v>
          </cell>
          <cell r="I81">
            <v>0.15</v>
          </cell>
          <cell r="J81">
            <v>0</v>
          </cell>
          <cell r="K81">
            <v>0.15</v>
          </cell>
          <cell r="L81">
            <v>2</v>
          </cell>
          <cell r="O81">
            <v>2</v>
          </cell>
          <cell r="P81">
            <v>2</v>
          </cell>
        </row>
        <row r="82">
          <cell r="B82" t="str">
            <v>10S</v>
          </cell>
          <cell r="C82">
            <v>3</v>
          </cell>
          <cell r="D82">
            <v>3.05</v>
          </cell>
          <cell r="E82">
            <v>1</v>
          </cell>
          <cell r="F82">
            <v>0.3</v>
          </cell>
          <cell r="G82">
            <v>0</v>
          </cell>
          <cell r="H82">
            <v>0.3</v>
          </cell>
          <cell r="I82">
            <v>0.3</v>
          </cell>
          <cell r="J82">
            <v>0</v>
          </cell>
          <cell r="K82">
            <v>0.3</v>
          </cell>
          <cell r="L82">
            <v>2</v>
          </cell>
          <cell r="P82">
            <v>2</v>
          </cell>
        </row>
        <row r="83">
          <cell r="B83" t="str">
            <v>10S</v>
          </cell>
          <cell r="C83">
            <v>3.5</v>
          </cell>
          <cell r="D83">
            <v>3.05</v>
          </cell>
          <cell r="E83">
            <v>1</v>
          </cell>
          <cell r="F83">
            <v>0.3</v>
          </cell>
          <cell r="G83">
            <v>0.3</v>
          </cell>
          <cell r="H83">
            <v>3</v>
          </cell>
          <cell r="I83">
            <v>0.3</v>
          </cell>
          <cell r="J83">
            <v>0.3</v>
          </cell>
          <cell r="K83">
            <v>0.3</v>
          </cell>
          <cell r="P83">
            <v>3</v>
          </cell>
        </row>
        <row r="84">
          <cell r="B84" t="str">
            <v>10S</v>
          </cell>
          <cell r="C84">
            <v>4</v>
          </cell>
          <cell r="D84">
            <v>3.05</v>
          </cell>
          <cell r="E84">
            <v>1</v>
          </cell>
          <cell r="F84">
            <v>0.45</v>
          </cell>
          <cell r="G84">
            <v>0</v>
          </cell>
          <cell r="H84">
            <v>0.45</v>
          </cell>
          <cell r="I84">
            <v>0.45</v>
          </cell>
          <cell r="J84">
            <v>0</v>
          </cell>
          <cell r="K84">
            <v>0.45</v>
          </cell>
          <cell r="L84">
            <v>3</v>
          </cell>
          <cell r="P84">
            <v>3</v>
          </cell>
        </row>
        <row r="85">
          <cell r="B85" t="str">
            <v>10S</v>
          </cell>
          <cell r="C85">
            <v>5</v>
          </cell>
          <cell r="D85">
            <v>3.4</v>
          </cell>
          <cell r="E85">
            <v>1</v>
          </cell>
          <cell r="F85">
            <v>0.45</v>
          </cell>
          <cell r="G85">
            <v>0.45</v>
          </cell>
          <cell r="H85">
            <v>4</v>
          </cell>
          <cell r="I85">
            <v>0.45</v>
          </cell>
          <cell r="J85">
            <v>0.45</v>
          </cell>
          <cell r="K85">
            <v>0.45</v>
          </cell>
          <cell r="P85">
            <v>4</v>
          </cell>
        </row>
        <row r="86">
          <cell r="B86" t="str">
            <v>10S</v>
          </cell>
          <cell r="C86">
            <v>6</v>
          </cell>
          <cell r="D86">
            <v>3.4</v>
          </cell>
          <cell r="E86">
            <v>1</v>
          </cell>
          <cell r="F86">
            <v>0.6</v>
          </cell>
          <cell r="G86">
            <v>0</v>
          </cell>
          <cell r="H86">
            <v>0.6</v>
          </cell>
          <cell r="I86">
            <v>0.6</v>
          </cell>
          <cell r="J86">
            <v>0</v>
          </cell>
          <cell r="K86">
            <v>0.6</v>
          </cell>
          <cell r="L86">
            <v>4</v>
          </cell>
          <cell r="P86">
            <v>4</v>
          </cell>
        </row>
        <row r="87">
          <cell r="B87" t="str">
            <v>10S</v>
          </cell>
          <cell r="C87">
            <v>8</v>
          </cell>
          <cell r="D87">
            <v>3.76</v>
          </cell>
          <cell r="E87">
            <v>1</v>
          </cell>
          <cell r="F87">
            <v>0.6</v>
          </cell>
          <cell r="G87">
            <v>0</v>
          </cell>
          <cell r="H87">
            <v>0.6</v>
          </cell>
          <cell r="I87">
            <v>0.6</v>
          </cell>
          <cell r="J87">
            <v>0</v>
          </cell>
          <cell r="K87">
            <v>0.6</v>
          </cell>
          <cell r="L87">
            <v>4</v>
          </cell>
          <cell r="P87">
            <v>4</v>
          </cell>
        </row>
        <row r="88">
          <cell r="B88" t="str">
            <v>10S</v>
          </cell>
          <cell r="C88">
            <v>10</v>
          </cell>
          <cell r="D88">
            <v>4.1900000000000004</v>
          </cell>
          <cell r="E88">
            <v>1</v>
          </cell>
          <cell r="F88">
            <v>1.2</v>
          </cell>
          <cell r="G88">
            <v>0</v>
          </cell>
          <cell r="H88">
            <v>1.2</v>
          </cell>
          <cell r="I88">
            <v>1.2</v>
          </cell>
          <cell r="J88">
            <v>0</v>
          </cell>
          <cell r="K88">
            <v>1.2</v>
          </cell>
          <cell r="L88">
            <v>4</v>
          </cell>
          <cell r="P88">
            <v>4</v>
          </cell>
        </row>
        <row r="89">
          <cell r="B89" t="str">
            <v>10S</v>
          </cell>
          <cell r="C89">
            <v>12</v>
          </cell>
          <cell r="D89">
            <v>4.57</v>
          </cell>
          <cell r="E89">
            <v>1</v>
          </cell>
          <cell r="F89">
            <v>1.5</v>
          </cell>
          <cell r="G89">
            <v>0</v>
          </cell>
          <cell r="H89">
            <v>1.5</v>
          </cell>
          <cell r="I89">
            <v>1.5</v>
          </cell>
          <cell r="J89">
            <v>0</v>
          </cell>
          <cell r="K89">
            <v>1.5</v>
          </cell>
          <cell r="L89">
            <v>6</v>
          </cell>
          <cell r="P89">
            <v>6</v>
          </cell>
        </row>
        <row r="90">
          <cell r="B90" t="str">
            <v>10S</v>
          </cell>
          <cell r="C90">
            <v>14</v>
          </cell>
          <cell r="D90">
            <v>4.78</v>
          </cell>
          <cell r="E90">
            <v>1</v>
          </cell>
          <cell r="F90">
            <v>0</v>
          </cell>
          <cell r="G90">
            <v>0</v>
          </cell>
          <cell r="H90">
            <v>2.2251287283221441E-307</v>
          </cell>
          <cell r="I90">
            <v>1.65</v>
          </cell>
          <cell r="J90">
            <v>0</v>
          </cell>
          <cell r="K90">
            <v>1.65</v>
          </cell>
          <cell r="L90">
            <v>6</v>
          </cell>
          <cell r="P90">
            <v>6</v>
          </cell>
        </row>
        <row r="91">
          <cell r="B91" t="str">
            <v>10S</v>
          </cell>
          <cell r="C91">
            <v>16</v>
          </cell>
          <cell r="D91">
            <v>4.78</v>
          </cell>
          <cell r="E91">
            <v>1</v>
          </cell>
          <cell r="F91">
            <v>1.95</v>
          </cell>
          <cell r="G91">
            <v>0</v>
          </cell>
          <cell r="H91">
            <v>1.95</v>
          </cell>
          <cell r="I91">
            <v>1.95</v>
          </cell>
          <cell r="J91">
            <v>0</v>
          </cell>
          <cell r="K91">
            <v>1.95</v>
          </cell>
          <cell r="L91">
            <v>6</v>
          </cell>
          <cell r="P91">
            <v>6</v>
          </cell>
        </row>
        <row r="92">
          <cell r="B92" t="str">
            <v>10S</v>
          </cell>
          <cell r="C92">
            <v>18</v>
          </cell>
          <cell r="D92">
            <v>4.78</v>
          </cell>
          <cell r="E92">
            <v>1</v>
          </cell>
          <cell r="F92">
            <v>2.25</v>
          </cell>
          <cell r="G92">
            <v>0</v>
          </cell>
          <cell r="H92">
            <v>2.25</v>
          </cell>
          <cell r="I92">
            <v>2.25</v>
          </cell>
          <cell r="J92">
            <v>0</v>
          </cell>
          <cell r="K92">
            <v>2.25</v>
          </cell>
          <cell r="L92">
            <v>6</v>
          </cell>
          <cell r="P92">
            <v>6</v>
          </cell>
        </row>
        <row r="93">
          <cell r="B93" t="str">
            <v>10S</v>
          </cell>
          <cell r="C93">
            <v>20</v>
          </cell>
          <cell r="D93">
            <v>5.54</v>
          </cell>
          <cell r="E93">
            <v>1</v>
          </cell>
          <cell r="F93">
            <v>2.0299999999999998</v>
          </cell>
          <cell r="G93">
            <v>1.1200000000000001</v>
          </cell>
          <cell r="H93">
            <v>3.15</v>
          </cell>
          <cell r="I93">
            <v>2.0299999999999998</v>
          </cell>
          <cell r="J93">
            <v>1.1200000000000001</v>
          </cell>
          <cell r="K93">
            <v>3.15</v>
          </cell>
          <cell r="L93">
            <v>7</v>
          </cell>
          <cell r="P93">
            <v>7</v>
          </cell>
        </row>
        <row r="94">
          <cell r="B94" t="str">
            <v>10S</v>
          </cell>
          <cell r="C94">
            <v>22</v>
          </cell>
          <cell r="D94">
            <v>5.54</v>
          </cell>
          <cell r="E94">
            <v>1</v>
          </cell>
          <cell r="F94">
            <v>2.23</v>
          </cell>
          <cell r="G94">
            <v>1.37</v>
          </cell>
          <cell r="H94">
            <v>3.6</v>
          </cell>
          <cell r="I94">
            <v>2.23</v>
          </cell>
          <cell r="J94">
            <v>1.37</v>
          </cell>
          <cell r="K94">
            <v>3.6</v>
          </cell>
          <cell r="L94">
            <v>8</v>
          </cell>
          <cell r="P94">
            <v>8</v>
          </cell>
        </row>
        <row r="95">
          <cell r="B95" t="str">
            <v>10S</v>
          </cell>
          <cell r="C95">
            <v>24</v>
          </cell>
          <cell r="D95">
            <v>6.35</v>
          </cell>
          <cell r="E95">
            <v>1</v>
          </cell>
          <cell r="F95">
            <v>2.4300000000000002</v>
          </cell>
          <cell r="G95">
            <v>2.0699999999999998</v>
          </cell>
          <cell r="H95">
            <v>4.5</v>
          </cell>
          <cell r="I95">
            <v>2.4300000000000002</v>
          </cell>
          <cell r="J95">
            <v>2.0699999999999998</v>
          </cell>
          <cell r="K95">
            <v>4.5</v>
          </cell>
          <cell r="L95">
            <v>8</v>
          </cell>
          <cell r="P95">
            <v>8</v>
          </cell>
        </row>
        <row r="96">
          <cell r="B96" t="str">
            <v>10S</v>
          </cell>
          <cell r="C96">
            <v>30</v>
          </cell>
          <cell r="D96">
            <v>7.92</v>
          </cell>
          <cell r="E96">
            <v>1</v>
          </cell>
          <cell r="F96">
            <v>3.04</v>
          </cell>
          <cell r="G96">
            <v>5.66</v>
          </cell>
          <cell r="H96">
            <v>8.6999999999999993</v>
          </cell>
          <cell r="I96">
            <v>3.04</v>
          </cell>
          <cell r="J96">
            <v>5.66</v>
          </cell>
          <cell r="K96">
            <v>8.6999999999999993</v>
          </cell>
          <cell r="L96">
            <v>10</v>
          </cell>
          <cell r="P96">
            <v>10</v>
          </cell>
        </row>
        <row r="97">
          <cell r="B97">
            <v>20</v>
          </cell>
          <cell r="C97">
            <v>8</v>
          </cell>
          <cell r="D97">
            <v>6.35</v>
          </cell>
          <cell r="E97">
            <v>1</v>
          </cell>
          <cell r="F97">
            <v>0.81</v>
          </cell>
          <cell r="G97">
            <v>0.99</v>
          </cell>
          <cell r="H97">
            <v>1.8</v>
          </cell>
          <cell r="I97">
            <v>0.81</v>
          </cell>
          <cell r="J97">
            <v>0.99</v>
          </cell>
          <cell r="K97">
            <v>1.8</v>
          </cell>
          <cell r="L97">
            <v>4</v>
          </cell>
          <cell r="P97">
            <v>4</v>
          </cell>
        </row>
        <row r="98">
          <cell r="B98">
            <v>20</v>
          </cell>
          <cell r="C98">
            <v>10</v>
          </cell>
          <cell r="D98">
            <v>6.35</v>
          </cell>
          <cell r="E98">
            <v>1</v>
          </cell>
          <cell r="F98">
            <v>1.01</v>
          </cell>
          <cell r="G98">
            <v>1.0900000000000001</v>
          </cell>
          <cell r="H98">
            <v>2.1</v>
          </cell>
          <cell r="I98">
            <v>1.01</v>
          </cell>
          <cell r="J98">
            <v>1.0900000000000001</v>
          </cell>
          <cell r="K98">
            <v>2.1</v>
          </cell>
          <cell r="L98">
            <v>4</v>
          </cell>
          <cell r="P98">
            <v>4</v>
          </cell>
        </row>
        <row r="99">
          <cell r="B99">
            <v>20</v>
          </cell>
          <cell r="C99">
            <v>12</v>
          </cell>
          <cell r="D99">
            <v>6.35</v>
          </cell>
          <cell r="E99">
            <v>1</v>
          </cell>
          <cell r="F99">
            <v>1.22</v>
          </cell>
          <cell r="G99">
            <v>1.32</v>
          </cell>
          <cell r="H99">
            <v>2.54</v>
          </cell>
          <cell r="I99">
            <v>1.22</v>
          </cell>
          <cell r="J99">
            <v>1.32</v>
          </cell>
          <cell r="K99">
            <v>2.54</v>
          </cell>
          <cell r="L99">
            <v>6</v>
          </cell>
          <cell r="P99">
            <v>6</v>
          </cell>
        </row>
        <row r="100">
          <cell r="B100">
            <v>20</v>
          </cell>
          <cell r="C100">
            <v>14</v>
          </cell>
          <cell r="D100">
            <v>7.92</v>
          </cell>
          <cell r="E100">
            <v>1</v>
          </cell>
          <cell r="F100">
            <v>1.42</v>
          </cell>
          <cell r="G100">
            <v>2.48</v>
          </cell>
          <cell r="H100">
            <v>3.9</v>
          </cell>
          <cell r="I100">
            <v>1.42</v>
          </cell>
          <cell r="J100">
            <v>2.48</v>
          </cell>
          <cell r="K100">
            <v>3.9</v>
          </cell>
          <cell r="L100">
            <v>6</v>
          </cell>
          <cell r="P100">
            <v>6</v>
          </cell>
        </row>
        <row r="101">
          <cell r="B101">
            <v>20</v>
          </cell>
          <cell r="C101">
            <v>16</v>
          </cell>
          <cell r="D101">
            <v>7.92</v>
          </cell>
          <cell r="E101">
            <v>1</v>
          </cell>
          <cell r="F101">
            <v>1.62</v>
          </cell>
          <cell r="G101">
            <v>2.73</v>
          </cell>
          <cell r="H101">
            <v>4.3499999999999996</v>
          </cell>
          <cell r="I101">
            <v>1.62</v>
          </cell>
          <cell r="J101">
            <v>2.73</v>
          </cell>
          <cell r="K101">
            <v>4.3499999999999996</v>
          </cell>
          <cell r="L101">
            <v>6</v>
          </cell>
          <cell r="P101">
            <v>6</v>
          </cell>
        </row>
        <row r="102">
          <cell r="B102">
            <v>20</v>
          </cell>
          <cell r="C102">
            <v>18</v>
          </cell>
          <cell r="D102">
            <v>7.92</v>
          </cell>
          <cell r="E102">
            <v>1</v>
          </cell>
          <cell r="F102">
            <v>1.82</v>
          </cell>
          <cell r="G102">
            <v>3.12</v>
          </cell>
          <cell r="H102">
            <v>4.9400000000000004</v>
          </cell>
          <cell r="I102">
            <v>1.82</v>
          </cell>
          <cell r="J102">
            <v>3.12</v>
          </cell>
          <cell r="K102">
            <v>4.9400000000000004</v>
          </cell>
          <cell r="L102">
            <v>6</v>
          </cell>
          <cell r="P102">
            <v>6</v>
          </cell>
        </row>
        <row r="103">
          <cell r="B103">
            <v>20</v>
          </cell>
          <cell r="C103">
            <v>20</v>
          </cell>
          <cell r="D103">
            <v>9.5299999999999994</v>
          </cell>
          <cell r="E103">
            <v>1</v>
          </cell>
          <cell r="F103">
            <v>2.0299999999999998</v>
          </cell>
          <cell r="G103">
            <v>5.47</v>
          </cell>
          <cell r="H103">
            <v>7.5</v>
          </cell>
          <cell r="I103">
            <v>2.0299999999999998</v>
          </cell>
          <cell r="J103">
            <v>5.47</v>
          </cell>
          <cell r="K103">
            <v>7.5</v>
          </cell>
          <cell r="L103">
            <v>7</v>
          </cell>
          <cell r="P103">
            <v>7</v>
          </cell>
        </row>
        <row r="104">
          <cell r="B104">
            <v>20</v>
          </cell>
          <cell r="C104">
            <v>22</v>
          </cell>
          <cell r="D104">
            <v>9.5299999999999994</v>
          </cell>
          <cell r="E104">
            <v>1</v>
          </cell>
          <cell r="F104">
            <v>2.23</v>
          </cell>
          <cell r="G104">
            <v>6.47</v>
          </cell>
          <cell r="H104">
            <v>8.6999999999999993</v>
          </cell>
          <cell r="I104">
            <v>2.23</v>
          </cell>
          <cell r="J104">
            <v>6.47</v>
          </cell>
          <cell r="K104">
            <v>8.6999999999999993</v>
          </cell>
          <cell r="L104">
            <v>8</v>
          </cell>
          <cell r="P104">
            <v>8</v>
          </cell>
        </row>
        <row r="105">
          <cell r="B105">
            <v>20</v>
          </cell>
          <cell r="C105">
            <v>24</v>
          </cell>
          <cell r="D105">
            <v>9.5299999999999994</v>
          </cell>
          <cell r="E105">
            <v>1</v>
          </cell>
          <cell r="F105">
            <v>2.4300000000000002</v>
          </cell>
          <cell r="G105">
            <v>6.57</v>
          </cell>
          <cell r="H105">
            <v>9</v>
          </cell>
          <cell r="I105">
            <v>2.4300000000000002</v>
          </cell>
          <cell r="J105">
            <v>6.57</v>
          </cell>
          <cell r="K105">
            <v>9</v>
          </cell>
          <cell r="L105">
            <v>8</v>
          </cell>
          <cell r="P105">
            <v>8</v>
          </cell>
        </row>
        <row r="106">
          <cell r="B106">
            <v>20</v>
          </cell>
          <cell r="C106">
            <v>26</v>
          </cell>
          <cell r="D106">
            <v>12.7</v>
          </cell>
          <cell r="E106">
            <v>1.25</v>
          </cell>
          <cell r="F106">
            <v>2.64</v>
          </cell>
          <cell r="G106">
            <v>13.86</v>
          </cell>
          <cell r="H106">
            <v>16.5</v>
          </cell>
          <cell r="I106">
            <v>2.64</v>
          </cell>
          <cell r="J106">
            <v>13.86</v>
          </cell>
          <cell r="K106">
            <v>16.5</v>
          </cell>
          <cell r="L106">
            <v>9</v>
          </cell>
          <cell r="P106">
            <v>9</v>
          </cell>
        </row>
        <row r="107">
          <cell r="B107">
            <v>20</v>
          </cell>
          <cell r="C107">
            <v>28</v>
          </cell>
          <cell r="D107">
            <v>12.7</v>
          </cell>
          <cell r="E107">
            <v>1.25</v>
          </cell>
          <cell r="F107">
            <v>2.84</v>
          </cell>
          <cell r="G107">
            <v>15.16</v>
          </cell>
          <cell r="H107">
            <v>18</v>
          </cell>
          <cell r="I107">
            <v>2.84</v>
          </cell>
          <cell r="J107">
            <v>15.16</v>
          </cell>
          <cell r="K107">
            <v>18</v>
          </cell>
          <cell r="L107">
            <v>9</v>
          </cell>
          <cell r="P107">
            <v>9</v>
          </cell>
        </row>
        <row r="108">
          <cell r="B108">
            <v>20</v>
          </cell>
          <cell r="C108">
            <v>30</v>
          </cell>
          <cell r="D108">
            <v>12.7</v>
          </cell>
          <cell r="E108">
            <v>1.25</v>
          </cell>
          <cell r="F108">
            <v>3.04</v>
          </cell>
          <cell r="G108">
            <v>16.45</v>
          </cell>
          <cell r="H108">
            <v>19.489999999999998</v>
          </cell>
          <cell r="I108">
            <v>3.04</v>
          </cell>
          <cell r="J108">
            <v>16.45</v>
          </cell>
          <cell r="K108">
            <v>19.489999999999998</v>
          </cell>
          <cell r="L108">
            <v>10</v>
          </cell>
          <cell r="P108">
            <v>10</v>
          </cell>
        </row>
        <row r="109">
          <cell r="B109">
            <v>20</v>
          </cell>
          <cell r="C109">
            <v>32</v>
          </cell>
          <cell r="D109">
            <v>12.7</v>
          </cell>
          <cell r="E109">
            <v>1.25</v>
          </cell>
          <cell r="F109">
            <v>3.24</v>
          </cell>
          <cell r="G109">
            <v>17.75</v>
          </cell>
          <cell r="H109">
            <v>20.990000000000002</v>
          </cell>
          <cell r="I109">
            <v>3.24</v>
          </cell>
          <cell r="J109">
            <v>17.75</v>
          </cell>
          <cell r="K109">
            <v>20.990000000000002</v>
          </cell>
          <cell r="L109">
            <v>11</v>
          </cell>
          <cell r="P109">
            <v>11</v>
          </cell>
        </row>
        <row r="110">
          <cell r="B110">
            <v>20</v>
          </cell>
          <cell r="C110">
            <v>34</v>
          </cell>
          <cell r="D110">
            <v>12.7</v>
          </cell>
          <cell r="E110">
            <v>1.25</v>
          </cell>
          <cell r="F110">
            <v>3.45</v>
          </cell>
          <cell r="G110">
            <v>18.54</v>
          </cell>
          <cell r="H110">
            <v>21.99</v>
          </cell>
          <cell r="I110">
            <v>3.45</v>
          </cell>
          <cell r="J110">
            <v>18.54</v>
          </cell>
          <cell r="K110">
            <v>21.99</v>
          </cell>
          <cell r="L110">
            <v>12</v>
          </cell>
          <cell r="P110">
            <v>12</v>
          </cell>
        </row>
        <row r="111">
          <cell r="B111">
            <v>20</v>
          </cell>
          <cell r="C111">
            <v>36</v>
          </cell>
          <cell r="D111">
            <v>12.7</v>
          </cell>
          <cell r="E111">
            <v>1.25</v>
          </cell>
          <cell r="F111">
            <v>3.65</v>
          </cell>
          <cell r="G111">
            <v>18.84</v>
          </cell>
          <cell r="H111">
            <v>22.49</v>
          </cell>
          <cell r="I111">
            <v>3.65</v>
          </cell>
          <cell r="J111">
            <v>18.84</v>
          </cell>
          <cell r="K111">
            <v>22.49</v>
          </cell>
          <cell r="L111">
            <v>12</v>
          </cell>
          <cell r="P111">
            <v>12</v>
          </cell>
        </row>
        <row r="112">
          <cell r="B112">
            <v>30</v>
          </cell>
          <cell r="C112">
            <v>8</v>
          </cell>
          <cell r="D112">
            <v>7.04</v>
          </cell>
          <cell r="E112">
            <v>1</v>
          </cell>
          <cell r="F112">
            <v>0.81</v>
          </cell>
          <cell r="G112">
            <v>1.1399999999999999</v>
          </cell>
          <cell r="H112">
            <v>1.95</v>
          </cell>
          <cell r="I112">
            <v>0.81</v>
          </cell>
          <cell r="J112">
            <v>1.1399999999999999</v>
          </cell>
          <cell r="K112">
            <v>1.95</v>
          </cell>
          <cell r="L112">
            <v>4</v>
          </cell>
          <cell r="P112">
            <v>4</v>
          </cell>
        </row>
        <row r="113">
          <cell r="B113">
            <v>30</v>
          </cell>
          <cell r="C113">
            <v>10</v>
          </cell>
          <cell r="D113">
            <v>7.8</v>
          </cell>
          <cell r="E113">
            <v>1</v>
          </cell>
          <cell r="F113">
            <v>1.01</v>
          </cell>
          <cell r="G113">
            <v>1.99</v>
          </cell>
          <cell r="H113">
            <v>3</v>
          </cell>
          <cell r="I113">
            <v>1.01</v>
          </cell>
          <cell r="J113">
            <v>1.99</v>
          </cell>
          <cell r="K113">
            <v>3</v>
          </cell>
          <cell r="L113">
            <v>4</v>
          </cell>
          <cell r="P113">
            <v>4</v>
          </cell>
        </row>
        <row r="114">
          <cell r="B114">
            <v>30</v>
          </cell>
          <cell r="C114">
            <v>12</v>
          </cell>
          <cell r="D114">
            <v>8.3800000000000008</v>
          </cell>
          <cell r="E114">
            <v>1</v>
          </cell>
          <cell r="F114">
            <v>1.22</v>
          </cell>
          <cell r="G114">
            <v>2.68</v>
          </cell>
          <cell r="H114">
            <v>3.9000000000000004</v>
          </cell>
          <cell r="I114">
            <v>1.22</v>
          </cell>
          <cell r="J114">
            <v>2.68</v>
          </cell>
          <cell r="K114">
            <v>3.9000000000000004</v>
          </cell>
          <cell r="L114">
            <v>6</v>
          </cell>
          <cell r="P114">
            <v>6</v>
          </cell>
        </row>
        <row r="115">
          <cell r="B115">
            <v>30</v>
          </cell>
          <cell r="C115">
            <v>14</v>
          </cell>
          <cell r="D115">
            <v>9.5299999999999994</v>
          </cell>
          <cell r="E115">
            <v>1</v>
          </cell>
          <cell r="F115">
            <v>1.42</v>
          </cell>
          <cell r="G115">
            <v>3.97</v>
          </cell>
          <cell r="H115">
            <v>5.3900000000000006</v>
          </cell>
          <cell r="I115">
            <v>1.42</v>
          </cell>
          <cell r="J115">
            <v>3.97</v>
          </cell>
          <cell r="K115">
            <v>5.3900000000000006</v>
          </cell>
          <cell r="L115">
            <v>6</v>
          </cell>
          <cell r="P115">
            <v>6</v>
          </cell>
        </row>
        <row r="116">
          <cell r="B116">
            <v>30</v>
          </cell>
          <cell r="C116">
            <v>16</v>
          </cell>
          <cell r="D116">
            <v>9.5299999999999994</v>
          </cell>
          <cell r="E116">
            <v>1</v>
          </cell>
          <cell r="F116">
            <v>1.62</v>
          </cell>
          <cell r="G116">
            <v>4.68</v>
          </cell>
          <cell r="H116">
            <v>6.3</v>
          </cell>
          <cell r="I116">
            <v>1.62</v>
          </cell>
          <cell r="J116">
            <v>4.68</v>
          </cell>
          <cell r="K116">
            <v>6.3</v>
          </cell>
          <cell r="L116">
            <v>6</v>
          </cell>
          <cell r="P116">
            <v>6</v>
          </cell>
        </row>
        <row r="117">
          <cell r="B117">
            <v>30</v>
          </cell>
          <cell r="C117">
            <v>18</v>
          </cell>
          <cell r="D117">
            <v>11.13</v>
          </cell>
          <cell r="E117">
            <v>1.25</v>
          </cell>
          <cell r="F117">
            <v>1.82</v>
          </cell>
          <cell r="G117">
            <v>6.88</v>
          </cell>
          <cell r="H117">
            <v>8.6999999999999993</v>
          </cell>
          <cell r="I117">
            <v>1.82</v>
          </cell>
          <cell r="J117">
            <v>6.88</v>
          </cell>
          <cell r="K117">
            <v>8.6999999999999993</v>
          </cell>
          <cell r="L117">
            <v>6</v>
          </cell>
          <cell r="P117">
            <v>6</v>
          </cell>
        </row>
        <row r="118">
          <cell r="B118">
            <v>30</v>
          </cell>
          <cell r="C118">
            <v>20</v>
          </cell>
          <cell r="D118">
            <v>12.7</v>
          </cell>
          <cell r="E118">
            <v>1.25</v>
          </cell>
          <cell r="F118">
            <v>2.0299999999999998</v>
          </cell>
          <cell r="G118">
            <v>10.42</v>
          </cell>
          <cell r="H118">
            <v>12.45</v>
          </cell>
          <cell r="I118">
            <v>2.0299999999999998</v>
          </cell>
          <cell r="J118">
            <v>10.42</v>
          </cell>
          <cell r="K118">
            <v>12.45</v>
          </cell>
          <cell r="L118">
            <v>7</v>
          </cell>
          <cell r="P118">
            <v>7</v>
          </cell>
        </row>
        <row r="119">
          <cell r="B119">
            <v>30</v>
          </cell>
          <cell r="C119">
            <v>22</v>
          </cell>
          <cell r="D119">
            <v>12.7</v>
          </cell>
          <cell r="E119">
            <v>1.25</v>
          </cell>
          <cell r="F119">
            <v>2.23</v>
          </cell>
          <cell r="G119">
            <v>11.72</v>
          </cell>
          <cell r="H119">
            <v>13.950000000000001</v>
          </cell>
          <cell r="I119">
            <v>2.23</v>
          </cell>
          <cell r="J119">
            <v>11.72</v>
          </cell>
          <cell r="K119">
            <v>13.950000000000001</v>
          </cell>
          <cell r="L119">
            <v>8</v>
          </cell>
          <cell r="P119">
            <v>8</v>
          </cell>
        </row>
        <row r="120">
          <cell r="B120">
            <v>30</v>
          </cell>
          <cell r="C120">
            <v>24</v>
          </cell>
          <cell r="D120">
            <v>14.27</v>
          </cell>
          <cell r="E120">
            <v>1.25</v>
          </cell>
          <cell r="F120">
            <v>2.4300000000000002</v>
          </cell>
          <cell r="G120">
            <v>15.57</v>
          </cell>
          <cell r="H120">
            <v>18</v>
          </cell>
          <cell r="I120">
            <v>2.4300000000000002</v>
          </cell>
          <cell r="J120">
            <v>15.57</v>
          </cell>
          <cell r="K120">
            <v>18</v>
          </cell>
          <cell r="L120">
            <v>8</v>
          </cell>
          <cell r="P120">
            <v>8</v>
          </cell>
        </row>
        <row r="121">
          <cell r="B121">
            <v>30</v>
          </cell>
          <cell r="C121">
            <v>28</v>
          </cell>
          <cell r="D121">
            <v>15.88</v>
          </cell>
          <cell r="E121">
            <v>1.5</v>
          </cell>
          <cell r="F121">
            <v>2.84</v>
          </cell>
          <cell r="G121">
            <v>22.65</v>
          </cell>
          <cell r="H121">
            <v>25.49</v>
          </cell>
          <cell r="I121">
            <v>2.84</v>
          </cell>
          <cell r="J121">
            <v>22.65</v>
          </cell>
          <cell r="K121">
            <v>25.49</v>
          </cell>
          <cell r="L121">
            <v>9</v>
          </cell>
          <cell r="P121">
            <v>9</v>
          </cell>
        </row>
        <row r="122">
          <cell r="B122">
            <v>30</v>
          </cell>
          <cell r="C122">
            <v>30</v>
          </cell>
          <cell r="D122">
            <v>15.88</v>
          </cell>
          <cell r="E122">
            <v>1.5</v>
          </cell>
          <cell r="F122">
            <v>3.04</v>
          </cell>
          <cell r="G122">
            <v>23.96</v>
          </cell>
          <cell r="H122">
            <v>27</v>
          </cell>
          <cell r="I122">
            <v>3.04</v>
          </cell>
          <cell r="J122">
            <v>23.96</v>
          </cell>
          <cell r="K122">
            <v>27</v>
          </cell>
          <cell r="L122">
            <v>10</v>
          </cell>
          <cell r="P122">
            <v>10</v>
          </cell>
        </row>
        <row r="123">
          <cell r="B123">
            <v>30</v>
          </cell>
          <cell r="C123">
            <v>32</v>
          </cell>
          <cell r="D123">
            <v>15.88</v>
          </cell>
          <cell r="E123">
            <v>1.5</v>
          </cell>
          <cell r="F123">
            <v>3.24</v>
          </cell>
          <cell r="G123">
            <v>26.76</v>
          </cell>
          <cell r="H123">
            <v>30</v>
          </cell>
          <cell r="I123">
            <v>3.24</v>
          </cell>
          <cell r="J123">
            <v>26.76</v>
          </cell>
          <cell r="K123">
            <v>30</v>
          </cell>
          <cell r="L123">
            <v>11</v>
          </cell>
          <cell r="P123">
            <v>11</v>
          </cell>
        </row>
        <row r="124">
          <cell r="B124">
            <v>30</v>
          </cell>
          <cell r="C124">
            <v>34</v>
          </cell>
          <cell r="D124">
            <v>15.88</v>
          </cell>
          <cell r="E124">
            <v>1.5</v>
          </cell>
          <cell r="F124">
            <v>3.45</v>
          </cell>
          <cell r="G124">
            <v>28.05</v>
          </cell>
          <cell r="H124">
            <v>31.5</v>
          </cell>
          <cell r="I124">
            <v>3.45</v>
          </cell>
          <cell r="J124">
            <v>28.05</v>
          </cell>
          <cell r="K124">
            <v>31.5</v>
          </cell>
          <cell r="L124">
            <v>12</v>
          </cell>
          <cell r="P124">
            <v>12</v>
          </cell>
        </row>
        <row r="125">
          <cell r="B125">
            <v>30</v>
          </cell>
          <cell r="C125">
            <v>36</v>
          </cell>
          <cell r="D125">
            <v>15.88</v>
          </cell>
          <cell r="E125">
            <v>1.5</v>
          </cell>
          <cell r="F125">
            <v>3.65</v>
          </cell>
          <cell r="G125">
            <v>29.35</v>
          </cell>
          <cell r="H125">
            <v>33</v>
          </cell>
          <cell r="I125">
            <v>3.65</v>
          </cell>
          <cell r="J125">
            <v>29.35</v>
          </cell>
          <cell r="K125">
            <v>33</v>
          </cell>
          <cell r="L125">
            <v>12</v>
          </cell>
          <cell r="P125">
            <v>12</v>
          </cell>
        </row>
        <row r="126">
          <cell r="B126">
            <v>40</v>
          </cell>
          <cell r="C126">
            <v>0.125</v>
          </cell>
          <cell r="D126">
            <v>1.73</v>
          </cell>
          <cell r="E126">
            <v>1</v>
          </cell>
          <cell r="F126">
            <v>7.0000000000000007E-2</v>
          </cell>
          <cell r="G126">
            <v>7.0000000000000007E-2</v>
          </cell>
          <cell r="H126">
            <v>2</v>
          </cell>
          <cell r="I126">
            <v>7.0000000000000007E-2</v>
          </cell>
          <cell r="J126">
            <v>7.0000000000000007E-2</v>
          </cell>
          <cell r="K126">
            <v>7.0000000000000007E-2</v>
          </cell>
          <cell r="P126">
            <v>2</v>
          </cell>
        </row>
        <row r="127">
          <cell r="B127">
            <v>40</v>
          </cell>
          <cell r="C127">
            <v>0.125</v>
          </cell>
          <cell r="D127">
            <v>1.73</v>
          </cell>
          <cell r="E127">
            <v>1</v>
          </cell>
          <cell r="F127">
            <v>7.0000000000000007E-2</v>
          </cell>
          <cell r="G127">
            <v>7.0000000000000007E-2</v>
          </cell>
          <cell r="H127">
            <v>2</v>
          </cell>
          <cell r="I127">
            <v>7.0000000000000007E-2</v>
          </cell>
          <cell r="J127">
            <v>7.0000000000000007E-2</v>
          </cell>
          <cell r="K127">
            <v>7.0000000000000007E-2</v>
          </cell>
          <cell r="P127">
            <v>2</v>
          </cell>
        </row>
        <row r="128">
          <cell r="B128">
            <v>40</v>
          </cell>
          <cell r="C128">
            <v>0.125</v>
          </cell>
          <cell r="D128">
            <v>1.73</v>
          </cell>
          <cell r="E128">
            <v>1</v>
          </cell>
          <cell r="F128">
            <v>7.0000000000000007E-2</v>
          </cell>
          <cell r="G128">
            <v>7.0000000000000007E-2</v>
          </cell>
          <cell r="H128">
            <v>2</v>
          </cell>
          <cell r="I128">
            <v>7.0000000000000007E-2</v>
          </cell>
          <cell r="J128">
            <v>7.0000000000000007E-2</v>
          </cell>
          <cell r="K128">
            <v>7.0000000000000007E-2</v>
          </cell>
          <cell r="P128">
            <v>2</v>
          </cell>
        </row>
        <row r="129">
          <cell r="B129">
            <v>40</v>
          </cell>
          <cell r="C129">
            <v>0.25</v>
          </cell>
          <cell r="D129">
            <v>2.2400000000000002</v>
          </cell>
          <cell r="E129">
            <v>1</v>
          </cell>
          <cell r="F129">
            <v>7.0000000000000007E-2</v>
          </cell>
          <cell r="G129">
            <v>7.0000000000000007E-2</v>
          </cell>
          <cell r="H129">
            <v>2</v>
          </cell>
          <cell r="I129">
            <v>7.0000000000000007E-2</v>
          </cell>
          <cell r="J129">
            <v>7.0000000000000007E-2</v>
          </cell>
          <cell r="K129">
            <v>7.0000000000000007E-2</v>
          </cell>
          <cell r="P129">
            <v>2</v>
          </cell>
        </row>
        <row r="130">
          <cell r="B130">
            <v>40</v>
          </cell>
          <cell r="C130">
            <v>0.25</v>
          </cell>
          <cell r="D130">
            <v>2.2400000000000002</v>
          </cell>
          <cell r="E130">
            <v>1</v>
          </cell>
          <cell r="F130">
            <v>0</v>
          </cell>
          <cell r="G130">
            <v>0</v>
          </cell>
          <cell r="H130">
            <v>0</v>
          </cell>
          <cell r="I130">
            <v>7.0000000000000007E-2</v>
          </cell>
          <cell r="J130">
            <v>0</v>
          </cell>
          <cell r="K130">
            <v>7.0000000000000007E-2</v>
          </cell>
          <cell r="L130">
            <v>0</v>
          </cell>
          <cell r="M130">
            <v>0</v>
          </cell>
          <cell r="N130">
            <v>0</v>
          </cell>
          <cell r="O130">
            <v>0</v>
          </cell>
          <cell r="P130">
            <v>2</v>
          </cell>
          <cell r="Q130">
            <v>0</v>
          </cell>
          <cell r="R130">
            <v>0</v>
          </cell>
        </row>
        <row r="131">
          <cell r="B131">
            <v>40</v>
          </cell>
          <cell r="C131">
            <v>0.25</v>
          </cell>
          <cell r="D131">
            <v>2.2400000000000002</v>
          </cell>
          <cell r="E131">
            <v>1</v>
          </cell>
          <cell r="F131">
            <v>7.0000000000000007E-2</v>
          </cell>
          <cell r="G131">
            <v>7.0000000000000007E-2</v>
          </cell>
          <cell r="H131">
            <v>2</v>
          </cell>
          <cell r="I131">
            <v>7.0000000000000007E-2</v>
          </cell>
          <cell r="J131">
            <v>7.0000000000000007E-2</v>
          </cell>
          <cell r="K131">
            <v>7.0000000000000007E-2</v>
          </cell>
          <cell r="P131">
            <v>2</v>
          </cell>
        </row>
        <row r="132">
          <cell r="B132">
            <v>40</v>
          </cell>
          <cell r="C132">
            <v>0.375</v>
          </cell>
          <cell r="D132">
            <v>2.31</v>
          </cell>
          <cell r="E132">
            <v>1</v>
          </cell>
          <cell r="F132">
            <v>7.0000000000000007E-2</v>
          </cell>
          <cell r="G132">
            <v>0</v>
          </cell>
          <cell r="H132">
            <v>7.0000000000000007E-2</v>
          </cell>
          <cell r="I132">
            <v>7.0000000000000007E-2</v>
          </cell>
          <cell r="J132">
            <v>0</v>
          </cell>
          <cell r="K132">
            <v>7.0000000000000007E-2</v>
          </cell>
          <cell r="L132">
            <v>2</v>
          </cell>
          <cell r="P132">
            <v>2</v>
          </cell>
        </row>
        <row r="133">
          <cell r="B133">
            <v>40</v>
          </cell>
          <cell r="C133">
            <v>0.375</v>
          </cell>
          <cell r="D133">
            <v>2.31</v>
          </cell>
          <cell r="E133">
            <v>1</v>
          </cell>
          <cell r="F133">
            <v>7.0000000000000007E-2</v>
          </cell>
          <cell r="G133">
            <v>0</v>
          </cell>
          <cell r="H133">
            <v>7.0000000000000007E-2</v>
          </cell>
          <cell r="I133">
            <v>7.0000000000000007E-2</v>
          </cell>
          <cell r="J133">
            <v>0</v>
          </cell>
          <cell r="K133">
            <v>7.0000000000000007E-2</v>
          </cell>
          <cell r="L133">
            <v>2</v>
          </cell>
          <cell r="P133">
            <v>2</v>
          </cell>
        </row>
        <row r="134">
          <cell r="B134">
            <v>40</v>
          </cell>
          <cell r="C134">
            <v>0.375</v>
          </cell>
          <cell r="D134">
            <v>2.31</v>
          </cell>
          <cell r="E134">
            <v>1</v>
          </cell>
          <cell r="F134">
            <v>7.0000000000000007E-2</v>
          </cell>
          <cell r="G134">
            <v>0</v>
          </cell>
          <cell r="H134">
            <v>7.0000000000000007E-2</v>
          </cell>
          <cell r="I134">
            <v>7.0000000000000007E-2</v>
          </cell>
          <cell r="J134">
            <v>0</v>
          </cell>
          <cell r="K134">
            <v>7.0000000000000007E-2</v>
          </cell>
          <cell r="L134">
            <v>2</v>
          </cell>
          <cell r="P134">
            <v>2</v>
          </cell>
        </row>
        <row r="135">
          <cell r="B135">
            <v>40</v>
          </cell>
          <cell r="C135">
            <v>0.5</v>
          </cell>
          <cell r="D135">
            <v>2.77</v>
          </cell>
          <cell r="E135">
            <v>1</v>
          </cell>
          <cell r="F135">
            <v>7.0000000000000007E-2</v>
          </cell>
          <cell r="G135">
            <v>0</v>
          </cell>
          <cell r="H135">
            <v>7.0000000000000007E-2</v>
          </cell>
          <cell r="I135">
            <v>7.0000000000000007E-2</v>
          </cell>
          <cell r="J135">
            <v>0</v>
          </cell>
          <cell r="K135">
            <v>7.0000000000000007E-2</v>
          </cell>
          <cell r="L135">
            <v>2</v>
          </cell>
          <cell r="P135">
            <v>2</v>
          </cell>
        </row>
        <row r="136">
          <cell r="B136">
            <v>40</v>
          </cell>
          <cell r="C136">
            <v>0.5</v>
          </cell>
          <cell r="D136">
            <v>2.77</v>
          </cell>
          <cell r="E136">
            <v>1</v>
          </cell>
          <cell r="F136">
            <v>7.0000000000000007E-2</v>
          </cell>
          <cell r="G136">
            <v>0</v>
          </cell>
          <cell r="H136">
            <v>7.0000000000000007E-2</v>
          </cell>
          <cell r="I136">
            <v>7.0000000000000007E-2</v>
          </cell>
          <cell r="J136">
            <v>0</v>
          </cell>
          <cell r="K136">
            <v>7.0000000000000007E-2</v>
          </cell>
          <cell r="L136">
            <v>2</v>
          </cell>
          <cell r="P136">
            <v>2</v>
          </cell>
        </row>
        <row r="137">
          <cell r="B137">
            <v>40</v>
          </cell>
          <cell r="C137">
            <v>0.5</v>
          </cell>
          <cell r="D137">
            <v>2.77</v>
          </cell>
          <cell r="E137">
            <v>1</v>
          </cell>
          <cell r="F137">
            <v>7.0000000000000007E-2</v>
          </cell>
          <cell r="G137">
            <v>0</v>
          </cell>
          <cell r="H137">
            <v>7.0000000000000007E-2</v>
          </cell>
          <cell r="I137">
            <v>7.0000000000000007E-2</v>
          </cell>
          <cell r="J137">
            <v>0</v>
          </cell>
          <cell r="K137">
            <v>7.0000000000000007E-2</v>
          </cell>
          <cell r="L137">
            <v>2</v>
          </cell>
          <cell r="P137">
            <v>2</v>
          </cell>
        </row>
        <row r="138">
          <cell r="B138">
            <v>40</v>
          </cell>
          <cell r="C138">
            <v>0.75</v>
          </cell>
          <cell r="D138">
            <v>2.87</v>
          </cell>
          <cell r="E138">
            <v>1</v>
          </cell>
          <cell r="F138">
            <v>7.0000000000000007E-2</v>
          </cell>
          <cell r="G138">
            <v>0</v>
          </cell>
          <cell r="H138">
            <v>7.0000000000000007E-2</v>
          </cell>
          <cell r="I138">
            <v>7.0000000000000007E-2</v>
          </cell>
          <cell r="J138">
            <v>0</v>
          </cell>
          <cell r="K138">
            <v>7.0000000000000007E-2</v>
          </cell>
          <cell r="L138">
            <v>2</v>
          </cell>
          <cell r="P138">
            <v>2</v>
          </cell>
        </row>
        <row r="139">
          <cell r="B139">
            <v>40</v>
          </cell>
          <cell r="C139">
            <v>0.75</v>
          </cell>
          <cell r="D139">
            <v>2.87</v>
          </cell>
          <cell r="E139">
            <v>1</v>
          </cell>
          <cell r="F139">
            <v>7.0000000000000007E-2</v>
          </cell>
          <cell r="G139">
            <v>0</v>
          </cell>
          <cell r="H139">
            <v>7.0000000000000007E-2</v>
          </cell>
          <cell r="I139">
            <v>7.0000000000000007E-2</v>
          </cell>
          <cell r="J139">
            <v>0</v>
          </cell>
          <cell r="K139">
            <v>7.0000000000000007E-2</v>
          </cell>
          <cell r="L139">
            <v>2</v>
          </cell>
          <cell r="P139">
            <v>2</v>
          </cell>
        </row>
        <row r="140">
          <cell r="B140">
            <v>40</v>
          </cell>
          <cell r="C140">
            <v>0.75</v>
          </cell>
          <cell r="D140">
            <v>2.87</v>
          </cell>
          <cell r="E140">
            <v>1</v>
          </cell>
          <cell r="F140">
            <v>7.0000000000000007E-2</v>
          </cell>
          <cell r="G140">
            <v>0</v>
          </cell>
          <cell r="H140">
            <v>7.0000000000000007E-2</v>
          </cell>
          <cell r="I140">
            <v>7.0000000000000007E-2</v>
          </cell>
          <cell r="J140">
            <v>0</v>
          </cell>
          <cell r="K140">
            <v>7.0000000000000007E-2</v>
          </cell>
          <cell r="L140">
            <v>2</v>
          </cell>
          <cell r="P140">
            <v>2</v>
          </cell>
        </row>
        <row r="141">
          <cell r="B141">
            <v>40</v>
          </cell>
          <cell r="C141">
            <v>1</v>
          </cell>
          <cell r="D141">
            <v>3.38</v>
          </cell>
          <cell r="E141">
            <v>1</v>
          </cell>
          <cell r="F141">
            <v>0.12</v>
          </cell>
          <cell r="G141">
            <v>0</v>
          </cell>
          <cell r="H141">
            <v>0.12</v>
          </cell>
          <cell r="I141">
            <v>0.12</v>
          </cell>
          <cell r="J141">
            <v>0</v>
          </cell>
          <cell r="K141">
            <v>0.12</v>
          </cell>
          <cell r="L141">
            <v>2</v>
          </cell>
          <cell r="P141">
            <v>2</v>
          </cell>
        </row>
        <row r="142">
          <cell r="B142">
            <v>40</v>
          </cell>
          <cell r="C142">
            <v>1</v>
          </cell>
          <cell r="D142">
            <v>3.38</v>
          </cell>
          <cell r="E142">
            <v>1</v>
          </cell>
          <cell r="F142">
            <v>0.12</v>
          </cell>
          <cell r="G142">
            <v>0</v>
          </cell>
          <cell r="H142">
            <v>0.12</v>
          </cell>
          <cell r="I142">
            <v>0.12</v>
          </cell>
          <cell r="J142">
            <v>0</v>
          </cell>
          <cell r="K142">
            <v>0.12</v>
          </cell>
          <cell r="L142">
            <v>2</v>
          </cell>
          <cell r="P142">
            <v>2</v>
          </cell>
        </row>
        <row r="143">
          <cell r="B143">
            <v>40</v>
          </cell>
          <cell r="C143">
            <v>1</v>
          </cell>
          <cell r="D143">
            <v>3.38</v>
          </cell>
          <cell r="E143">
            <v>1</v>
          </cell>
          <cell r="F143">
            <v>0.12</v>
          </cell>
          <cell r="G143">
            <v>0</v>
          </cell>
          <cell r="H143">
            <v>0.12</v>
          </cell>
          <cell r="I143">
            <v>0.12</v>
          </cell>
          <cell r="J143">
            <v>0</v>
          </cell>
          <cell r="K143">
            <v>0.12</v>
          </cell>
          <cell r="L143">
            <v>2</v>
          </cell>
          <cell r="P143">
            <v>2</v>
          </cell>
        </row>
        <row r="144">
          <cell r="B144">
            <v>40</v>
          </cell>
          <cell r="C144">
            <v>1.25</v>
          </cell>
          <cell r="D144">
            <v>3.56</v>
          </cell>
          <cell r="E144">
            <v>1</v>
          </cell>
          <cell r="F144">
            <v>0.15</v>
          </cell>
          <cell r="G144">
            <v>0.15</v>
          </cell>
          <cell r="H144">
            <v>2</v>
          </cell>
          <cell r="I144">
            <v>0.15</v>
          </cell>
          <cell r="J144">
            <v>0.15</v>
          </cell>
          <cell r="K144">
            <v>0.15</v>
          </cell>
          <cell r="P144">
            <v>2</v>
          </cell>
        </row>
        <row r="145">
          <cell r="B145">
            <v>40</v>
          </cell>
          <cell r="C145">
            <v>1.25</v>
          </cell>
          <cell r="D145">
            <v>3.56</v>
          </cell>
          <cell r="E145">
            <v>1</v>
          </cell>
          <cell r="F145">
            <v>0.15</v>
          </cell>
          <cell r="G145">
            <v>0.15</v>
          </cell>
          <cell r="H145">
            <v>2</v>
          </cell>
          <cell r="I145">
            <v>0.15</v>
          </cell>
          <cell r="J145">
            <v>0.15</v>
          </cell>
          <cell r="K145">
            <v>0.15</v>
          </cell>
          <cell r="P145">
            <v>2</v>
          </cell>
        </row>
        <row r="146">
          <cell r="B146">
            <v>40</v>
          </cell>
          <cell r="C146">
            <v>1.25</v>
          </cell>
          <cell r="D146">
            <v>3.56</v>
          </cell>
          <cell r="E146">
            <v>1</v>
          </cell>
          <cell r="F146">
            <v>0.15</v>
          </cell>
          <cell r="G146">
            <v>0.15</v>
          </cell>
          <cell r="H146">
            <v>2</v>
          </cell>
          <cell r="I146">
            <v>0.15</v>
          </cell>
          <cell r="J146">
            <v>0</v>
          </cell>
          <cell r="K146">
            <v>0.15</v>
          </cell>
          <cell r="P146">
            <v>2</v>
          </cell>
        </row>
        <row r="147">
          <cell r="B147">
            <v>40</v>
          </cell>
          <cell r="C147">
            <v>1.5</v>
          </cell>
          <cell r="D147">
            <v>3.68</v>
          </cell>
          <cell r="E147">
            <v>1</v>
          </cell>
          <cell r="F147">
            <v>0.15</v>
          </cell>
          <cell r="G147">
            <v>0</v>
          </cell>
          <cell r="H147">
            <v>0.15</v>
          </cell>
          <cell r="I147">
            <v>0.15</v>
          </cell>
          <cell r="J147">
            <v>0</v>
          </cell>
          <cell r="K147">
            <v>0.15</v>
          </cell>
          <cell r="L147">
            <v>2</v>
          </cell>
          <cell r="P147">
            <v>2</v>
          </cell>
        </row>
        <row r="148">
          <cell r="B148">
            <v>40</v>
          </cell>
          <cell r="C148">
            <v>1.5</v>
          </cell>
          <cell r="D148">
            <v>3.68</v>
          </cell>
          <cell r="E148">
            <v>1</v>
          </cell>
          <cell r="F148">
            <v>0.15</v>
          </cell>
          <cell r="G148">
            <v>0</v>
          </cell>
          <cell r="H148">
            <v>0.15</v>
          </cell>
          <cell r="I148">
            <v>0.15</v>
          </cell>
          <cell r="J148">
            <v>0</v>
          </cell>
          <cell r="K148">
            <v>0.15</v>
          </cell>
          <cell r="L148">
            <v>2</v>
          </cell>
          <cell r="P148">
            <v>2</v>
          </cell>
        </row>
        <row r="149">
          <cell r="B149">
            <v>40</v>
          </cell>
          <cell r="C149">
            <v>1.5</v>
          </cell>
          <cell r="D149">
            <v>3.68</v>
          </cell>
          <cell r="E149">
            <v>1</v>
          </cell>
          <cell r="F149">
            <v>0.15</v>
          </cell>
          <cell r="G149">
            <v>0</v>
          </cell>
          <cell r="H149">
            <v>0.15</v>
          </cell>
          <cell r="I149">
            <v>0.15</v>
          </cell>
          <cell r="J149">
            <v>0</v>
          </cell>
          <cell r="K149">
            <v>0.15</v>
          </cell>
          <cell r="L149">
            <v>2</v>
          </cell>
          <cell r="P149">
            <v>2</v>
          </cell>
        </row>
        <row r="150">
          <cell r="B150">
            <v>40</v>
          </cell>
          <cell r="C150">
            <v>2</v>
          </cell>
          <cell r="D150">
            <v>3.91</v>
          </cell>
          <cell r="E150">
            <v>1</v>
          </cell>
          <cell r="F150">
            <v>0.3</v>
          </cell>
          <cell r="G150">
            <v>0</v>
          </cell>
          <cell r="H150">
            <v>0.3</v>
          </cell>
          <cell r="I150">
            <v>0.3</v>
          </cell>
          <cell r="J150">
            <v>0</v>
          </cell>
          <cell r="K150">
            <v>0.3</v>
          </cell>
          <cell r="L150">
            <v>2</v>
          </cell>
          <cell r="P150">
            <v>2</v>
          </cell>
        </row>
        <row r="151">
          <cell r="B151">
            <v>40</v>
          </cell>
          <cell r="C151">
            <v>2</v>
          </cell>
          <cell r="D151">
            <v>3.91</v>
          </cell>
          <cell r="E151">
            <v>1</v>
          </cell>
          <cell r="F151">
            <v>0.3</v>
          </cell>
          <cell r="G151">
            <v>0</v>
          </cell>
          <cell r="H151">
            <v>0.3</v>
          </cell>
          <cell r="I151">
            <v>0.3</v>
          </cell>
          <cell r="J151">
            <v>0</v>
          </cell>
          <cell r="K151">
            <v>0.3</v>
          </cell>
          <cell r="L151">
            <v>2</v>
          </cell>
          <cell r="P151">
            <v>2</v>
          </cell>
        </row>
        <row r="152">
          <cell r="B152">
            <v>40</v>
          </cell>
          <cell r="C152">
            <v>2</v>
          </cell>
          <cell r="D152">
            <v>3.91</v>
          </cell>
          <cell r="E152">
            <v>1</v>
          </cell>
          <cell r="F152">
            <v>0.3</v>
          </cell>
          <cell r="G152">
            <v>0</v>
          </cell>
          <cell r="H152">
            <v>0.3</v>
          </cell>
          <cell r="I152">
            <v>0.3</v>
          </cell>
          <cell r="J152">
            <v>0</v>
          </cell>
          <cell r="K152">
            <v>0.3</v>
          </cell>
          <cell r="L152">
            <v>2</v>
          </cell>
          <cell r="P152">
            <v>2</v>
          </cell>
        </row>
        <row r="153">
          <cell r="B153">
            <v>40</v>
          </cell>
          <cell r="C153">
            <v>2.5</v>
          </cell>
          <cell r="D153">
            <v>5.16</v>
          </cell>
          <cell r="E153">
            <v>1</v>
          </cell>
          <cell r="F153">
            <v>0.25</v>
          </cell>
          <cell r="G153">
            <v>0.2</v>
          </cell>
          <cell r="H153">
            <v>0.45</v>
          </cell>
          <cell r="I153">
            <v>0.25</v>
          </cell>
          <cell r="J153">
            <v>0.2</v>
          </cell>
          <cell r="K153">
            <v>0.45</v>
          </cell>
          <cell r="L153">
            <v>2</v>
          </cell>
          <cell r="P153">
            <v>2</v>
          </cell>
        </row>
        <row r="154">
          <cell r="B154">
            <v>40</v>
          </cell>
          <cell r="C154">
            <v>3</v>
          </cell>
          <cell r="D154">
            <v>5.49</v>
          </cell>
          <cell r="E154">
            <v>1</v>
          </cell>
          <cell r="F154">
            <v>0.3</v>
          </cell>
          <cell r="G154">
            <v>0.3</v>
          </cell>
          <cell r="H154">
            <v>0.6</v>
          </cell>
          <cell r="I154">
            <v>0.3</v>
          </cell>
          <cell r="J154">
            <v>0.3</v>
          </cell>
          <cell r="K154">
            <v>0.6</v>
          </cell>
          <cell r="L154">
            <v>2</v>
          </cell>
          <cell r="P154">
            <v>2</v>
          </cell>
        </row>
        <row r="155">
          <cell r="B155">
            <v>40</v>
          </cell>
          <cell r="C155">
            <v>3.5</v>
          </cell>
          <cell r="D155">
            <v>5.74</v>
          </cell>
          <cell r="E155">
            <v>1</v>
          </cell>
          <cell r="F155">
            <v>0.35</v>
          </cell>
          <cell r="G155">
            <v>0.4</v>
          </cell>
          <cell r="H155">
            <v>0.75</v>
          </cell>
          <cell r="I155">
            <v>0.35</v>
          </cell>
          <cell r="J155">
            <v>0.4</v>
          </cell>
          <cell r="K155">
            <v>0.75</v>
          </cell>
          <cell r="L155">
            <v>3</v>
          </cell>
          <cell r="P155">
            <v>3</v>
          </cell>
        </row>
        <row r="156">
          <cell r="B156">
            <v>40</v>
          </cell>
          <cell r="C156">
            <v>4</v>
          </cell>
          <cell r="D156">
            <v>6.02</v>
          </cell>
          <cell r="E156">
            <v>1</v>
          </cell>
          <cell r="F156">
            <v>0.41</v>
          </cell>
          <cell r="G156">
            <v>0.49</v>
          </cell>
          <cell r="H156">
            <v>0.89999999999999991</v>
          </cell>
          <cell r="I156">
            <v>0.41</v>
          </cell>
          <cell r="J156">
            <v>0.49</v>
          </cell>
          <cell r="K156">
            <v>0.89999999999999991</v>
          </cell>
          <cell r="L156">
            <v>3</v>
          </cell>
          <cell r="P156">
            <v>3</v>
          </cell>
        </row>
        <row r="157">
          <cell r="B157">
            <v>40</v>
          </cell>
          <cell r="C157">
            <v>5</v>
          </cell>
          <cell r="D157">
            <v>6.55</v>
          </cell>
          <cell r="E157">
            <v>1</v>
          </cell>
          <cell r="F157">
            <v>0.51</v>
          </cell>
          <cell r="G157">
            <v>0.54</v>
          </cell>
          <cell r="H157">
            <v>1.05</v>
          </cell>
          <cell r="I157">
            <v>0.51</v>
          </cell>
          <cell r="J157">
            <v>0.54</v>
          </cell>
          <cell r="K157">
            <v>1.05</v>
          </cell>
          <cell r="L157">
            <v>4</v>
          </cell>
          <cell r="P157">
            <v>4</v>
          </cell>
        </row>
        <row r="158">
          <cell r="B158">
            <v>40</v>
          </cell>
          <cell r="C158">
            <v>6</v>
          </cell>
          <cell r="D158">
            <v>7.11</v>
          </cell>
          <cell r="E158">
            <v>1</v>
          </cell>
          <cell r="F158">
            <v>0.61</v>
          </cell>
          <cell r="G158">
            <v>1.04</v>
          </cell>
          <cell r="H158">
            <v>1.65</v>
          </cell>
          <cell r="I158">
            <v>0.61</v>
          </cell>
          <cell r="J158">
            <v>1.04</v>
          </cell>
          <cell r="K158">
            <v>1.65</v>
          </cell>
          <cell r="L158">
            <v>4</v>
          </cell>
          <cell r="P158">
            <v>4</v>
          </cell>
        </row>
        <row r="159">
          <cell r="B159">
            <v>40</v>
          </cell>
          <cell r="C159">
            <v>8</v>
          </cell>
          <cell r="D159">
            <v>8.18</v>
          </cell>
          <cell r="E159">
            <v>1</v>
          </cell>
          <cell r="F159">
            <v>0.81</v>
          </cell>
          <cell r="G159">
            <v>1.73</v>
          </cell>
          <cell r="H159">
            <v>2.54</v>
          </cell>
          <cell r="I159">
            <v>0.81</v>
          </cell>
          <cell r="J159">
            <v>1.73</v>
          </cell>
          <cell r="K159">
            <v>2.54</v>
          </cell>
          <cell r="L159">
            <v>4</v>
          </cell>
          <cell r="P159">
            <v>4</v>
          </cell>
        </row>
        <row r="160">
          <cell r="B160">
            <v>40</v>
          </cell>
          <cell r="C160">
            <v>10</v>
          </cell>
          <cell r="D160">
            <v>9.27</v>
          </cell>
          <cell r="E160">
            <v>1</v>
          </cell>
          <cell r="F160">
            <v>1.01</v>
          </cell>
          <cell r="G160">
            <v>3.04</v>
          </cell>
          <cell r="H160">
            <v>4.05</v>
          </cell>
          <cell r="I160">
            <v>1.01</v>
          </cell>
          <cell r="J160">
            <v>3.04</v>
          </cell>
          <cell r="K160">
            <v>4.05</v>
          </cell>
          <cell r="L160">
            <v>4</v>
          </cell>
          <cell r="P160">
            <v>4</v>
          </cell>
        </row>
        <row r="161">
          <cell r="B161">
            <v>40</v>
          </cell>
          <cell r="C161">
            <v>12</v>
          </cell>
          <cell r="D161">
            <v>10.31</v>
          </cell>
          <cell r="E161">
            <v>1.25</v>
          </cell>
          <cell r="F161">
            <v>1.22</v>
          </cell>
          <cell r="G161">
            <v>4.0199999999999996</v>
          </cell>
          <cell r="H161">
            <v>5.2399999999999993</v>
          </cell>
          <cell r="I161">
            <v>1.22</v>
          </cell>
          <cell r="J161">
            <v>4.0199999999999996</v>
          </cell>
          <cell r="K161">
            <v>5.2399999999999993</v>
          </cell>
          <cell r="L161">
            <v>6</v>
          </cell>
          <cell r="P161">
            <v>6</v>
          </cell>
        </row>
        <row r="162">
          <cell r="B162">
            <v>40</v>
          </cell>
          <cell r="C162">
            <v>14</v>
          </cell>
          <cell r="D162">
            <v>11.13</v>
          </cell>
          <cell r="E162">
            <v>1.25</v>
          </cell>
          <cell r="F162">
            <v>1.42</v>
          </cell>
          <cell r="G162">
            <v>5.33</v>
          </cell>
          <cell r="H162">
            <v>6.75</v>
          </cell>
          <cell r="I162">
            <v>1.42</v>
          </cell>
          <cell r="J162">
            <v>5.33</v>
          </cell>
          <cell r="K162">
            <v>6.75</v>
          </cell>
          <cell r="L162">
            <v>6</v>
          </cell>
          <cell r="P162">
            <v>6</v>
          </cell>
        </row>
        <row r="163">
          <cell r="B163">
            <v>40</v>
          </cell>
          <cell r="C163">
            <v>16</v>
          </cell>
          <cell r="D163">
            <v>12.7</v>
          </cell>
          <cell r="E163">
            <v>1.25</v>
          </cell>
          <cell r="F163">
            <v>1.62</v>
          </cell>
          <cell r="G163">
            <v>8.42</v>
          </cell>
          <cell r="H163">
            <v>10.039999999999999</v>
          </cell>
          <cell r="I163">
            <v>1.62</v>
          </cell>
          <cell r="J163">
            <v>8.42</v>
          </cell>
          <cell r="K163">
            <v>10.039999999999999</v>
          </cell>
          <cell r="L163">
            <v>6</v>
          </cell>
          <cell r="P163">
            <v>6</v>
          </cell>
        </row>
        <row r="164">
          <cell r="B164">
            <v>40</v>
          </cell>
          <cell r="C164">
            <v>18</v>
          </cell>
          <cell r="D164">
            <v>14.27</v>
          </cell>
          <cell r="E164">
            <v>1.25</v>
          </cell>
          <cell r="F164">
            <v>1.82</v>
          </cell>
          <cell r="G164">
            <v>11.53</v>
          </cell>
          <cell r="H164">
            <v>13.35</v>
          </cell>
          <cell r="I164">
            <v>1.82</v>
          </cell>
          <cell r="J164">
            <v>11.53</v>
          </cell>
          <cell r="K164">
            <v>13.35</v>
          </cell>
          <cell r="L164">
            <v>6</v>
          </cell>
          <cell r="P164">
            <v>6</v>
          </cell>
        </row>
        <row r="165">
          <cell r="B165">
            <v>40</v>
          </cell>
          <cell r="C165">
            <v>20</v>
          </cell>
          <cell r="D165">
            <v>15.09</v>
          </cell>
          <cell r="E165">
            <v>1.5</v>
          </cell>
          <cell r="F165">
            <v>2.0299999999999998</v>
          </cell>
          <cell r="G165">
            <v>14.47</v>
          </cell>
          <cell r="H165">
            <v>16.5</v>
          </cell>
          <cell r="I165">
            <v>2.0299999999999998</v>
          </cell>
          <cell r="J165">
            <v>14.47</v>
          </cell>
          <cell r="K165">
            <v>16.5</v>
          </cell>
          <cell r="L165">
            <v>7</v>
          </cell>
          <cell r="P165">
            <v>7</v>
          </cell>
        </row>
        <row r="166">
          <cell r="B166">
            <v>40</v>
          </cell>
          <cell r="C166">
            <v>24</v>
          </cell>
          <cell r="D166">
            <v>17.48</v>
          </cell>
          <cell r="E166">
            <v>1.5</v>
          </cell>
          <cell r="F166">
            <v>2.4300000000000002</v>
          </cell>
          <cell r="G166">
            <v>24.57</v>
          </cell>
          <cell r="H166">
            <v>27</v>
          </cell>
          <cell r="I166">
            <v>2.4300000000000002</v>
          </cell>
          <cell r="J166">
            <v>24.57</v>
          </cell>
          <cell r="K166">
            <v>27</v>
          </cell>
          <cell r="L166">
            <v>8</v>
          </cell>
          <cell r="P166">
            <v>8</v>
          </cell>
        </row>
        <row r="167">
          <cell r="B167">
            <v>40</v>
          </cell>
          <cell r="C167">
            <v>32</v>
          </cell>
          <cell r="D167">
            <v>17.48</v>
          </cell>
          <cell r="E167">
            <v>1.5</v>
          </cell>
          <cell r="F167">
            <v>3.24</v>
          </cell>
          <cell r="G167">
            <v>31.26</v>
          </cell>
          <cell r="H167">
            <v>34.5</v>
          </cell>
          <cell r="I167">
            <v>3.24</v>
          </cell>
          <cell r="J167">
            <v>31.26</v>
          </cell>
          <cell r="K167">
            <v>34.5</v>
          </cell>
          <cell r="L167">
            <v>11</v>
          </cell>
          <cell r="P167">
            <v>11</v>
          </cell>
        </row>
        <row r="168">
          <cell r="B168">
            <v>40</v>
          </cell>
          <cell r="C168">
            <v>34</v>
          </cell>
          <cell r="D168">
            <v>17.48</v>
          </cell>
          <cell r="E168">
            <v>1.5</v>
          </cell>
          <cell r="F168">
            <v>3.45</v>
          </cell>
          <cell r="G168">
            <v>34.049999999999997</v>
          </cell>
          <cell r="H168">
            <v>37.5</v>
          </cell>
          <cell r="I168">
            <v>3.45</v>
          </cell>
          <cell r="J168">
            <v>34.049999999999997</v>
          </cell>
          <cell r="K168">
            <v>37.5</v>
          </cell>
          <cell r="L168">
            <v>12</v>
          </cell>
          <cell r="P168">
            <v>12</v>
          </cell>
        </row>
        <row r="169">
          <cell r="B169">
            <v>40</v>
          </cell>
          <cell r="C169">
            <v>36</v>
          </cell>
          <cell r="D169">
            <v>19.05</v>
          </cell>
          <cell r="E169">
            <v>2</v>
          </cell>
          <cell r="F169">
            <v>3.65</v>
          </cell>
          <cell r="G169">
            <v>41.34</v>
          </cell>
          <cell r="H169">
            <v>44.99</v>
          </cell>
          <cell r="I169">
            <v>3.65</v>
          </cell>
          <cell r="J169">
            <v>41.34</v>
          </cell>
          <cell r="K169">
            <v>44.99</v>
          </cell>
          <cell r="L169">
            <v>12</v>
          </cell>
          <cell r="P169">
            <v>12</v>
          </cell>
        </row>
        <row r="170">
          <cell r="B170" t="str">
            <v>40S</v>
          </cell>
          <cell r="C170">
            <v>0.125</v>
          </cell>
          <cell r="D170">
            <v>1.73</v>
          </cell>
          <cell r="E170">
            <v>1</v>
          </cell>
          <cell r="F170">
            <v>7.0000000000000007E-2</v>
          </cell>
          <cell r="G170">
            <v>7.0000000000000007E-2</v>
          </cell>
          <cell r="H170">
            <v>2</v>
          </cell>
          <cell r="I170">
            <v>7.0000000000000007E-2</v>
          </cell>
          <cell r="J170">
            <v>7.0000000000000007E-2</v>
          </cell>
          <cell r="K170">
            <v>7.0000000000000007E-2</v>
          </cell>
          <cell r="P170">
            <v>2</v>
          </cell>
        </row>
        <row r="171">
          <cell r="B171" t="str">
            <v>40S</v>
          </cell>
          <cell r="C171">
            <v>0.125</v>
          </cell>
          <cell r="D171">
            <v>1.73</v>
          </cell>
          <cell r="E171">
            <v>1</v>
          </cell>
          <cell r="F171">
            <v>7.0000000000000007E-2</v>
          </cell>
          <cell r="G171">
            <v>7.0000000000000007E-2</v>
          </cell>
          <cell r="H171">
            <v>2</v>
          </cell>
          <cell r="I171">
            <v>7.0000000000000007E-2</v>
          </cell>
          <cell r="J171">
            <v>7.0000000000000007E-2</v>
          </cell>
          <cell r="K171">
            <v>7.0000000000000007E-2</v>
          </cell>
          <cell r="P171">
            <v>2</v>
          </cell>
        </row>
        <row r="172">
          <cell r="B172" t="str">
            <v>40S</v>
          </cell>
          <cell r="C172">
            <v>0.125</v>
          </cell>
          <cell r="D172">
            <v>1.73</v>
          </cell>
          <cell r="E172">
            <v>1</v>
          </cell>
          <cell r="F172">
            <v>7.0000000000000007E-2</v>
          </cell>
          <cell r="G172">
            <v>7.0000000000000007E-2</v>
          </cell>
          <cell r="H172">
            <v>2</v>
          </cell>
          <cell r="I172">
            <v>7.0000000000000007E-2</v>
          </cell>
          <cell r="J172">
            <v>7.0000000000000007E-2</v>
          </cell>
          <cell r="K172">
            <v>7.0000000000000007E-2</v>
          </cell>
          <cell r="O172">
            <v>1.2583851944036213E+307</v>
          </cell>
          <cell r="P172">
            <v>2</v>
          </cell>
        </row>
        <row r="173">
          <cell r="B173" t="str">
            <v>40S</v>
          </cell>
          <cell r="C173">
            <v>0.25</v>
          </cell>
          <cell r="D173">
            <v>2.2400000000000002</v>
          </cell>
          <cell r="E173">
            <v>1</v>
          </cell>
          <cell r="F173">
            <v>7.0000000000000007E-2</v>
          </cell>
          <cell r="G173">
            <v>7.0000000000000007E-2</v>
          </cell>
          <cell r="H173">
            <v>2</v>
          </cell>
          <cell r="I173">
            <v>7.0000000000000007E-2</v>
          </cell>
          <cell r="J173">
            <v>7.0000000000000007E-2</v>
          </cell>
          <cell r="K173">
            <v>7.0000000000000007E-2</v>
          </cell>
          <cell r="P173">
            <v>2</v>
          </cell>
        </row>
        <row r="174">
          <cell r="B174" t="str">
            <v>40S</v>
          </cell>
          <cell r="C174">
            <v>0.25</v>
          </cell>
          <cell r="D174">
            <v>2.2400000000000002</v>
          </cell>
          <cell r="E174">
            <v>1</v>
          </cell>
          <cell r="F174">
            <v>7.0000000000000007E-2</v>
          </cell>
          <cell r="G174">
            <v>7.0000000000000007E-2</v>
          </cell>
          <cell r="H174">
            <v>2</v>
          </cell>
          <cell r="I174">
            <v>7.0000000000000007E-2</v>
          </cell>
          <cell r="J174">
            <v>7.0000000000000007E-2</v>
          </cell>
          <cell r="K174">
            <v>7.0000000000000007E-2</v>
          </cell>
          <cell r="P174">
            <v>2</v>
          </cell>
        </row>
        <row r="175">
          <cell r="B175" t="str">
            <v>40S</v>
          </cell>
          <cell r="C175">
            <v>0.25</v>
          </cell>
          <cell r="D175">
            <v>2.2400000000000002</v>
          </cell>
          <cell r="E175">
            <v>1</v>
          </cell>
          <cell r="F175">
            <v>0</v>
          </cell>
          <cell r="G175">
            <v>0</v>
          </cell>
          <cell r="H175">
            <v>2</v>
          </cell>
          <cell r="I175">
            <v>7.0000000000000007E-2</v>
          </cell>
          <cell r="J175">
            <v>7.0000000000000007E-2</v>
          </cell>
          <cell r="K175">
            <v>7.0000000000000007E-2</v>
          </cell>
          <cell r="P175">
            <v>2</v>
          </cell>
        </row>
        <row r="176">
          <cell r="B176" t="str">
            <v>40S</v>
          </cell>
          <cell r="C176">
            <v>0.375</v>
          </cell>
          <cell r="D176">
            <v>2.31</v>
          </cell>
          <cell r="E176">
            <v>1</v>
          </cell>
          <cell r="F176">
            <v>7.0000000000000007E-2</v>
          </cell>
          <cell r="G176">
            <v>7.0000000000000007E-2</v>
          </cell>
          <cell r="H176">
            <v>2</v>
          </cell>
          <cell r="I176">
            <v>7.0000000000000007E-2</v>
          </cell>
          <cell r="J176">
            <v>7.0000000000000007E-2</v>
          </cell>
          <cell r="K176">
            <v>7.0000000000000007E-2</v>
          </cell>
          <cell r="P176">
            <v>2</v>
          </cell>
        </row>
        <row r="177">
          <cell r="B177" t="str">
            <v>40S</v>
          </cell>
          <cell r="C177">
            <v>0.375</v>
          </cell>
          <cell r="D177">
            <v>2.31</v>
          </cell>
          <cell r="E177">
            <v>1</v>
          </cell>
          <cell r="F177">
            <v>7.0000000000000007E-2</v>
          </cell>
          <cell r="G177">
            <v>7.0000000000000007E-2</v>
          </cell>
          <cell r="H177">
            <v>2</v>
          </cell>
          <cell r="I177">
            <v>7.0000000000000007E-2</v>
          </cell>
          <cell r="J177">
            <v>7.0000000000000007E-2</v>
          </cell>
          <cell r="K177">
            <v>7.0000000000000007E-2</v>
          </cell>
          <cell r="P177">
            <v>2</v>
          </cell>
        </row>
        <row r="178">
          <cell r="B178" t="str">
            <v>40S</v>
          </cell>
          <cell r="C178">
            <v>0.375</v>
          </cell>
          <cell r="D178">
            <v>2.31</v>
          </cell>
          <cell r="E178">
            <v>1</v>
          </cell>
          <cell r="F178">
            <v>7.0000000000000007E-2</v>
          </cell>
          <cell r="G178">
            <v>7.0000000000000007E-2</v>
          </cell>
          <cell r="H178">
            <v>2</v>
          </cell>
          <cell r="I178">
            <v>7.0000000000000007E-2</v>
          </cell>
          <cell r="J178">
            <v>7.0000000000000007E-2</v>
          </cell>
          <cell r="K178">
            <v>7.0000000000000007E-2</v>
          </cell>
          <cell r="P178">
            <v>2</v>
          </cell>
        </row>
        <row r="179">
          <cell r="B179" t="str">
            <v>40S</v>
          </cell>
          <cell r="C179">
            <v>0.5</v>
          </cell>
          <cell r="D179">
            <v>2.77</v>
          </cell>
          <cell r="E179">
            <v>1</v>
          </cell>
          <cell r="F179">
            <v>7.0000000000000007E-2</v>
          </cell>
          <cell r="G179">
            <v>0</v>
          </cell>
          <cell r="H179">
            <v>7.0000000000000007E-2</v>
          </cell>
          <cell r="I179">
            <v>7.0000000000000007E-2</v>
          </cell>
          <cell r="J179">
            <v>0</v>
          </cell>
          <cell r="K179">
            <v>7.0000000000000007E-2</v>
          </cell>
          <cell r="L179">
            <v>2</v>
          </cell>
          <cell r="P179">
            <v>2</v>
          </cell>
        </row>
        <row r="180">
          <cell r="B180" t="str">
            <v>40S</v>
          </cell>
          <cell r="C180">
            <v>0.5</v>
          </cell>
          <cell r="D180">
            <v>2.77</v>
          </cell>
          <cell r="E180">
            <v>1</v>
          </cell>
          <cell r="F180">
            <v>7.0000000000000007E-2</v>
          </cell>
          <cell r="G180">
            <v>0</v>
          </cell>
          <cell r="H180">
            <v>7.0000000000000007E-2</v>
          </cell>
          <cell r="I180">
            <v>7.0000000000000007E-2</v>
          </cell>
          <cell r="J180">
            <v>0</v>
          </cell>
          <cell r="K180">
            <v>7.0000000000000007E-2</v>
          </cell>
          <cell r="L180">
            <v>2</v>
          </cell>
          <cell r="P180">
            <v>2</v>
          </cell>
        </row>
        <row r="181">
          <cell r="B181" t="str">
            <v>40S</v>
          </cell>
          <cell r="C181">
            <v>0.5</v>
          </cell>
          <cell r="D181">
            <v>2.77</v>
          </cell>
          <cell r="E181">
            <v>1</v>
          </cell>
          <cell r="F181">
            <v>7.0000000000000007E-2</v>
          </cell>
          <cell r="G181">
            <v>0</v>
          </cell>
          <cell r="H181">
            <v>7.0000000000000007E-2</v>
          </cell>
          <cell r="I181">
            <v>7.0000000000000007E-2</v>
          </cell>
          <cell r="J181">
            <v>0</v>
          </cell>
          <cell r="K181">
            <v>7.0000000000000007E-2</v>
          </cell>
          <cell r="L181">
            <v>2</v>
          </cell>
          <cell r="P181">
            <v>2</v>
          </cell>
        </row>
        <row r="182">
          <cell r="B182" t="str">
            <v>40S</v>
          </cell>
          <cell r="C182">
            <v>0.75</v>
          </cell>
          <cell r="D182">
            <v>2.87</v>
          </cell>
          <cell r="E182">
            <v>1</v>
          </cell>
          <cell r="F182">
            <v>7.0000000000000007E-2</v>
          </cell>
          <cell r="G182">
            <v>0</v>
          </cell>
          <cell r="H182">
            <v>7.0000000000000007E-2</v>
          </cell>
          <cell r="I182">
            <v>7.0000000000000007E-2</v>
          </cell>
          <cell r="J182">
            <v>0</v>
          </cell>
          <cell r="K182">
            <v>7.0000000000000007E-2</v>
          </cell>
          <cell r="L182">
            <v>2</v>
          </cell>
          <cell r="P182">
            <v>2</v>
          </cell>
        </row>
        <row r="183">
          <cell r="B183" t="str">
            <v>40S</v>
          </cell>
          <cell r="C183">
            <v>0.75</v>
          </cell>
          <cell r="D183">
            <v>2.87</v>
          </cell>
          <cell r="E183">
            <v>1</v>
          </cell>
          <cell r="F183">
            <v>7.0000000000000007E-2</v>
          </cell>
          <cell r="G183">
            <v>0</v>
          </cell>
          <cell r="H183">
            <v>7.0000000000000007E-2</v>
          </cell>
          <cell r="I183">
            <v>7.0000000000000007E-2</v>
          </cell>
          <cell r="J183">
            <v>0</v>
          </cell>
          <cell r="K183">
            <v>7.0000000000000007E-2</v>
          </cell>
          <cell r="L183">
            <v>2</v>
          </cell>
          <cell r="P183">
            <v>2</v>
          </cell>
        </row>
        <row r="184">
          <cell r="B184" t="str">
            <v>40S</v>
          </cell>
          <cell r="C184">
            <v>0.75</v>
          </cell>
          <cell r="D184">
            <v>2.87</v>
          </cell>
          <cell r="E184">
            <v>1</v>
          </cell>
          <cell r="F184">
            <v>7.0000000000000007E-2</v>
          </cell>
          <cell r="G184">
            <v>0</v>
          </cell>
          <cell r="H184">
            <v>7.0000000000000007E-2</v>
          </cell>
          <cell r="I184">
            <v>7.0000000000000007E-2</v>
          </cell>
          <cell r="J184">
            <v>0</v>
          </cell>
          <cell r="K184">
            <v>7.0000000000000007E-2</v>
          </cell>
          <cell r="L184">
            <v>2</v>
          </cell>
          <cell r="P184">
            <v>2</v>
          </cell>
        </row>
        <row r="185">
          <cell r="B185" t="str">
            <v>40S</v>
          </cell>
          <cell r="C185">
            <v>1</v>
          </cell>
          <cell r="D185">
            <v>3.38</v>
          </cell>
          <cell r="E185">
            <v>1</v>
          </cell>
          <cell r="F185">
            <v>0.12</v>
          </cell>
          <cell r="G185">
            <v>0</v>
          </cell>
          <cell r="H185">
            <v>0.12</v>
          </cell>
          <cell r="I185">
            <v>0.12</v>
          </cell>
          <cell r="J185">
            <v>0</v>
          </cell>
          <cell r="K185">
            <v>0.12</v>
          </cell>
          <cell r="L185">
            <v>2</v>
          </cell>
          <cell r="P185">
            <v>2</v>
          </cell>
        </row>
        <row r="186">
          <cell r="B186" t="str">
            <v>40S</v>
          </cell>
          <cell r="C186">
            <v>1</v>
          </cell>
          <cell r="D186">
            <v>3.38</v>
          </cell>
          <cell r="E186">
            <v>1</v>
          </cell>
          <cell r="F186">
            <v>0.12</v>
          </cell>
          <cell r="G186">
            <v>0</v>
          </cell>
          <cell r="H186">
            <v>0.12</v>
          </cell>
          <cell r="I186">
            <v>0.12</v>
          </cell>
          <cell r="J186">
            <v>0</v>
          </cell>
          <cell r="K186">
            <v>0.12</v>
          </cell>
          <cell r="L186">
            <v>2</v>
          </cell>
          <cell r="P186">
            <v>2</v>
          </cell>
        </row>
        <row r="187">
          <cell r="B187" t="str">
            <v>40S</v>
          </cell>
          <cell r="C187">
            <v>1</v>
          </cell>
          <cell r="D187">
            <v>3.38</v>
          </cell>
          <cell r="E187">
            <v>1</v>
          </cell>
          <cell r="F187">
            <v>0.12</v>
          </cell>
          <cell r="G187">
            <v>0</v>
          </cell>
          <cell r="H187">
            <v>0.12</v>
          </cell>
          <cell r="I187">
            <v>0.12</v>
          </cell>
          <cell r="J187">
            <v>0</v>
          </cell>
          <cell r="K187">
            <v>0.12</v>
          </cell>
          <cell r="L187">
            <v>2</v>
          </cell>
          <cell r="P187">
            <v>2</v>
          </cell>
        </row>
        <row r="188">
          <cell r="B188" t="str">
            <v>40S</v>
          </cell>
          <cell r="C188">
            <v>1.25</v>
          </cell>
          <cell r="D188">
            <v>3.56</v>
          </cell>
          <cell r="E188">
            <v>1</v>
          </cell>
          <cell r="F188">
            <v>0.15</v>
          </cell>
          <cell r="G188">
            <v>0.15</v>
          </cell>
          <cell r="H188">
            <v>2</v>
          </cell>
          <cell r="I188">
            <v>0.15</v>
          </cell>
          <cell r="J188">
            <v>0.15</v>
          </cell>
          <cell r="K188">
            <v>0.15</v>
          </cell>
          <cell r="P188">
            <v>2</v>
          </cell>
        </row>
        <row r="189">
          <cell r="B189" t="str">
            <v>40S</v>
          </cell>
          <cell r="C189">
            <v>1.25</v>
          </cell>
          <cell r="D189">
            <v>3.56</v>
          </cell>
          <cell r="E189">
            <v>1</v>
          </cell>
          <cell r="F189">
            <v>0.15</v>
          </cell>
          <cell r="G189">
            <v>0.15</v>
          </cell>
          <cell r="H189">
            <v>2</v>
          </cell>
          <cell r="I189">
            <v>0.15</v>
          </cell>
          <cell r="J189">
            <v>0.15</v>
          </cell>
          <cell r="K189">
            <v>0.15</v>
          </cell>
          <cell r="P189">
            <v>2</v>
          </cell>
        </row>
        <row r="190">
          <cell r="B190" t="str">
            <v>40S</v>
          </cell>
          <cell r="C190">
            <v>1.25</v>
          </cell>
          <cell r="D190">
            <v>3.56</v>
          </cell>
          <cell r="E190">
            <v>1</v>
          </cell>
          <cell r="F190">
            <v>0.15</v>
          </cell>
          <cell r="G190">
            <v>0.15</v>
          </cell>
          <cell r="H190">
            <v>2</v>
          </cell>
          <cell r="I190">
            <v>0.15</v>
          </cell>
          <cell r="J190">
            <v>8.42</v>
          </cell>
          <cell r="K190">
            <v>0.15</v>
          </cell>
          <cell r="P190">
            <v>2</v>
          </cell>
        </row>
        <row r="191">
          <cell r="B191" t="str">
            <v>40S</v>
          </cell>
          <cell r="C191">
            <v>1.5</v>
          </cell>
          <cell r="D191">
            <v>3.68</v>
          </cell>
          <cell r="E191">
            <v>1</v>
          </cell>
          <cell r="F191">
            <v>0.15</v>
          </cell>
          <cell r="G191">
            <v>0</v>
          </cell>
          <cell r="H191">
            <v>0.15</v>
          </cell>
          <cell r="I191">
            <v>0.15</v>
          </cell>
          <cell r="J191">
            <v>0</v>
          </cell>
          <cell r="K191">
            <v>0.15</v>
          </cell>
          <cell r="L191">
            <v>2</v>
          </cell>
          <cell r="P191">
            <v>2</v>
          </cell>
        </row>
        <row r="192">
          <cell r="B192" t="str">
            <v>40S</v>
          </cell>
          <cell r="C192">
            <v>1.5</v>
          </cell>
          <cell r="D192">
            <v>3.68</v>
          </cell>
          <cell r="E192">
            <v>1</v>
          </cell>
          <cell r="F192">
            <v>0.15</v>
          </cell>
          <cell r="G192">
            <v>0</v>
          </cell>
          <cell r="H192">
            <v>0.15</v>
          </cell>
          <cell r="I192">
            <v>0.15</v>
          </cell>
          <cell r="J192">
            <v>0</v>
          </cell>
          <cell r="K192">
            <v>0.15</v>
          </cell>
          <cell r="L192">
            <v>2</v>
          </cell>
          <cell r="P192">
            <v>2</v>
          </cell>
        </row>
        <row r="193">
          <cell r="B193" t="str">
            <v>40S</v>
          </cell>
          <cell r="C193">
            <v>1.5</v>
          </cell>
          <cell r="D193">
            <v>3.68</v>
          </cell>
          <cell r="E193">
            <v>1</v>
          </cell>
          <cell r="F193">
            <v>0.15</v>
          </cell>
          <cell r="G193">
            <v>0</v>
          </cell>
          <cell r="H193">
            <v>0.15</v>
          </cell>
          <cell r="I193">
            <v>0.15</v>
          </cell>
          <cell r="J193">
            <v>0</v>
          </cell>
          <cell r="K193">
            <v>0.15</v>
          </cell>
          <cell r="L193">
            <v>2</v>
          </cell>
          <cell r="P193">
            <v>2</v>
          </cell>
        </row>
        <row r="194">
          <cell r="B194" t="str">
            <v>40S</v>
          </cell>
          <cell r="C194">
            <v>2</v>
          </cell>
          <cell r="D194">
            <v>3.91</v>
          </cell>
          <cell r="E194">
            <v>1</v>
          </cell>
          <cell r="F194">
            <v>0.3</v>
          </cell>
          <cell r="G194">
            <v>0</v>
          </cell>
          <cell r="H194">
            <v>0.3</v>
          </cell>
          <cell r="I194">
            <v>0.3</v>
          </cell>
          <cell r="J194">
            <v>0</v>
          </cell>
          <cell r="K194">
            <v>0.3</v>
          </cell>
          <cell r="L194">
            <v>2</v>
          </cell>
          <cell r="P194">
            <v>2</v>
          </cell>
        </row>
        <row r="195">
          <cell r="B195" t="str">
            <v>40S</v>
          </cell>
          <cell r="C195">
            <v>2</v>
          </cell>
          <cell r="D195">
            <v>3.91</v>
          </cell>
          <cell r="E195">
            <v>1</v>
          </cell>
          <cell r="F195">
            <v>0.3</v>
          </cell>
          <cell r="G195">
            <v>0</v>
          </cell>
          <cell r="H195">
            <v>0.3</v>
          </cell>
          <cell r="I195">
            <v>0.3</v>
          </cell>
          <cell r="J195">
            <v>0</v>
          </cell>
          <cell r="K195">
            <v>0.3</v>
          </cell>
          <cell r="L195">
            <v>2</v>
          </cell>
          <cell r="M195">
            <v>0</v>
          </cell>
          <cell r="N195">
            <v>4.1166770151461775E-312</v>
          </cell>
          <cell r="O195" t="str">
            <v>40S</v>
          </cell>
          <cell r="P195">
            <v>2</v>
          </cell>
          <cell r="Q195">
            <v>3.9099923706054689</v>
          </cell>
          <cell r="R195">
            <v>1</v>
          </cell>
        </row>
        <row r="196">
          <cell r="B196" t="str">
            <v>40S</v>
          </cell>
          <cell r="C196">
            <v>2</v>
          </cell>
          <cell r="D196">
            <v>3.91</v>
          </cell>
          <cell r="E196">
            <v>1</v>
          </cell>
          <cell r="F196">
            <v>0.3</v>
          </cell>
          <cell r="G196">
            <v>0</v>
          </cell>
          <cell r="H196">
            <v>0.3</v>
          </cell>
          <cell r="I196">
            <v>0.3</v>
          </cell>
          <cell r="J196">
            <v>0</v>
          </cell>
          <cell r="K196">
            <v>0.3</v>
          </cell>
          <cell r="L196">
            <v>2</v>
          </cell>
          <cell r="P196">
            <v>2</v>
          </cell>
        </row>
        <row r="197">
          <cell r="B197" t="str">
            <v>40S</v>
          </cell>
          <cell r="C197">
            <v>2.5</v>
          </cell>
          <cell r="D197">
            <v>5.16</v>
          </cell>
          <cell r="E197">
            <v>1</v>
          </cell>
          <cell r="F197">
            <v>0.25</v>
          </cell>
          <cell r="G197">
            <v>0.2</v>
          </cell>
          <cell r="H197">
            <v>0.45</v>
          </cell>
          <cell r="I197">
            <v>0.25</v>
          </cell>
          <cell r="J197">
            <v>0.2</v>
          </cell>
          <cell r="K197">
            <v>0.45</v>
          </cell>
          <cell r="L197">
            <v>2</v>
          </cell>
          <cell r="P197">
            <v>2</v>
          </cell>
        </row>
        <row r="198">
          <cell r="B198" t="str">
            <v>40S</v>
          </cell>
          <cell r="C198">
            <v>3</v>
          </cell>
          <cell r="D198">
            <v>5.49</v>
          </cell>
          <cell r="E198">
            <v>1</v>
          </cell>
          <cell r="F198">
            <v>0.3</v>
          </cell>
          <cell r="G198">
            <v>0.3</v>
          </cell>
          <cell r="H198">
            <v>0.6</v>
          </cell>
          <cell r="I198">
            <v>0.3</v>
          </cell>
          <cell r="J198">
            <v>0.3</v>
          </cell>
          <cell r="K198">
            <v>0.6</v>
          </cell>
          <cell r="L198">
            <v>2</v>
          </cell>
          <cell r="P198">
            <v>2</v>
          </cell>
        </row>
        <row r="199">
          <cell r="B199" t="str">
            <v>40S</v>
          </cell>
          <cell r="C199">
            <v>3.5</v>
          </cell>
          <cell r="D199">
            <v>5.74</v>
          </cell>
          <cell r="E199">
            <v>1</v>
          </cell>
          <cell r="F199">
            <v>0.35</v>
          </cell>
          <cell r="G199">
            <v>0.4</v>
          </cell>
          <cell r="H199">
            <v>0.75</v>
          </cell>
          <cell r="I199">
            <v>0.35</v>
          </cell>
          <cell r="J199">
            <v>0.4</v>
          </cell>
          <cell r="K199">
            <v>0.75</v>
          </cell>
          <cell r="L199">
            <v>3</v>
          </cell>
          <cell r="P199">
            <v>3</v>
          </cell>
        </row>
        <row r="200">
          <cell r="B200" t="str">
            <v>40S</v>
          </cell>
          <cell r="C200">
            <v>4</v>
          </cell>
          <cell r="D200">
            <v>6.02</v>
          </cell>
          <cell r="E200">
            <v>1</v>
          </cell>
          <cell r="F200">
            <v>0.41</v>
          </cell>
          <cell r="G200">
            <v>0.49</v>
          </cell>
          <cell r="H200">
            <v>0.89999999999999991</v>
          </cell>
          <cell r="I200">
            <v>0.41</v>
          </cell>
          <cell r="J200">
            <v>0.49</v>
          </cell>
          <cell r="K200">
            <v>0.89999999999999991</v>
          </cell>
          <cell r="L200">
            <v>3</v>
          </cell>
          <cell r="P200">
            <v>3</v>
          </cell>
        </row>
        <row r="201">
          <cell r="B201" t="str">
            <v>40S</v>
          </cell>
          <cell r="C201">
            <v>5</v>
          </cell>
          <cell r="D201">
            <v>6.55</v>
          </cell>
          <cell r="E201">
            <v>1</v>
          </cell>
          <cell r="F201">
            <v>0.51</v>
          </cell>
          <cell r="G201">
            <v>0.54</v>
          </cell>
          <cell r="H201">
            <v>1.05</v>
          </cell>
          <cell r="I201">
            <v>0.51</v>
          </cell>
          <cell r="J201">
            <v>0.54</v>
          </cell>
          <cell r="K201">
            <v>1.05</v>
          </cell>
          <cell r="L201">
            <v>4</v>
          </cell>
          <cell r="P201">
            <v>4</v>
          </cell>
        </row>
        <row r="202">
          <cell r="B202" t="str">
            <v>40S</v>
          </cell>
          <cell r="C202">
            <v>6</v>
          </cell>
          <cell r="D202">
            <v>7.11</v>
          </cell>
          <cell r="E202">
            <v>1</v>
          </cell>
          <cell r="F202">
            <v>0.61</v>
          </cell>
          <cell r="G202">
            <v>1.04</v>
          </cell>
          <cell r="H202">
            <v>1.65</v>
          </cell>
          <cell r="I202">
            <v>0.61</v>
          </cell>
          <cell r="J202">
            <v>1.04</v>
          </cell>
          <cell r="K202">
            <v>1.65</v>
          </cell>
          <cell r="L202">
            <v>4</v>
          </cell>
          <cell r="P202">
            <v>4</v>
          </cell>
        </row>
        <row r="203">
          <cell r="B203" t="str">
            <v>40S</v>
          </cell>
          <cell r="C203">
            <v>8</v>
          </cell>
          <cell r="D203">
            <v>8.18</v>
          </cell>
          <cell r="E203">
            <v>1</v>
          </cell>
          <cell r="F203">
            <v>0.81</v>
          </cell>
          <cell r="G203">
            <v>1.73</v>
          </cell>
          <cell r="H203">
            <v>2.54</v>
          </cell>
          <cell r="I203">
            <v>0.81</v>
          </cell>
          <cell r="J203">
            <v>1.73</v>
          </cell>
          <cell r="K203">
            <v>2.54</v>
          </cell>
          <cell r="L203">
            <v>4</v>
          </cell>
          <cell r="P203">
            <v>4</v>
          </cell>
        </row>
        <row r="204">
          <cell r="B204" t="str">
            <v>40S</v>
          </cell>
          <cell r="C204">
            <v>10</v>
          </cell>
          <cell r="D204">
            <v>9.27</v>
          </cell>
          <cell r="E204">
            <v>1</v>
          </cell>
          <cell r="F204">
            <v>1.01</v>
          </cell>
          <cell r="G204">
            <v>3.04</v>
          </cell>
          <cell r="H204">
            <v>4.05</v>
          </cell>
          <cell r="I204">
            <v>1.01</v>
          </cell>
          <cell r="J204">
            <v>3.04</v>
          </cell>
          <cell r="K204">
            <v>4.05</v>
          </cell>
          <cell r="L204">
            <v>4</v>
          </cell>
          <cell r="P204">
            <v>4</v>
          </cell>
        </row>
        <row r="205">
          <cell r="B205" t="str">
            <v>40S</v>
          </cell>
          <cell r="C205">
            <v>12</v>
          </cell>
          <cell r="D205">
            <v>9.5299999999999994</v>
          </cell>
          <cell r="E205">
            <v>1</v>
          </cell>
          <cell r="F205">
            <v>1.22</v>
          </cell>
          <cell r="G205">
            <v>3.28</v>
          </cell>
          <cell r="H205">
            <v>4.5</v>
          </cell>
          <cell r="I205">
            <v>1.22</v>
          </cell>
          <cell r="J205">
            <v>3.28</v>
          </cell>
          <cell r="K205">
            <v>4.5</v>
          </cell>
          <cell r="L205">
            <v>6</v>
          </cell>
          <cell r="P205">
            <v>6</v>
          </cell>
        </row>
        <row r="206">
          <cell r="B206">
            <v>60</v>
          </cell>
          <cell r="C206">
            <v>8</v>
          </cell>
          <cell r="D206">
            <v>10.31</v>
          </cell>
          <cell r="E206">
            <v>1.25</v>
          </cell>
          <cell r="F206">
            <v>0.81</v>
          </cell>
          <cell r="G206">
            <v>2.64</v>
          </cell>
          <cell r="H206">
            <v>3.45</v>
          </cell>
          <cell r="I206">
            <v>0.81</v>
          </cell>
          <cell r="J206">
            <v>2.64</v>
          </cell>
          <cell r="K206">
            <v>3.45</v>
          </cell>
          <cell r="L206">
            <v>4</v>
          </cell>
          <cell r="P206">
            <v>4</v>
          </cell>
        </row>
        <row r="207">
          <cell r="B207">
            <v>60</v>
          </cell>
          <cell r="C207">
            <v>10</v>
          </cell>
          <cell r="D207">
            <v>12.7</v>
          </cell>
          <cell r="E207">
            <v>1.25</v>
          </cell>
          <cell r="F207">
            <v>1.01</v>
          </cell>
          <cell r="G207">
            <v>5.74</v>
          </cell>
          <cell r="H207">
            <v>6.75</v>
          </cell>
          <cell r="I207">
            <v>1.01</v>
          </cell>
          <cell r="J207">
            <v>5.74</v>
          </cell>
          <cell r="K207">
            <v>6.75</v>
          </cell>
          <cell r="L207">
            <v>4</v>
          </cell>
          <cell r="P207">
            <v>4</v>
          </cell>
        </row>
        <row r="208">
          <cell r="B208">
            <v>60</v>
          </cell>
          <cell r="C208">
            <v>12</v>
          </cell>
          <cell r="D208">
            <v>14.27</v>
          </cell>
          <cell r="E208">
            <v>1.25</v>
          </cell>
          <cell r="F208">
            <v>1.22</v>
          </cell>
          <cell r="G208">
            <v>8.3800000000000008</v>
          </cell>
          <cell r="H208">
            <v>9.6000000000000014</v>
          </cell>
          <cell r="I208">
            <v>1.22</v>
          </cell>
          <cell r="J208">
            <v>8.3800000000000008</v>
          </cell>
          <cell r="K208">
            <v>9.6000000000000014</v>
          </cell>
          <cell r="L208">
            <v>6</v>
          </cell>
          <cell r="P208">
            <v>6</v>
          </cell>
        </row>
        <row r="209">
          <cell r="B209">
            <v>60</v>
          </cell>
          <cell r="C209">
            <v>14</v>
          </cell>
          <cell r="D209">
            <v>15.09</v>
          </cell>
          <cell r="E209">
            <v>1.5</v>
          </cell>
          <cell r="F209">
            <v>1.42</v>
          </cell>
          <cell r="G209">
            <v>9.9700000000000006</v>
          </cell>
          <cell r="H209">
            <v>11.39</v>
          </cell>
          <cell r="I209">
            <v>1.42</v>
          </cell>
          <cell r="J209">
            <v>9.9700000000000006</v>
          </cell>
          <cell r="K209">
            <v>11.39</v>
          </cell>
          <cell r="L209">
            <v>6</v>
          </cell>
          <cell r="P209">
            <v>6</v>
          </cell>
        </row>
        <row r="210">
          <cell r="B210">
            <v>60</v>
          </cell>
          <cell r="C210">
            <v>16</v>
          </cell>
          <cell r="D210">
            <v>16.66</v>
          </cell>
          <cell r="E210">
            <v>1.5</v>
          </cell>
          <cell r="F210">
            <v>1.62</v>
          </cell>
          <cell r="G210">
            <v>14.88</v>
          </cell>
          <cell r="H210">
            <v>16.5</v>
          </cell>
          <cell r="I210">
            <v>1.62</v>
          </cell>
          <cell r="J210">
            <v>14.88</v>
          </cell>
          <cell r="K210">
            <v>16.5</v>
          </cell>
          <cell r="L210">
            <v>6</v>
          </cell>
          <cell r="P210">
            <v>6</v>
          </cell>
        </row>
        <row r="211">
          <cell r="B211">
            <v>60</v>
          </cell>
          <cell r="C211">
            <v>18</v>
          </cell>
          <cell r="D211">
            <v>19.05</v>
          </cell>
          <cell r="E211">
            <v>2</v>
          </cell>
          <cell r="F211">
            <v>1.82</v>
          </cell>
          <cell r="G211">
            <v>20.67</v>
          </cell>
          <cell r="H211">
            <v>22.490000000000002</v>
          </cell>
          <cell r="I211">
            <v>1.82</v>
          </cell>
          <cell r="J211">
            <v>20.67</v>
          </cell>
          <cell r="K211">
            <v>22.490000000000002</v>
          </cell>
          <cell r="L211">
            <v>6</v>
          </cell>
          <cell r="P211">
            <v>6</v>
          </cell>
        </row>
        <row r="212">
          <cell r="B212">
            <v>60</v>
          </cell>
          <cell r="C212">
            <v>20</v>
          </cell>
          <cell r="D212">
            <v>20.62</v>
          </cell>
          <cell r="E212">
            <v>2</v>
          </cell>
          <cell r="F212">
            <v>2.0299999999999998</v>
          </cell>
          <cell r="G212">
            <v>23.47</v>
          </cell>
          <cell r="H212">
            <v>25.5</v>
          </cell>
          <cell r="I212">
            <v>2.0299999999999998</v>
          </cell>
          <cell r="J212">
            <v>23.47</v>
          </cell>
          <cell r="K212">
            <v>25.5</v>
          </cell>
          <cell r="L212">
            <v>7</v>
          </cell>
          <cell r="P212">
            <v>7</v>
          </cell>
        </row>
        <row r="213">
          <cell r="B213">
            <v>60</v>
          </cell>
          <cell r="C213">
            <v>22</v>
          </cell>
          <cell r="D213">
            <v>22.23</v>
          </cell>
          <cell r="E213">
            <v>2</v>
          </cell>
          <cell r="F213">
            <v>2.23</v>
          </cell>
          <cell r="G213">
            <v>29.27</v>
          </cell>
          <cell r="H213">
            <v>31.5</v>
          </cell>
          <cell r="I213">
            <v>2.23</v>
          </cell>
          <cell r="J213">
            <v>29.27</v>
          </cell>
          <cell r="K213">
            <v>31.5</v>
          </cell>
          <cell r="L213">
            <v>8</v>
          </cell>
          <cell r="P213">
            <v>8</v>
          </cell>
        </row>
        <row r="214">
          <cell r="B214">
            <v>60</v>
          </cell>
          <cell r="C214">
            <v>24</v>
          </cell>
          <cell r="D214">
            <v>24.61</v>
          </cell>
          <cell r="E214">
            <v>2</v>
          </cell>
          <cell r="F214">
            <v>2.4300000000000002</v>
          </cell>
          <cell r="G214">
            <v>35.07</v>
          </cell>
          <cell r="H214">
            <v>37.5</v>
          </cell>
          <cell r="I214">
            <v>2.4300000000000002</v>
          </cell>
          <cell r="J214">
            <v>35.07</v>
          </cell>
          <cell r="K214">
            <v>37.5</v>
          </cell>
          <cell r="L214">
            <v>8</v>
          </cell>
          <cell r="P214">
            <v>8</v>
          </cell>
        </row>
        <row r="215">
          <cell r="B215">
            <v>80</v>
          </cell>
          <cell r="C215">
            <v>0.125</v>
          </cell>
          <cell r="D215">
            <v>2.41</v>
          </cell>
          <cell r="E215">
            <v>1</v>
          </cell>
          <cell r="F215">
            <v>7.0000000000000007E-2</v>
          </cell>
          <cell r="G215">
            <v>7.0000000000000007E-2</v>
          </cell>
          <cell r="H215">
            <v>2</v>
          </cell>
          <cell r="I215">
            <v>7.0000000000000007E-2</v>
          </cell>
          <cell r="J215">
            <v>7.0000000000000007E-2</v>
          </cell>
          <cell r="K215">
            <v>7.0000000000000007E-2</v>
          </cell>
          <cell r="P215">
            <v>2</v>
          </cell>
        </row>
        <row r="216">
          <cell r="B216">
            <v>80</v>
          </cell>
          <cell r="C216">
            <v>0.125</v>
          </cell>
          <cell r="D216">
            <v>2.41</v>
          </cell>
          <cell r="E216">
            <v>1</v>
          </cell>
          <cell r="F216">
            <v>7.0000000000000007E-2</v>
          </cell>
          <cell r="G216">
            <v>7.0000000000000007E-2</v>
          </cell>
          <cell r="H216">
            <v>2</v>
          </cell>
          <cell r="I216">
            <v>7.0000000000000007E-2</v>
          </cell>
          <cell r="J216">
            <v>7.0000000000000007E-2</v>
          </cell>
          <cell r="K216">
            <v>7.0000000000000007E-2</v>
          </cell>
          <cell r="P216">
            <v>2</v>
          </cell>
        </row>
        <row r="217">
          <cell r="B217">
            <v>80</v>
          </cell>
          <cell r="C217">
            <v>0.125</v>
          </cell>
          <cell r="D217">
            <v>2.41</v>
          </cell>
          <cell r="E217">
            <v>1</v>
          </cell>
          <cell r="F217">
            <v>7.0000000000000007E-2</v>
          </cell>
          <cell r="G217">
            <v>7.0000000000000007E-2</v>
          </cell>
          <cell r="H217">
            <v>2</v>
          </cell>
          <cell r="I217">
            <v>7.0000000000000007E-2</v>
          </cell>
          <cell r="J217">
            <v>7.0000000000000007E-2</v>
          </cell>
          <cell r="K217">
            <v>7.0000000000000007E-2</v>
          </cell>
          <cell r="P217">
            <v>2</v>
          </cell>
        </row>
        <row r="218">
          <cell r="B218">
            <v>80</v>
          </cell>
          <cell r="C218">
            <v>0.25</v>
          </cell>
          <cell r="D218">
            <v>3.02</v>
          </cell>
          <cell r="E218">
            <v>1</v>
          </cell>
          <cell r="F218">
            <v>7.0000000000000007E-2</v>
          </cell>
          <cell r="G218">
            <v>7.0000000000000007E-2</v>
          </cell>
          <cell r="H218">
            <v>2</v>
          </cell>
          <cell r="I218">
            <v>7.0000000000000007E-2</v>
          </cell>
          <cell r="J218">
            <v>7.0000000000000007E-2</v>
          </cell>
          <cell r="K218">
            <v>7.0000000000000007E-2</v>
          </cell>
          <cell r="P218">
            <v>2</v>
          </cell>
        </row>
        <row r="219">
          <cell r="B219">
            <v>80</v>
          </cell>
          <cell r="C219">
            <v>0.25</v>
          </cell>
          <cell r="D219">
            <v>3.02</v>
          </cell>
          <cell r="E219">
            <v>1</v>
          </cell>
          <cell r="F219">
            <v>7.0000000000000007E-2</v>
          </cell>
          <cell r="G219">
            <v>7.0000000000000007E-2</v>
          </cell>
          <cell r="H219">
            <v>2</v>
          </cell>
          <cell r="I219">
            <v>7.0000000000000007E-2</v>
          </cell>
          <cell r="J219">
            <v>7.0000000000000007E-2</v>
          </cell>
          <cell r="K219">
            <v>7.0000000000000007E-2</v>
          </cell>
          <cell r="P219">
            <v>2</v>
          </cell>
        </row>
        <row r="220">
          <cell r="B220">
            <v>80</v>
          </cell>
          <cell r="C220">
            <v>0.25</v>
          </cell>
          <cell r="D220">
            <v>3.02</v>
          </cell>
          <cell r="E220">
            <v>1</v>
          </cell>
          <cell r="F220">
            <v>7.0000000000000007E-2</v>
          </cell>
          <cell r="G220">
            <v>7.0000000000000007E-2</v>
          </cell>
          <cell r="H220">
            <v>2</v>
          </cell>
          <cell r="I220">
            <v>7.0000000000000007E-2</v>
          </cell>
          <cell r="J220">
            <v>0</v>
          </cell>
          <cell r="K220">
            <v>7.0000000000000007E-2</v>
          </cell>
          <cell r="P220">
            <v>2</v>
          </cell>
        </row>
        <row r="221">
          <cell r="B221">
            <v>80</v>
          </cell>
          <cell r="C221">
            <v>0.375</v>
          </cell>
          <cell r="D221">
            <v>3.2</v>
          </cell>
          <cell r="E221">
            <v>1</v>
          </cell>
          <cell r="F221">
            <v>7.0000000000000007E-2</v>
          </cell>
          <cell r="G221">
            <v>0</v>
          </cell>
          <cell r="H221">
            <v>7.0000000000000007E-2</v>
          </cell>
          <cell r="I221">
            <v>7.0000000000000007E-2</v>
          </cell>
          <cell r="J221">
            <v>0</v>
          </cell>
          <cell r="K221">
            <v>7.0000000000000007E-2</v>
          </cell>
          <cell r="L221">
            <v>2</v>
          </cell>
          <cell r="P221">
            <v>2</v>
          </cell>
        </row>
        <row r="222">
          <cell r="B222">
            <v>80</v>
          </cell>
          <cell r="C222">
            <v>0.375</v>
          </cell>
          <cell r="D222">
            <v>3.2</v>
          </cell>
          <cell r="E222">
            <v>1</v>
          </cell>
          <cell r="F222">
            <v>7.0000000000000007E-2</v>
          </cell>
          <cell r="G222">
            <v>0</v>
          </cell>
          <cell r="H222">
            <v>7.0000000000000007E-2</v>
          </cell>
          <cell r="I222">
            <v>7.0000000000000007E-2</v>
          </cell>
          <cell r="J222">
            <v>0</v>
          </cell>
          <cell r="K222">
            <v>7.0000000000000007E-2</v>
          </cell>
          <cell r="L222">
            <v>2</v>
          </cell>
          <cell r="P222">
            <v>2</v>
          </cell>
        </row>
        <row r="223">
          <cell r="B223">
            <v>80</v>
          </cell>
          <cell r="C223">
            <v>0.375</v>
          </cell>
          <cell r="D223">
            <v>3.2</v>
          </cell>
          <cell r="E223">
            <v>1</v>
          </cell>
          <cell r="F223">
            <v>0</v>
          </cell>
          <cell r="G223">
            <v>0</v>
          </cell>
          <cell r="H223">
            <v>0</v>
          </cell>
          <cell r="I223">
            <v>7.0000000000000007E-2</v>
          </cell>
          <cell r="J223">
            <v>0</v>
          </cell>
          <cell r="K223">
            <v>7.0000000000000007E-2</v>
          </cell>
          <cell r="L223">
            <v>2.12451171875</v>
          </cell>
          <cell r="M223">
            <v>0</v>
          </cell>
          <cell r="N223">
            <v>4.7320557945261064E-312</v>
          </cell>
          <cell r="O223">
            <v>80</v>
          </cell>
          <cell r="P223">
            <v>2</v>
          </cell>
          <cell r="Q223">
            <v>3.73</v>
          </cell>
          <cell r="R223">
            <v>1</v>
          </cell>
        </row>
        <row r="224">
          <cell r="B224">
            <v>80</v>
          </cell>
          <cell r="C224">
            <v>0.5</v>
          </cell>
          <cell r="D224">
            <v>3.73</v>
          </cell>
          <cell r="E224">
            <v>1</v>
          </cell>
          <cell r="F224">
            <v>7.0000000000000007E-2</v>
          </cell>
          <cell r="G224">
            <v>0</v>
          </cell>
          <cell r="H224">
            <v>7.0000000000000007E-2</v>
          </cell>
          <cell r="I224">
            <v>7.0000000000000007E-2</v>
          </cell>
          <cell r="J224">
            <v>0</v>
          </cell>
          <cell r="K224">
            <v>7.0000000000000007E-2</v>
          </cell>
          <cell r="L224">
            <v>2</v>
          </cell>
          <cell r="P224">
            <v>2</v>
          </cell>
        </row>
        <row r="225">
          <cell r="B225">
            <v>80</v>
          </cell>
          <cell r="C225">
            <v>0.5</v>
          </cell>
          <cell r="D225">
            <v>3.73</v>
          </cell>
          <cell r="E225">
            <v>1</v>
          </cell>
          <cell r="F225">
            <v>7.0000000000000007E-2</v>
          </cell>
          <cell r="G225">
            <v>0</v>
          </cell>
          <cell r="H225">
            <v>7.0000000000000007E-2</v>
          </cell>
          <cell r="I225">
            <v>7.0000000000000007E-2</v>
          </cell>
          <cell r="J225">
            <v>0</v>
          </cell>
          <cell r="K225">
            <v>7.0000000000000007E-2</v>
          </cell>
          <cell r="L225">
            <v>2</v>
          </cell>
          <cell r="P225">
            <v>2</v>
          </cell>
        </row>
        <row r="226">
          <cell r="B226">
            <v>80</v>
          </cell>
          <cell r="C226">
            <v>0.5</v>
          </cell>
          <cell r="D226">
            <v>3.73</v>
          </cell>
          <cell r="E226">
            <v>1</v>
          </cell>
          <cell r="F226">
            <v>7.0000000000000007E-2</v>
          </cell>
          <cell r="G226">
            <v>0</v>
          </cell>
          <cell r="H226">
            <v>7.0000000000000007E-2</v>
          </cell>
          <cell r="I226">
            <v>7.0000000000000007E-2</v>
          </cell>
          <cell r="J226">
            <v>0</v>
          </cell>
          <cell r="K226">
            <v>7.0000000000000007E-2</v>
          </cell>
          <cell r="L226">
            <v>2</v>
          </cell>
          <cell r="P226">
            <v>2</v>
          </cell>
        </row>
        <row r="227">
          <cell r="B227">
            <v>80</v>
          </cell>
          <cell r="C227">
            <v>0.75</v>
          </cell>
          <cell r="D227">
            <v>3.91</v>
          </cell>
          <cell r="E227">
            <v>1</v>
          </cell>
          <cell r="F227">
            <v>7.0000000000000007E-2</v>
          </cell>
          <cell r="G227">
            <v>0</v>
          </cell>
          <cell r="H227">
            <v>7.0000000000000007E-2</v>
          </cell>
          <cell r="I227">
            <v>7.0000000000000007E-2</v>
          </cell>
          <cell r="J227">
            <v>0</v>
          </cell>
          <cell r="K227">
            <v>7.0000000000000007E-2</v>
          </cell>
          <cell r="L227">
            <v>2</v>
          </cell>
          <cell r="P227">
            <v>2</v>
          </cell>
        </row>
        <row r="228">
          <cell r="B228">
            <v>80</v>
          </cell>
          <cell r="C228">
            <v>0.75</v>
          </cell>
          <cell r="D228">
            <v>3.91</v>
          </cell>
          <cell r="E228">
            <v>1</v>
          </cell>
          <cell r="F228">
            <v>7.0000000000000007E-2</v>
          </cell>
          <cell r="G228">
            <v>0</v>
          </cell>
          <cell r="H228">
            <v>7.0000000000000007E-2</v>
          </cell>
          <cell r="I228">
            <v>7.0000000000000007E-2</v>
          </cell>
          <cell r="J228">
            <v>0</v>
          </cell>
          <cell r="K228">
            <v>7.0000000000000007E-2</v>
          </cell>
          <cell r="L228">
            <v>2</v>
          </cell>
          <cell r="P228">
            <v>2</v>
          </cell>
        </row>
        <row r="229">
          <cell r="B229">
            <v>80</v>
          </cell>
          <cell r="C229">
            <v>0.75</v>
          </cell>
          <cell r="D229">
            <v>3.91</v>
          </cell>
          <cell r="E229">
            <v>1</v>
          </cell>
          <cell r="F229">
            <v>7.0000000000000007E-2</v>
          </cell>
          <cell r="G229">
            <v>0</v>
          </cell>
          <cell r="H229">
            <v>7.0000000000000007E-2</v>
          </cell>
          <cell r="I229">
            <v>7.0000000000000007E-2</v>
          </cell>
          <cell r="J229">
            <v>0</v>
          </cell>
          <cell r="K229">
            <v>7.0000000000000007E-2</v>
          </cell>
          <cell r="L229">
            <v>2</v>
          </cell>
          <cell r="P229">
            <v>2</v>
          </cell>
        </row>
        <row r="230">
          <cell r="B230">
            <v>80</v>
          </cell>
          <cell r="C230">
            <v>1</v>
          </cell>
          <cell r="D230">
            <v>4.55</v>
          </cell>
          <cell r="E230">
            <v>1</v>
          </cell>
          <cell r="F230">
            <v>0.15</v>
          </cell>
          <cell r="G230">
            <v>0</v>
          </cell>
          <cell r="H230">
            <v>0.15</v>
          </cell>
          <cell r="I230">
            <v>0.15</v>
          </cell>
          <cell r="J230">
            <v>0</v>
          </cell>
          <cell r="K230">
            <v>0.15</v>
          </cell>
          <cell r="L230">
            <v>2</v>
          </cell>
          <cell r="P230">
            <v>2</v>
          </cell>
        </row>
        <row r="231">
          <cell r="B231">
            <v>80</v>
          </cell>
          <cell r="C231">
            <v>1</v>
          </cell>
          <cell r="D231">
            <v>4.55</v>
          </cell>
          <cell r="E231">
            <v>1</v>
          </cell>
          <cell r="F231">
            <v>0.15</v>
          </cell>
          <cell r="G231">
            <v>0</v>
          </cell>
          <cell r="H231">
            <v>0.15</v>
          </cell>
          <cell r="I231">
            <v>0.15</v>
          </cell>
          <cell r="J231">
            <v>0</v>
          </cell>
          <cell r="K231">
            <v>0.15</v>
          </cell>
          <cell r="L231">
            <v>2</v>
          </cell>
          <cell r="P231">
            <v>2</v>
          </cell>
        </row>
        <row r="232">
          <cell r="B232">
            <v>80</v>
          </cell>
          <cell r="C232">
            <v>1</v>
          </cell>
          <cell r="D232">
            <v>4.55</v>
          </cell>
          <cell r="E232">
            <v>1</v>
          </cell>
          <cell r="F232">
            <v>0.15</v>
          </cell>
          <cell r="G232">
            <v>0</v>
          </cell>
          <cell r="H232">
            <v>0.15</v>
          </cell>
          <cell r="I232">
            <v>0.15</v>
          </cell>
          <cell r="J232">
            <v>0</v>
          </cell>
          <cell r="K232">
            <v>0.15</v>
          </cell>
          <cell r="L232">
            <v>2</v>
          </cell>
          <cell r="P232">
            <v>2</v>
          </cell>
        </row>
        <row r="233">
          <cell r="B233">
            <v>80</v>
          </cell>
          <cell r="C233">
            <v>1.25</v>
          </cell>
          <cell r="D233">
            <v>4.8499999999999996</v>
          </cell>
          <cell r="E233">
            <v>1</v>
          </cell>
          <cell r="F233">
            <v>0.13</v>
          </cell>
          <cell r="G233">
            <v>0.17</v>
          </cell>
          <cell r="H233">
            <v>0.30000000000000004</v>
          </cell>
          <cell r="I233">
            <v>0.13</v>
          </cell>
          <cell r="J233">
            <v>0.17</v>
          </cell>
          <cell r="K233">
            <v>0.30000000000000004</v>
          </cell>
          <cell r="L233">
            <v>2</v>
          </cell>
          <cell r="P233">
            <v>2</v>
          </cell>
        </row>
        <row r="234">
          <cell r="B234">
            <v>80</v>
          </cell>
          <cell r="C234">
            <v>1.25</v>
          </cell>
          <cell r="D234">
            <v>4.8499999999999996</v>
          </cell>
          <cell r="E234">
            <v>1</v>
          </cell>
          <cell r="F234">
            <v>0.13</v>
          </cell>
          <cell r="G234">
            <v>0.17</v>
          </cell>
          <cell r="H234">
            <v>0.30000000000000004</v>
          </cell>
          <cell r="I234">
            <v>0.13</v>
          </cell>
          <cell r="J234">
            <v>0.17</v>
          </cell>
          <cell r="K234">
            <v>0.30000000000000004</v>
          </cell>
          <cell r="L234">
            <v>2</v>
          </cell>
          <cell r="P234">
            <v>2</v>
          </cell>
        </row>
        <row r="235">
          <cell r="B235">
            <v>80</v>
          </cell>
          <cell r="C235">
            <v>1.25</v>
          </cell>
          <cell r="D235">
            <v>4.8499999999999996</v>
          </cell>
          <cell r="E235">
            <v>1</v>
          </cell>
          <cell r="F235">
            <v>0.13</v>
          </cell>
          <cell r="G235">
            <v>0.17</v>
          </cell>
          <cell r="H235">
            <v>0.30000000000000004</v>
          </cell>
          <cell r="I235">
            <v>0.13</v>
          </cell>
          <cell r="J235">
            <v>0.17</v>
          </cell>
          <cell r="K235">
            <v>0.30000000000000004</v>
          </cell>
          <cell r="L235">
            <v>2</v>
          </cell>
          <cell r="P235">
            <v>2</v>
          </cell>
        </row>
        <row r="236">
          <cell r="B236">
            <v>80</v>
          </cell>
          <cell r="C236">
            <v>1.5</v>
          </cell>
          <cell r="D236">
            <v>5.08</v>
          </cell>
          <cell r="E236">
            <v>1</v>
          </cell>
          <cell r="F236">
            <v>0.15</v>
          </cell>
          <cell r="G236">
            <v>0.15</v>
          </cell>
          <cell r="H236">
            <v>0.3</v>
          </cell>
          <cell r="I236">
            <v>0.15</v>
          </cell>
          <cell r="J236">
            <v>0.15</v>
          </cell>
          <cell r="K236">
            <v>0.3</v>
          </cell>
          <cell r="L236">
            <v>0</v>
          </cell>
          <cell r="M236">
            <v>0</v>
          </cell>
          <cell r="N236">
            <v>0</v>
          </cell>
          <cell r="O236">
            <v>0</v>
          </cell>
          <cell r="P236">
            <v>2</v>
          </cell>
        </row>
        <row r="237">
          <cell r="B237">
            <v>80</v>
          </cell>
          <cell r="C237">
            <v>1.5</v>
          </cell>
          <cell r="D237">
            <v>5.08</v>
          </cell>
          <cell r="E237">
            <v>1</v>
          </cell>
          <cell r="F237">
            <v>0.15</v>
          </cell>
          <cell r="G237">
            <v>0.15</v>
          </cell>
          <cell r="H237">
            <v>0.3</v>
          </cell>
          <cell r="I237">
            <v>0.15</v>
          </cell>
          <cell r="J237">
            <v>0.15</v>
          </cell>
          <cell r="K237">
            <v>0.3</v>
          </cell>
          <cell r="L237">
            <v>2</v>
          </cell>
          <cell r="P237">
            <v>2</v>
          </cell>
          <cell r="R237">
            <v>0</v>
          </cell>
        </row>
        <row r="238">
          <cell r="B238">
            <v>80</v>
          </cell>
          <cell r="C238">
            <v>1.5</v>
          </cell>
          <cell r="D238">
            <v>5.08</v>
          </cell>
          <cell r="E238">
            <v>1</v>
          </cell>
          <cell r="F238">
            <v>0.15</v>
          </cell>
          <cell r="G238">
            <v>0.15</v>
          </cell>
          <cell r="H238">
            <v>0.3</v>
          </cell>
          <cell r="I238">
            <v>0.15</v>
          </cell>
          <cell r="J238">
            <v>0.15</v>
          </cell>
          <cell r="K238">
            <v>0.3</v>
          </cell>
          <cell r="L238">
            <v>2</v>
          </cell>
          <cell r="P238">
            <v>2</v>
          </cell>
        </row>
        <row r="239">
          <cell r="B239">
            <v>80</v>
          </cell>
          <cell r="C239">
            <v>2</v>
          </cell>
          <cell r="D239">
            <v>5.54</v>
          </cell>
          <cell r="E239">
            <v>1</v>
          </cell>
          <cell r="F239">
            <v>0.2</v>
          </cell>
          <cell r="G239">
            <v>0.25</v>
          </cell>
          <cell r="H239">
            <v>0.45</v>
          </cell>
          <cell r="I239">
            <v>0.2</v>
          </cell>
          <cell r="J239">
            <v>0.25</v>
          </cell>
          <cell r="K239">
            <v>0.45</v>
          </cell>
          <cell r="L239">
            <v>2</v>
          </cell>
          <cell r="P239">
            <v>2</v>
          </cell>
        </row>
        <row r="240">
          <cell r="B240">
            <v>80</v>
          </cell>
          <cell r="C240">
            <v>2</v>
          </cell>
          <cell r="D240">
            <v>5.54</v>
          </cell>
          <cell r="E240">
            <v>1</v>
          </cell>
          <cell r="F240">
            <v>0.2</v>
          </cell>
          <cell r="G240">
            <v>0.25</v>
          </cell>
          <cell r="H240">
            <v>0.45</v>
          </cell>
          <cell r="I240">
            <v>0.2</v>
          </cell>
          <cell r="J240">
            <v>0.25</v>
          </cell>
          <cell r="K240">
            <v>0.45</v>
          </cell>
          <cell r="L240">
            <v>2</v>
          </cell>
          <cell r="P240">
            <v>2</v>
          </cell>
        </row>
        <row r="241">
          <cell r="B241">
            <v>80</v>
          </cell>
          <cell r="C241">
            <v>2</v>
          </cell>
          <cell r="D241">
            <v>5.54</v>
          </cell>
          <cell r="E241">
            <v>1</v>
          </cell>
          <cell r="F241">
            <v>0.2</v>
          </cell>
          <cell r="G241">
            <v>0.25</v>
          </cell>
          <cell r="H241">
            <v>0.45</v>
          </cell>
          <cell r="I241">
            <v>0.2</v>
          </cell>
          <cell r="J241">
            <v>0.25</v>
          </cell>
          <cell r="K241">
            <v>0.45</v>
          </cell>
          <cell r="L241">
            <v>2</v>
          </cell>
          <cell r="P241">
            <v>2</v>
          </cell>
        </row>
        <row r="242">
          <cell r="B242">
            <v>80</v>
          </cell>
          <cell r="C242">
            <v>2.5</v>
          </cell>
          <cell r="D242">
            <v>7.01</v>
          </cell>
          <cell r="E242">
            <v>1</v>
          </cell>
          <cell r="F242">
            <v>0.25</v>
          </cell>
          <cell r="G242">
            <v>0.5</v>
          </cell>
          <cell r="H242">
            <v>0.75</v>
          </cell>
          <cell r="I242">
            <v>0.25</v>
          </cell>
          <cell r="J242">
            <v>0.5</v>
          </cell>
          <cell r="K242">
            <v>0.75</v>
          </cell>
          <cell r="L242">
            <v>2</v>
          </cell>
          <cell r="P242">
            <v>2</v>
          </cell>
        </row>
        <row r="243">
          <cell r="B243">
            <v>80</v>
          </cell>
          <cell r="C243">
            <v>3</v>
          </cell>
          <cell r="D243">
            <v>7.62</v>
          </cell>
          <cell r="E243">
            <v>1</v>
          </cell>
          <cell r="F243">
            <v>0.3</v>
          </cell>
          <cell r="G243">
            <v>0.6</v>
          </cell>
          <cell r="H243">
            <v>0.89999999999999991</v>
          </cell>
          <cell r="I243">
            <v>0.3</v>
          </cell>
          <cell r="J243">
            <v>0.6</v>
          </cell>
          <cell r="K243">
            <v>0.89999999999999991</v>
          </cell>
          <cell r="L243">
            <v>2</v>
          </cell>
          <cell r="P243">
            <v>2</v>
          </cell>
        </row>
        <row r="244">
          <cell r="B244">
            <v>80</v>
          </cell>
          <cell r="C244">
            <v>3.5</v>
          </cell>
          <cell r="D244">
            <v>8.08</v>
          </cell>
          <cell r="E244">
            <v>1</v>
          </cell>
          <cell r="F244">
            <v>0.35</v>
          </cell>
          <cell r="G244">
            <v>0.85</v>
          </cell>
          <cell r="H244">
            <v>1.2</v>
          </cell>
          <cell r="I244">
            <v>0.35</v>
          </cell>
          <cell r="J244">
            <v>0.85</v>
          </cell>
          <cell r="K244">
            <v>1.2</v>
          </cell>
          <cell r="L244">
            <v>3</v>
          </cell>
          <cell r="P244">
            <v>3</v>
          </cell>
        </row>
        <row r="245">
          <cell r="A245">
            <v>0</v>
          </cell>
          <cell r="B245">
            <v>80</v>
          </cell>
          <cell r="C245">
            <v>4</v>
          </cell>
          <cell r="D245">
            <v>8.56</v>
          </cell>
          <cell r="E245">
            <v>1</v>
          </cell>
          <cell r="F245">
            <v>0.41</v>
          </cell>
          <cell r="G245">
            <v>0.93</v>
          </cell>
          <cell r="H245">
            <v>1.34</v>
          </cell>
          <cell r="I245">
            <v>0.41</v>
          </cell>
          <cell r="J245">
            <v>0.93</v>
          </cell>
          <cell r="K245">
            <v>1.34</v>
          </cell>
          <cell r="L245">
            <v>3</v>
          </cell>
          <cell r="P245">
            <v>3</v>
          </cell>
        </row>
        <row r="246">
          <cell r="B246">
            <v>80</v>
          </cell>
          <cell r="C246">
            <v>5</v>
          </cell>
          <cell r="D246">
            <v>9.5299999999999994</v>
          </cell>
          <cell r="E246">
            <v>1</v>
          </cell>
          <cell r="F246">
            <v>0.51</v>
          </cell>
          <cell r="G246">
            <v>1.59</v>
          </cell>
          <cell r="H246">
            <v>2.1</v>
          </cell>
          <cell r="I246">
            <v>0.51</v>
          </cell>
          <cell r="J246">
            <v>1.59</v>
          </cell>
          <cell r="K246">
            <v>2.1</v>
          </cell>
          <cell r="L246">
            <v>4</v>
          </cell>
          <cell r="P246">
            <v>4</v>
          </cell>
        </row>
        <row r="247">
          <cell r="B247">
            <v>80</v>
          </cell>
          <cell r="C247">
            <v>6</v>
          </cell>
          <cell r="D247">
            <v>10.97</v>
          </cell>
          <cell r="E247">
            <v>1.25</v>
          </cell>
          <cell r="F247">
            <v>0.61</v>
          </cell>
          <cell r="G247">
            <v>2.69</v>
          </cell>
          <cell r="H247">
            <v>3.3</v>
          </cell>
          <cell r="I247">
            <v>0.61</v>
          </cell>
          <cell r="J247">
            <v>2.69</v>
          </cell>
          <cell r="K247">
            <v>3.3</v>
          </cell>
          <cell r="L247">
            <v>4</v>
          </cell>
          <cell r="P247">
            <v>4</v>
          </cell>
        </row>
        <row r="248">
          <cell r="B248">
            <v>80</v>
          </cell>
          <cell r="C248">
            <v>8</v>
          </cell>
          <cell r="D248">
            <v>12.7</v>
          </cell>
          <cell r="E248">
            <v>1.25</v>
          </cell>
          <cell r="F248">
            <v>0.81</v>
          </cell>
          <cell r="G248">
            <v>4.58</v>
          </cell>
          <cell r="H248">
            <v>5.3900000000000006</v>
          </cell>
          <cell r="I248">
            <v>0.81</v>
          </cell>
          <cell r="J248">
            <v>4.58</v>
          </cell>
          <cell r="K248">
            <v>5.3900000000000006</v>
          </cell>
          <cell r="L248">
            <v>4</v>
          </cell>
          <cell r="P248">
            <v>4</v>
          </cell>
        </row>
        <row r="249">
          <cell r="B249">
            <v>80</v>
          </cell>
          <cell r="C249">
            <v>10</v>
          </cell>
          <cell r="D249">
            <v>15.09</v>
          </cell>
          <cell r="E249">
            <v>1.5</v>
          </cell>
          <cell r="F249">
            <v>1.01</v>
          </cell>
          <cell r="G249">
            <v>7.99</v>
          </cell>
          <cell r="H249">
            <v>9</v>
          </cell>
          <cell r="I249">
            <v>1.01</v>
          </cell>
          <cell r="J249">
            <v>7.99</v>
          </cell>
          <cell r="K249">
            <v>9</v>
          </cell>
          <cell r="L249">
            <v>4</v>
          </cell>
          <cell r="P249">
            <v>4</v>
          </cell>
        </row>
        <row r="250">
          <cell r="B250">
            <v>80</v>
          </cell>
          <cell r="C250">
            <v>12</v>
          </cell>
          <cell r="D250">
            <v>17.48</v>
          </cell>
          <cell r="E250">
            <v>1.5</v>
          </cell>
          <cell r="F250">
            <v>1.22</v>
          </cell>
          <cell r="G250">
            <v>11.68</v>
          </cell>
          <cell r="H250">
            <v>12.9</v>
          </cell>
          <cell r="I250">
            <v>1.22</v>
          </cell>
          <cell r="J250">
            <v>11.68</v>
          </cell>
          <cell r="K250">
            <v>12.9</v>
          </cell>
          <cell r="L250">
            <v>6</v>
          </cell>
          <cell r="P250">
            <v>6</v>
          </cell>
        </row>
        <row r="251">
          <cell r="B251">
            <v>80</v>
          </cell>
          <cell r="C251">
            <v>14</v>
          </cell>
          <cell r="D251">
            <v>19.05</v>
          </cell>
          <cell r="E251">
            <v>2</v>
          </cell>
          <cell r="F251">
            <v>1.42</v>
          </cell>
          <cell r="G251">
            <v>12.68</v>
          </cell>
          <cell r="H251">
            <v>14.1</v>
          </cell>
          <cell r="I251">
            <v>1.42</v>
          </cell>
          <cell r="J251">
            <v>12.68</v>
          </cell>
          <cell r="K251">
            <v>14.1</v>
          </cell>
          <cell r="L251">
            <v>6</v>
          </cell>
          <cell r="P251">
            <v>6</v>
          </cell>
        </row>
        <row r="252">
          <cell r="B252">
            <v>80</v>
          </cell>
          <cell r="C252">
            <v>16</v>
          </cell>
          <cell r="D252">
            <v>21.44</v>
          </cell>
          <cell r="E252">
            <v>2</v>
          </cell>
          <cell r="F252">
            <v>1.62</v>
          </cell>
          <cell r="G252">
            <v>19.37</v>
          </cell>
          <cell r="H252">
            <v>20.990000000000002</v>
          </cell>
          <cell r="I252">
            <v>1.62</v>
          </cell>
          <cell r="J252">
            <v>19.37</v>
          </cell>
          <cell r="K252">
            <v>20.990000000000002</v>
          </cell>
          <cell r="L252">
            <v>6</v>
          </cell>
          <cell r="P252">
            <v>6</v>
          </cell>
        </row>
        <row r="253">
          <cell r="B253">
            <v>80</v>
          </cell>
          <cell r="C253">
            <v>18</v>
          </cell>
          <cell r="D253">
            <v>23.83</v>
          </cell>
          <cell r="E253">
            <v>2</v>
          </cell>
          <cell r="F253">
            <v>1.82</v>
          </cell>
          <cell r="G253">
            <v>26.68</v>
          </cell>
          <cell r="H253">
            <v>28.5</v>
          </cell>
          <cell r="I253">
            <v>1.82</v>
          </cell>
          <cell r="J253">
            <v>26.68</v>
          </cell>
          <cell r="K253">
            <v>28.5</v>
          </cell>
          <cell r="L253">
            <v>6</v>
          </cell>
          <cell r="P253">
            <v>6</v>
          </cell>
        </row>
        <row r="254">
          <cell r="B254">
            <v>80</v>
          </cell>
          <cell r="C254">
            <v>20</v>
          </cell>
          <cell r="D254">
            <v>26.19</v>
          </cell>
          <cell r="E254" t="str">
            <v>N</v>
          </cell>
          <cell r="F254">
            <v>2.0299999999999998</v>
          </cell>
          <cell r="G254">
            <v>36.96</v>
          </cell>
          <cell r="H254">
            <v>38.99</v>
          </cell>
          <cell r="I254">
            <v>2.0299999999999998</v>
          </cell>
          <cell r="J254">
            <v>36.96</v>
          </cell>
          <cell r="K254">
            <v>38.99</v>
          </cell>
          <cell r="L254">
            <v>7</v>
          </cell>
          <cell r="P254">
            <v>7</v>
          </cell>
        </row>
        <row r="255">
          <cell r="B255">
            <v>80</v>
          </cell>
          <cell r="C255">
            <v>22</v>
          </cell>
          <cell r="D255">
            <v>28.58</v>
          </cell>
          <cell r="E255" t="str">
            <v>N</v>
          </cell>
          <cell r="F255">
            <v>2.23</v>
          </cell>
          <cell r="G255">
            <v>45.77</v>
          </cell>
          <cell r="H255">
            <v>48</v>
          </cell>
          <cell r="I255">
            <v>2.23</v>
          </cell>
          <cell r="J255">
            <v>45.77</v>
          </cell>
          <cell r="K255">
            <v>48</v>
          </cell>
          <cell r="L255">
            <v>8</v>
          </cell>
          <cell r="P255">
            <v>8</v>
          </cell>
        </row>
        <row r="256">
          <cell r="B256">
            <v>80</v>
          </cell>
          <cell r="C256">
            <v>24</v>
          </cell>
          <cell r="D256">
            <v>30.96</v>
          </cell>
          <cell r="E256" t="str">
            <v>N</v>
          </cell>
          <cell r="F256">
            <v>2.4300000000000002</v>
          </cell>
          <cell r="G256">
            <v>53.07</v>
          </cell>
          <cell r="H256">
            <v>55.5</v>
          </cell>
          <cell r="I256">
            <v>2.4300000000000002</v>
          </cell>
          <cell r="J256">
            <v>53.07</v>
          </cell>
          <cell r="K256">
            <v>55.5</v>
          </cell>
          <cell r="L256">
            <v>8</v>
          </cell>
          <cell r="P256">
            <v>8</v>
          </cell>
        </row>
        <row r="257">
          <cell r="A257">
            <v>0</v>
          </cell>
          <cell r="B257" t="str">
            <v>80S</v>
          </cell>
          <cell r="C257">
            <v>0.125</v>
          </cell>
          <cell r="D257">
            <v>2.41</v>
          </cell>
          <cell r="E257">
            <v>1</v>
          </cell>
          <cell r="F257">
            <v>7.0000000000000007E-2</v>
          </cell>
          <cell r="G257">
            <v>7.0000000000000007E-2</v>
          </cell>
          <cell r="H257">
            <v>2</v>
          </cell>
          <cell r="I257">
            <v>7.0000000000000007E-2</v>
          </cell>
          <cell r="J257">
            <v>7.0000000000000007E-2</v>
          </cell>
          <cell r="K257">
            <v>7.0000000000000007E-2</v>
          </cell>
          <cell r="P257">
            <v>2</v>
          </cell>
        </row>
        <row r="258">
          <cell r="B258" t="str">
            <v>80S</v>
          </cell>
          <cell r="C258">
            <v>0.125</v>
          </cell>
          <cell r="D258">
            <v>2.41</v>
          </cell>
          <cell r="E258">
            <v>1</v>
          </cell>
          <cell r="F258">
            <v>7.0000000000000007E-2</v>
          </cell>
          <cell r="G258">
            <v>7.0000000000000007E-2</v>
          </cell>
          <cell r="H258">
            <v>2</v>
          </cell>
          <cell r="I258">
            <v>7.0000000000000007E-2</v>
          </cell>
          <cell r="J258">
            <v>7.0000000000000007E-2</v>
          </cell>
          <cell r="K258">
            <v>7.0000000000000007E-2</v>
          </cell>
          <cell r="P258">
            <v>2</v>
          </cell>
        </row>
        <row r="259">
          <cell r="B259" t="str">
            <v>80S</v>
          </cell>
          <cell r="C259">
            <v>0.125</v>
          </cell>
          <cell r="D259">
            <v>2.41</v>
          </cell>
          <cell r="E259">
            <v>1</v>
          </cell>
          <cell r="F259">
            <v>7.0000000000000007E-2</v>
          </cell>
          <cell r="G259">
            <v>7.0000000000000007E-2</v>
          </cell>
          <cell r="H259">
            <v>2</v>
          </cell>
          <cell r="I259">
            <v>7.0000000000000007E-2</v>
          </cell>
          <cell r="J259">
            <v>7.0000000000000007E-2</v>
          </cell>
          <cell r="K259">
            <v>7.0000000000000007E-2</v>
          </cell>
          <cell r="P259">
            <v>2</v>
          </cell>
        </row>
        <row r="260">
          <cell r="B260" t="str">
            <v>80S</v>
          </cell>
          <cell r="C260">
            <v>0.25</v>
          </cell>
          <cell r="D260">
            <v>3.02</v>
          </cell>
          <cell r="E260">
            <v>1</v>
          </cell>
          <cell r="F260">
            <v>7.0000000000000007E-2</v>
          </cell>
          <cell r="G260">
            <v>7.0000000000000007E-2</v>
          </cell>
          <cell r="H260">
            <v>2</v>
          </cell>
          <cell r="I260">
            <v>7.0000000000000007E-2</v>
          </cell>
          <cell r="J260">
            <v>7.0000000000000007E-2</v>
          </cell>
          <cell r="K260">
            <v>7.0000000000000007E-2</v>
          </cell>
          <cell r="P260">
            <v>2</v>
          </cell>
        </row>
        <row r="261">
          <cell r="B261" t="str">
            <v>80S</v>
          </cell>
          <cell r="C261">
            <v>0.25</v>
          </cell>
          <cell r="D261">
            <v>3.02</v>
          </cell>
          <cell r="E261">
            <v>1</v>
          </cell>
          <cell r="F261">
            <v>7.0000000000000007E-2</v>
          </cell>
          <cell r="G261">
            <v>7.0000000000000007E-2</v>
          </cell>
          <cell r="H261">
            <v>2</v>
          </cell>
          <cell r="I261">
            <v>7.0000000000000007E-2</v>
          </cell>
          <cell r="J261">
            <v>7.0000000000000007E-2</v>
          </cell>
          <cell r="K261">
            <v>7.0000000000000007E-2</v>
          </cell>
          <cell r="P261">
            <v>2</v>
          </cell>
          <cell r="Q261">
            <v>0</v>
          </cell>
          <cell r="R261">
            <v>0</v>
          </cell>
        </row>
        <row r="262">
          <cell r="B262" t="str">
            <v>80S</v>
          </cell>
          <cell r="C262">
            <v>0.25</v>
          </cell>
          <cell r="D262">
            <v>3.02</v>
          </cell>
          <cell r="E262">
            <v>1</v>
          </cell>
          <cell r="F262">
            <v>7.0000000000000007E-2</v>
          </cell>
          <cell r="G262">
            <v>7.0000000000000007E-2</v>
          </cell>
          <cell r="H262">
            <v>2</v>
          </cell>
          <cell r="I262">
            <v>7.0000000000000007E-2</v>
          </cell>
          <cell r="J262">
            <v>7.0000000000000007E-2</v>
          </cell>
          <cell r="K262">
            <v>7.0000000000000007E-2</v>
          </cell>
          <cell r="P262">
            <v>2</v>
          </cell>
        </row>
        <row r="263">
          <cell r="B263" t="str">
            <v>80S</v>
          </cell>
          <cell r="C263">
            <v>0.375</v>
          </cell>
          <cell r="D263">
            <v>3.2</v>
          </cell>
          <cell r="E263">
            <v>1</v>
          </cell>
          <cell r="F263">
            <v>7.0000000000000007E-2</v>
          </cell>
          <cell r="G263">
            <v>0</v>
          </cell>
          <cell r="H263">
            <v>7.0000000000000007E-2</v>
          </cell>
          <cell r="I263">
            <v>7.0000000000000007E-2</v>
          </cell>
          <cell r="J263">
            <v>0</v>
          </cell>
          <cell r="K263">
            <v>7.0000000000000007E-2</v>
          </cell>
          <cell r="L263">
            <v>2</v>
          </cell>
          <cell r="P263">
            <v>2</v>
          </cell>
        </row>
        <row r="264">
          <cell r="B264" t="str">
            <v>80S</v>
          </cell>
          <cell r="C264">
            <v>0.375</v>
          </cell>
          <cell r="D264">
            <v>3.2</v>
          </cell>
          <cell r="E264">
            <v>1</v>
          </cell>
          <cell r="F264">
            <v>7.0000000000000007E-2</v>
          </cell>
          <cell r="G264">
            <v>0</v>
          </cell>
          <cell r="H264">
            <v>7.0000000000000007E-2</v>
          </cell>
          <cell r="I264">
            <v>7.0000000000000007E-2</v>
          </cell>
          <cell r="J264">
            <v>0</v>
          </cell>
          <cell r="K264">
            <v>7.0000000000000007E-2</v>
          </cell>
          <cell r="L264">
            <v>2</v>
          </cell>
          <cell r="P264">
            <v>2</v>
          </cell>
        </row>
        <row r="265">
          <cell r="B265" t="str">
            <v>80S</v>
          </cell>
          <cell r="C265">
            <v>0.375</v>
          </cell>
          <cell r="D265">
            <v>3.2</v>
          </cell>
          <cell r="E265">
            <v>1</v>
          </cell>
          <cell r="F265">
            <v>7.0000000000000007E-2</v>
          </cell>
          <cell r="G265">
            <v>0</v>
          </cell>
          <cell r="H265">
            <v>7.0000000000000007E-2</v>
          </cell>
          <cell r="I265">
            <v>7.0000000000000007E-2</v>
          </cell>
          <cell r="J265">
            <v>0</v>
          </cell>
          <cell r="K265">
            <v>7.0000000000000007E-2</v>
          </cell>
          <cell r="L265">
            <v>2</v>
          </cell>
          <cell r="P265">
            <v>2</v>
          </cell>
        </row>
        <row r="266">
          <cell r="B266" t="str">
            <v>80S</v>
          </cell>
          <cell r="C266">
            <v>0.5</v>
          </cell>
          <cell r="D266">
            <v>3.73</v>
          </cell>
          <cell r="E266">
            <v>1</v>
          </cell>
          <cell r="F266">
            <v>7.0000000000000007E-2</v>
          </cell>
          <cell r="G266">
            <v>0</v>
          </cell>
          <cell r="H266">
            <v>7.0000000000000007E-2</v>
          </cell>
          <cell r="I266">
            <v>7.0000000000000007E-2</v>
          </cell>
          <cell r="J266">
            <v>0</v>
          </cell>
          <cell r="K266">
            <v>7.0000000000000007E-2</v>
          </cell>
          <cell r="L266">
            <v>2</v>
          </cell>
          <cell r="P266">
            <v>2</v>
          </cell>
        </row>
        <row r="267">
          <cell r="B267" t="str">
            <v>80S</v>
          </cell>
          <cell r="C267">
            <v>0.5</v>
          </cell>
          <cell r="D267">
            <v>3.73</v>
          </cell>
          <cell r="E267">
            <v>1</v>
          </cell>
          <cell r="F267">
            <v>7.0000000000000007E-2</v>
          </cell>
          <cell r="G267">
            <v>0</v>
          </cell>
          <cell r="H267">
            <v>7.0000000000000007E-2</v>
          </cell>
          <cell r="I267">
            <v>7.0000000000000007E-2</v>
          </cell>
          <cell r="J267">
            <v>0</v>
          </cell>
          <cell r="K267">
            <v>7.0000000000000007E-2</v>
          </cell>
          <cell r="L267">
            <v>2</v>
          </cell>
          <cell r="P267">
            <v>2</v>
          </cell>
        </row>
        <row r="268">
          <cell r="B268" t="str">
            <v>80S</v>
          </cell>
          <cell r="C268">
            <v>0.5</v>
          </cell>
          <cell r="D268">
            <v>3.73</v>
          </cell>
          <cell r="E268">
            <v>1</v>
          </cell>
          <cell r="F268">
            <v>7.0000000000000007E-2</v>
          </cell>
          <cell r="G268">
            <v>0</v>
          </cell>
          <cell r="H268">
            <v>7.0000000000000007E-2</v>
          </cell>
          <cell r="I268">
            <v>7.0000000000000007E-2</v>
          </cell>
          <cell r="J268">
            <v>0</v>
          </cell>
          <cell r="K268">
            <v>7.0000000000000007E-2</v>
          </cell>
          <cell r="L268">
            <v>2</v>
          </cell>
          <cell r="P268">
            <v>2</v>
          </cell>
        </row>
        <row r="269">
          <cell r="B269" t="str">
            <v>80S</v>
          </cell>
          <cell r="C269">
            <v>0.75</v>
          </cell>
          <cell r="D269">
            <v>3.91</v>
          </cell>
          <cell r="E269">
            <v>1</v>
          </cell>
          <cell r="F269">
            <v>7.0000000000000007E-2</v>
          </cell>
          <cell r="G269">
            <v>0</v>
          </cell>
          <cell r="H269">
            <v>0</v>
          </cell>
          <cell r="I269">
            <v>7.0000000000000007E-2</v>
          </cell>
          <cell r="J269">
            <v>0</v>
          </cell>
          <cell r="K269">
            <v>7.0000000000000007E-2</v>
          </cell>
          <cell r="L269">
            <v>2</v>
          </cell>
          <cell r="M269">
            <v>0</v>
          </cell>
          <cell r="P269">
            <v>2</v>
          </cell>
          <cell r="R269">
            <v>0</v>
          </cell>
        </row>
        <row r="270">
          <cell r="B270" t="str">
            <v>80S</v>
          </cell>
          <cell r="C270">
            <v>0.75</v>
          </cell>
          <cell r="D270">
            <v>3.91</v>
          </cell>
          <cell r="E270">
            <v>1</v>
          </cell>
          <cell r="F270">
            <v>7.0000000000000007E-2</v>
          </cell>
          <cell r="G270">
            <v>0</v>
          </cell>
          <cell r="H270">
            <v>7.0000000000000007E-2</v>
          </cell>
          <cell r="I270">
            <v>7.0000000000000007E-2</v>
          </cell>
          <cell r="J270">
            <v>0</v>
          </cell>
          <cell r="K270">
            <v>7.0000000000000007E-2</v>
          </cell>
          <cell r="L270">
            <v>2</v>
          </cell>
          <cell r="P270">
            <v>2</v>
          </cell>
        </row>
        <row r="271">
          <cell r="B271" t="str">
            <v>80S</v>
          </cell>
          <cell r="C271">
            <v>0.75</v>
          </cell>
          <cell r="D271">
            <v>3.91</v>
          </cell>
          <cell r="E271">
            <v>1</v>
          </cell>
          <cell r="F271">
            <v>7.0000000000000007E-2</v>
          </cell>
          <cell r="G271">
            <v>0</v>
          </cell>
          <cell r="H271">
            <v>7.0000000000000007E-2</v>
          </cell>
          <cell r="I271">
            <v>7.0000000000000007E-2</v>
          </cell>
          <cell r="J271">
            <v>0</v>
          </cell>
          <cell r="K271">
            <v>7.0000000000000007E-2</v>
          </cell>
          <cell r="L271">
            <v>2</v>
          </cell>
          <cell r="P271">
            <v>2</v>
          </cell>
        </row>
        <row r="272">
          <cell r="B272" t="str">
            <v>80S</v>
          </cell>
          <cell r="C272">
            <v>1</v>
          </cell>
          <cell r="D272">
            <v>4.55</v>
          </cell>
          <cell r="E272">
            <v>1</v>
          </cell>
          <cell r="F272">
            <v>0.15</v>
          </cell>
          <cell r="G272">
            <v>0</v>
          </cell>
          <cell r="H272">
            <v>0.15</v>
          </cell>
          <cell r="I272">
            <v>0.15</v>
          </cell>
          <cell r="J272">
            <v>0</v>
          </cell>
          <cell r="K272">
            <v>0.15</v>
          </cell>
          <cell r="L272">
            <v>2</v>
          </cell>
          <cell r="P272">
            <v>2</v>
          </cell>
        </row>
        <row r="273">
          <cell r="B273" t="str">
            <v>80S</v>
          </cell>
          <cell r="C273">
            <v>1</v>
          </cell>
          <cell r="D273">
            <v>4.55</v>
          </cell>
          <cell r="E273">
            <v>1</v>
          </cell>
          <cell r="F273">
            <v>0.15</v>
          </cell>
          <cell r="G273">
            <v>0</v>
          </cell>
          <cell r="H273">
            <v>0.15</v>
          </cell>
          <cell r="I273">
            <v>0.15</v>
          </cell>
          <cell r="J273">
            <v>0</v>
          </cell>
          <cell r="K273">
            <v>0.15</v>
          </cell>
          <cell r="L273">
            <v>2</v>
          </cell>
          <cell r="P273">
            <v>2</v>
          </cell>
        </row>
        <row r="274">
          <cell r="B274" t="str">
            <v>80S</v>
          </cell>
          <cell r="C274">
            <v>1</v>
          </cell>
          <cell r="D274">
            <v>4.55</v>
          </cell>
          <cell r="E274">
            <v>1</v>
          </cell>
          <cell r="F274">
            <v>0.15</v>
          </cell>
          <cell r="G274">
            <v>0</v>
          </cell>
          <cell r="H274">
            <v>0.15</v>
          </cell>
          <cell r="I274">
            <v>0.15</v>
          </cell>
          <cell r="J274">
            <v>0</v>
          </cell>
          <cell r="K274">
            <v>0.15</v>
          </cell>
          <cell r="L274">
            <v>2</v>
          </cell>
          <cell r="P274">
            <v>2</v>
          </cell>
        </row>
        <row r="275">
          <cell r="B275" t="str">
            <v>80S</v>
          </cell>
          <cell r="C275">
            <v>1.25</v>
          </cell>
          <cell r="D275">
            <v>4.8499999999999996</v>
          </cell>
          <cell r="E275">
            <v>1</v>
          </cell>
          <cell r="F275">
            <v>0.13</v>
          </cell>
          <cell r="G275">
            <v>0.17</v>
          </cell>
          <cell r="H275">
            <v>0.30000000000000004</v>
          </cell>
          <cell r="I275">
            <v>0.13</v>
          </cell>
          <cell r="J275">
            <v>0.17</v>
          </cell>
          <cell r="K275">
            <v>0.30000000000000004</v>
          </cell>
          <cell r="L275">
            <v>2</v>
          </cell>
          <cell r="P275">
            <v>2</v>
          </cell>
        </row>
        <row r="276">
          <cell r="B276" t="str">
            <v>80S</v>
          </cell>
          <cell r="C276">
            <v>1.25</v>
          </cell>
          <cell r="D276">
            <v>4.8499999999999996</v>
          </cell>
          <cell r="E276">
            <v>1</v>
          </cell>
          <cell r="F276">
            <v>0.13</v>
          </cell>
          <cell r="G276">
            <v>0.17</v>
          </cell>
          <cell r="H276">
            <v>0.30000000000000004</v>
          </cell>
          <cell r="I276">
            <v>0.13</v>
          </cell>
          <cell r="J276">
            <v>0.17</v>
          </cell>
          <cell r="K276">
            <v>0.30000000000000004</v>
          </cell>
          <cell r="L276">
            <v>2</v>
          </cell>
          <cell r="P276">
            <v>2</v>
          </cell>
        </row>
        <row r="277">
          <cell r="B277" t="str">
            <v>80S</v>
          </cell>
          <cell r="C277">
            <v>1.25</v>
          </cell>
          <cell r="D277">
            <v>4.8499999999999996</v>
          </cell>
          <cell r="E277">
            <v>1</v>
          </cell>
          <cell r="F277">
            <v>0.13</v>
          </cell>
          <cell r="G277">
            <v>0.17</v>
          </cell>
          <cell r="H277">
            <v>0.30000000000000004</v>
          </cell>
          <cell r="I277">
            <v>0.13</v>
          </cell>
          <cell r="J277">
            <v>0.17</v>
          </cell>
          <cell r="K277">
            <v>0.30000000000000004</v>
          </cell>
          <cell r="L277">
            <v>2</v>
          </cell>
          <cell r="P277">
            <v>2</v>
          </cell>
        </row>
        <row r="278">
          <cell r="B278" t="str">
            <v>80S</v>
          </cell>
          <cell r="C278">
            <v>1.5</v>
          </cell>
          <cell r="D278">
            <v>5.08</v>
          </cell>
          <cell r="E278">
            <v>1</v>
          </cell>
          <cell r="F278">
            <v>0.15</v>
          </cell>
          <cell r="G278">
            <v>0.15</v>
          </cell>
          <cell r="H278">
            <v>0.3</v>
          </cell>
          <cell r="I278">
            <v>0.15</v>
          </cell>
          <cell r="J278">
            <v>0.15</v>
          </cell>
          <cell r="K278">
            <v>0.3</v>
          </cell>
          <cell r="L278">
            <v>2</v>
          </cell>
          <cell r="P278">
            <v>2</v>
          </cell>
        </row>
        <row r="279">
          <cell r="B279" t="str">
            <v>80S</v>
          </cell>
          <cell r="C279">
            <v>1.5</v>
          </cell>
          <cell r="D279">
            <v>5.08</v>
          </cell>
          <cell r="E279">
            <v>1</v>
          </cell>
          <cell r="F279">
            <v>0.15</v>
          </cell>
          <cell r="G279">
            <v>0.15</v>
          </cell>
          <cell r="H279">
            <v>0.3</v>
          </cell>
          <cell r="I279">
            <v>0.15</v>
          </cell>
          <cell r="J279">
            <v>0.15</v>
          </cell>
          <cell r="K279">
            <v>0.3</v>
          </cell>
          <cell r="L279">
            <v>2</v>
          </cell>
          <cell r="P279">
            <v>2</v>
          </cell>
        </row>
        <row r="280">
          <cell r="B280" t="str">
            <v>80S</v>
          </cell>
          <cell r="C280">
            <v>1.5</v>
          </cell>
          <cell r="D280">
            <v>5.08</v>
          </cell>
          <cell r="E280">
            <v>1</v>
          </cell>
          <cell r="F280">
            <v>0.15</v>
          </cell>
          <cell r="G280">
            <v>0.15</v>
          </cell>
          <cell r="H280">
            <v>0.3</v>
          </cell>
          <cell r="I280">
            <v>0.15</v>
          </cell>
          <cell r="J280">
            <v>0.15</v>
          </cell>
          <cell r="K280">
            <v>0.3</v>
          </cell>
          <cell r="L280">
            <v>2</v>
          </cell>
          <cell r="P280">
            <v>2</v>
          </cell>
        </row>
        <row r="281">
          <cell r="B281" t="str">
            <v>80S</v>
          </cell>
          <cell r="C281">
            <v>2</v>
          </cell>
          <cell r="D281">
            <v>5.54</v>
          </cell>
          <cell r="E281">
            <v>1</v>
          </cell>
          <cell r="F281">
            <v>0.2</v>
          </cell>
          <cell r="G281">
            <v>0.25</v>
          </cell>
          <cell r="H281">
            <v>0.45</v>
          </cell>
          <cell r="I281">
            <v>0.2</v>
          </cell>
          <cell r="J281">
            <v>0.25</v>
          </cell>
          <cell r="K281">
            <v>0.45</v>
          </cell>
          <cell r="L281">
            <v>2</v>
          </cell>
          <cell r="P281">
            <v>2</v>
          </cell>
        </row>
        <row r="282">
          <cell r="B282" t="str">
            <v>80S</v>
          </cell>
          <cell r="C282">
            <v>2</v>
          </cell>
          <cell r="D282">
            <v>5.54</v>
          </cell>
          <cell r="E282">
            <v>1</v>
          </cell>
          <cell r="F282">
            <v>0.2</v>
          </cell>
          <cell r="G282">
            <v>0.25</v>
          </cell>
          <cell r="H282">
            <v>0.45</v>
          </cell>
          <cell r="I282">
            <v>0.2</v>
          </cell>
          <cell r="J282">
            <v>0.25</v>
          </cell>
          <cell r="K282">
            <v>0.45</v>
          </cell>
          <cell r="L282">
            <v>2</v>
          </cell>
          <cell r="P282">
            <v>2</v>
          </cell>
        </row>
        <row r="283">
          <cell r="B283" t="str">
            <v>80S</v>
          </cell>
          <cell r="C283">
            <v>2</v>
          </cell>
          <cell r="D283">
            <v>5.54</v>
          </cell>
          <cell r="E283">
            <v>1</v>
          </cell>
          <cell r="F283">
            <v>0.2</v>
          </cell>
          <cell r="G283">
            <v>0.25</v>
          </cell>
          <cell r="H283">
            <v>0.45</v>
          </cell>
          <cell r="I283">
            <v>0.2</v>
          </cell>
          <cell r="J283">
            <v>0.25</v>
          </cell>
          <cell r="K283">
            <v>0.45</v>
          </cell>
          <cell r="L283">
            <v>2</v>
          </cell>
          <cell r="P283">
            <v>2</v>
          </cell>
        </row>
        <row r="284">
          <cell r="B284" t="str">
            <v>80S</v>
          </cell>
          <cell r="C284">
            <v>2.5</v>
          </cell>
          <cell r="D284">
            <v>7.01</v>
          </cell>
          <cell r="E284">
            <v>1</v>
          </cell>
          <cell r="F284">
            <v>0.25</v>
          </cell>
          <cell r="G284">
            <v>0.5</v>
          </cell>
          <cell r="H284">
            <v>0.75</v>
          </cell>
          <cell r="I284">
            <v>0.25</v>
          </cell>
          <cell r="J284">
            <v>0.5</v>
          </cell>
          <cell r="K284">
            <v>0.75</v>
          </cell>
          <cell r="L284">
            <v>2</v>
          </cell>
          <cell r="P284">
            <v>2</v>
          </cell>
        </row>
        <row r="285">
          <cell r="B285" t="str">
            <v>80S</v>
          </cell>
          <cell r="C285">
            <v>3</v>
          </cell>
          <cell r="D285">
            <v>7.62</v>
          </cell>
          <cell r="E285">
            <v>1</v>
          </cell>
          <cell r="F285">
            <v>0.3</v>
          </cell>
          <cell r="G285">
            <v>0.6</v>
          </cell>
          <cell r="H285">
            <v>0.89999999999999991</v>
          </cell>
          <cell r="I285">
            <v>0.3</v>
          </cell>
          <cell r="J285">
            <v>0.6</v>
          </cell>
          <cell r="K285">
            <v>0.89999999999999991</v>
          </cell>
          <cell r="L285">
            <v>2</v>
          </cell>
          <cell r="P285">
            <v>2</v>
          </cell>
        </row>
        <row r="286">
          <cell r="B286" t="str">
            <v>80S</v>
          </cell>
          <cell r="C286">
            <v>3.5</v>
          </cell>
          <cell r="D286">
            <v>8.08</v>
          </cell>
          <cell r="E286">
            <v>1</v>
          </cell>
          <cell r="F286">
            <v>0.35</v>
          </cell>
          <cell r="G286">
            <v>0.85</v>
          </cell>
          <cell r="H286">
            <v>1.2</v>
          </cell>
          <cell r="I286">
            <v>0.35</v>
          </cell>
          <cell r="J286">
            <v>0.85</v>
          </cell>
          <cell r="K286">
            <v>1.2</v>
          </cell>
          <cell r="L286">
            <v>3</v>
          </cell>
          <cell r="P286">
            <v>3</v>
          </cell>
        </row>
        <row r="287">
          <cell r="B287" t="str">
            <v>80S</v>
          </cell>
          <cell r="C287">
            <v>4</v>
          </cell>
          <cell r="D287">
            <v>8.56</v>
          </cell>
          <cell r="E287">
            <v>1</v>
          </cell>
          <cell r="F287">
            <v>0.41</v>
          </cell>
          <cell r="G287">
            <v>0.93</v>
          </cell>
          <cell r="H287">
            <v>1.34</v>
          </cell>
          <cell r="I287">
            <v>0.41</v>
          </cell>
          <cell r="J287">
            <v>0.93</v>
          </cell>
          <cell r="K287">
            <v>1.34</v>
          </cell>
          <cell r="L287">
            <v>3</v>
          </cell>
          <cell r="P287">
            <v>3</v>
          </cell>
        </row>
        <row r="288">
          <cell r="B288" t="str">
            <v>80S</v>
          </cell>
          <cell r="C288">
            <v>5</v>
          </cell>
          <cell r="D288">
            <v>9.5299999999999994</v>
          </cell>
          <cell r="E288">
            <v>1</v>
          </cell>
          <cell r="F288">
            <v>0.51</v>
          </cell>
          <cell r="G288">
            <v>1.59</v>
          </cell>
          <cell r="H288">
            <v>2.1</v>
          </cell>
          <cell r="I288">
            <v>0.51</v>
          </cell>
          <cell r="J288">
            <v>1.59</v>
          </cell>
          <cell r="K288">
            <v>2.1</v>
          </cell>
          <cell r="L288">
            <v>4</v>
          </cell>
          <cell r="P288">
            <v>4</v>
          </cell>
        </row>
        <row r="289">
          <cell r="B289" t="str">
            <v>80S</v>
          </cell>
          <cell r="C289">
            <v>6</v>
          </cell>
          <cell r="D289">
            <v>10.97</v>
          </cell>
          <cell r="E289">
            <v>1.25</v>
          </cell>
          <cell r="F289">
            <v>0.61</v>
          </cell>
          <cell r="G289">
            <v>2.69</v>
          </cell>
          <cell r="H289">
            <v>3.3</v>
          </cell>
          <cell r="I289">
            <v>0.61</v>
          </cell>
          <cell r="J289">
            <v>2.69</v>
          </cell>
          <cell r="K289">
            <v>3.3</v>
          </cell>
          <cell r="L289">
            <v>4</v>
          </cell>
          <cell r="P289">
            <v>4</v>
          </cell>
        </row>
        <row r="290">
          <cell r="B290" t="str">
            <v>80S</v>
          </cell>
          <cell r="C290">
            <v>8</v>
          </cell>
          <cell r="D290">
            <v>12.7</v>
          </cell>
          <cell r="E290">
            <v>1.25</v>
          </cell>
          <cell r="F290">
            <v>0.81</v>
          </cell>
          <cell r="G290">
            <v>4.58</v>
          </cell>
          <cell r="H290">
            <v>5.3900000000000006</v>
          </cell>
          <cell r="I290">
            <v>0.81</v>
          </cell>
          <cell r="J290">
            <v>4.58</v>
          </cell>
          <cell r="K290">
            <v>5.3900000000000006</v>
          </cell>
          <cell r="L290">
            <v>4</v>
          </cell>
          <cell r="P290">
            <v>4</v>
          </cell>
        </row>
        <row r="291">
          <cell r="B291" t="str">
            <v>80S</v>
          </cell>
          <cell r="C291">
            <v>10</v>
          </cell>
          <cell r="D291">
            <v>12.7</v>
          </cell>
          <cell r="E291">
            <v>1.25</v>
          </cell>
          <cell r="F291">
            <v>1.01</v>
          </cell>
          <cell r="G291">
            <v>5.74</v>
          </cell>
          <cell r="H291">
            <v>6.75</v>
          </cell>
          <cell r="I291">
            <v>1.01</v>
          </cell>
          <cell r="J291">
            <v>5.74</v>
          </cell>
          <cell r="K291">
            <v>6.75</v>
          </cell>
          <cell r="L291">
            <v>4</v>
          </cell>
          <cell r="P291">
            <v>4</v>
          </cell>
        </row>
        <row r="292">
          <cell r="B292" t="str">
            <v>80S</v>
          </cell>
          <cell r="C292">
            <v>12</v>
          </cell>
          <cell r="D292">
            <v>12.7</v>
          </cell>
          <cell r="E292">
            <v>1.25</v>
          </cell>
          <cell r="F292">
            <v>1.22</v>
          </cell>
          <cell r="G292">
            <v>6.73</v>
          </cell>
          <cell r="H292">
            <v>7.95</v>
          </cell>
          <cell r="I292">
            <v>1.22</v>
          </cell>
          <cell r="J292">
            <v>6.73</v>
          </cell>
          <cell r="K292">
            <v>7.95</v>
          </cell>
          <cell r="L292">
            <v>6</v>
          </cell>
          <cell r="P292">
            <v>6</v>
          </cell>
        </row>
        <row r="293">
          <cell r="B293">
            <v>100</v>
          </cell>
          <cell r="C293">
            <v>8</v>
          </cell>
          <cell r="D293">
            <v>15.09</v>
          </cell>
          <cell r="E293">
            <v>1.5</v>
          </cell>
          <cell r="F293">
            <v>0.81</v>
          </cell>
          <cell r="G293">
            <v>6.09</v>
          </cell>
          <cell r="H293">
            <v>6.9</v>
          </cell>
          <cell r="I293">
            <v>0.81</v>
          </cell>
          <cell r="J293">
            <v>6.09</v>
          </cell>
          <cell r="K293">
            <v>6.9</v>
          </cell>
          <cell r="L293">
            <v>4</v>
          </cell>
          <cell r="P293">
            <v>4</v>
          </cell>
        </row>
        <row r="294">
          <cell r="B294">
            <v>100</v>
          </cell>
          <cell r="C294">
            <v>10</v>
          </cell>
          <cell r="D294">
            <v>18.260000000000002</v>
          </cell>
          <cell r="E294">
            <v>1.5</v>
          </cell>
          <cell r="F294">
            <v>1.01</v>
          </cell>
          <cell r="G294">
            <v>11.44</v>
          </cell>
          <cell r="H294">
            <v>12.45</v>
          </cell>
          <cell r="I294">
            <v>1.01</v>
          </cell>
          <cell r="J294">
            <v>11.44</v>
          </cell>
          <cell r="K294">
            <v>12.45</v>
          </cell>
          <cell r="L294">
            <v>4</v>
          </cell>
          <cell r="P294">
            <v>4</v>
          </cell>
        </row>
        <row r="295">
          <cell r="B295">
            <v>100</v>
          </cell>
          <cell r="C295">
            <v>12</v>
          </cell>
          <cell r="D295">
            <v>21.44</v>
          </cell>
          <cell r="E295">
            <v>2</v>
          </cell>
          <cell r="F295">
            <v>1.22</v>
          </cell>
          <cell r="G295">
            <v>15.28</v>
          </cell>
          <cell r="H295">
            <v>16.5</v>
          </cell>
          <cell r="I295">
            <v>1.22</v>
          </cell>
          <cell r="J295">
            <v>15.28</v>
          </cell>
          <cell r="K295">
            <v>16.5</v>
          </cell>
          <cell r="L295">
            <v>6</v>
          </cell>
          <cell r="P295">
            <v>6</v>
          </cell>
        </row>
        <row r="296">
          <cell r="B296">
            <v>100</v>
          </cell>
          <cell r="C296">
            <v>14</v>
          </cell>
          <cell r="D296">
            <v>23.83</v>
          </cell>
          <cell r="E296">
            <v>2</v>
          </cell>
          <cell r="F296">
            <v>1.42</v>
          </cell>
          <cell r="G296">
            <v>21.07</v>
          </cell>
          <cell r="H296">
            <v>22.490000000000002</v>
          </cell>
          <cell r="I296">
            <v>1.42</v>
          </cell>
          <cell r="J296">
            <v>21.07</v>
          </cell>
          <cell r="K296">
            <v>22.490000000000002</v>
          </cell>
          <cell r="L296">
            <v>6</v>
          </cell>
          <cell r="P296">
            <v>6</v>
          </cell>
        </row>
        <row r="297">
          <cell r="B297">
            <v>100</v>
          </cell>
          <cell r="C297">
            <v>16</v>
          </cell>
          <cell r="D297">
            <v>26.19</v>
          </cell>
          <cell r="E297" t="str">
            <v>N</v>
          </cell>
          <cell r="F297">
            <v>1.62</v>
          </cell>
          <cell r="G297">
            <v>28.38</v>
          </cell>
          <cell r="H297">
            <v>30</v>
          </cell>
          <cell r="I297">
            <v>1.62</v>
          </cell>
          <cell r="J297">
            <v>28.38</v>
          </cell>
          <cell r="K297">
            <v>30</v>
          </cell>
          <cell r="L297">
            <v>6</v>
          </cell>
          <cell r="P297">
            <v>6</v>
          </cell>
        </row>
        <row r="298">
          <cell r="B298">
            <v>100</v>
          </cell>
          <cell r="C298">
            <v>18</v>
          </cell>
          <cell r="D298">
            <v>29.36</v>
          </cell>
          <cell r="E298" t="str">
            <v>N</v>
          </cell>
          <cell r="F298">
            <v>1.82</v>
          </cell>
          <cell r="G298">
            <v>37.17</v>
          </cell>
          <cell r="H298">
            <v>38.99</v>
          </cell>
          <cell r="I298">
            <v>1.82</v>
          </cell>
          <cell r="J298">
            <v>37.17</v>
          </cell>
          <cell r="K298">
            <v>38.99</v>
          </cell>
          <cell r="L298">
            <v>6</v>
          </cell>
          <cell r="P298">
            <v>6</v>
          </cell>
        </row>
        <row r="299">
          <cell r="B299">
            <v>100</v>
          </cell>
          <cell r="C299">
            <v>20</v>
          </cell>
          <cell r="D299">
            <v>32.54</v>
          </cell>
          <cell r="E299" t="str">
            <v>N</v>
          </cell>
          <cell r="F299">
            <v>2.0299999999999998</v>
          </cell>
          <cell r="G299">
            <v>45.97</v>
          </cell>
          <cell r="H299">
            <v>48</v>
          </cell>
          <cell r="I299">
            <v>2.0299999999999998</v>
          </cell>
          <cell r="J299">
            <v>45.97</v>
          </cell>
          <cell r="K299">
            <v>48</v>
          </cell>
          <cell r="L299">
            <v>7</v>
          </cell>
          <cell r="P299">
            <v>7</v>
          </cell>
        </row>
        <row r="300">
          <cell r="B300">
            <v>100</v>
          </cell>
          <cell r="C300">
            <v>22</v>
          </cell>
          <cell r="D300">
            <v>34.93</v>
          </cell>
          <cell r="E300" t="str">
            <v>N</v>
          </cell>
          <cell r="F300">
            <v>2.23</v>
          </cell>
          <cell r="G300">
            <v>65.27</v>
          </cell>
          <cell r="H300">
            <v>67.5</v>
          </cell>
          <cell r="I300">
            <v>2.23</v>
          </cell>
          <cell r="J300">
            <v>65.27</v>
          </cell>
          <cell r="K300">
            <v>67.5</v>
          </cell>
          <cell r="L300">
            <v>8</v>
          </cell>
          <cell r="P300">
            <v>8</v>
          </cell>
        </row>
        <row r="301">
          <cell r="B301">
            <v>100</v>
          </cell>
          <cell r="C301">
            <v>24</v>
          </cell>
          <cell r="D301">
            <v>38.89</v>
          </cell>
          <cell r="E301" t="str">
            <v>N</v>
          </cell>
          <cell r="F301">
            <v>2.4300000000000002</v>
          </cell>
          <cell r="G301">
            <v>75.56</v>
          </cell>
          <cell r="H301">
            <v>77.990000000000009</v>
          </cell>
          <cell r="I301">
            <v>2.4300000000000002</v>
          </cell>
          <cell r="J301">
            <v>75.56</v>
          </cell>
          <cell r="K301">
            <v>77.990000000000009</v>
          </cell>
          <cell r="L301">
            <v>8</v>
          </cell>
          <cell r="P301">
            <v>8</v>
          </cell>
        </row>
        <row r="302">
          <cell r="B302">
            <v>120</v>
          </cell>
          <cell r="C302">
            <v>4</v>
          </cell>
          <cell r="D302">
            <v>11.13</v>
          </cell>
          <cell r="E302">
            <v>1.25</v>
          </cell>
          <cell r="F302">
            <v>0.41</v>
          </cell>
          <cell r="G302">
            <v>1.84</v>
          </cell>
          <cell r="H302">
            <v>2.25</v>
          </cell>
          <cell r="I302">
            <v>0.41</v>
          </cell>
          <cell r="J302">
            <v>1.84</v>
          </cell>
          <cell r="K302">
            <v>2.25</v>
          </cell>
          <cell r="L302">
            <v>4</v>
          </cell>
          <cell r="P302">
            <v>4</v>
          </cell>
        </row>
        <row r="303">
          <cell r="B303">
            <v>120</v>
          </cell>
          <cell r="C303">
            <v>5</v>
          </cell>
          <cell r="D303">
            <v>12.7</v>
          </cell>
          <cell r="E303">
            <v>1.25</v>
          </cell>
          <cell r="F303">
            <v>0.51</v>
          </cell>
          <cell r="G303">
            <v>2.94</v>
          </cell>
          <cell r="H303">
            <v>3.45</v>
          </cell>
          <cell r="I303">
            <v>0.51</v>
          </cell>
          <cell r="J303">
            <v>2.94</v>
          </cell>
          <cell r="K303">
            <v>3.45</v>
          </cell>
          <cell r="L303">
            <v>4</v>
          </cell>
          <cell r="P303">
            <v>4</v>
          </cell>
        </row>
        <row r="304">
          <cell r="B304">
            <v>120</v>
          </cell>
          <cell r="C304">
            <v>6</v>
          </cell>
          <cell r="D304">
            <v>14.27</v>
          </cell>
          <cell r="E304">
            <v>1.25</v>
          </cell>
          <cell r="F304">
            <v>0.61</v>
          </cell>
          <cell r="G304">
            <v>4.1900000000000004</v>
          </cell>
          <cell r="H304">
            <v>4.8000000000000007</v>
          </cell>
          <cell r="I304">
            <v>0.61</v>
          </cell>
          <cell r="J304">
            <v>4.1900000000000004</v>
          </cell>
          <cell r="K304">
            <v>4.8000000000000007</v>
          </cell>
          <cell r="L304">
            <v>4</v>
          </cell>
          <cell r="P304">
            <v>4</v>
          </cell>
        </row>
        <row r="305">
          <cell r="B305">
            <v>120</v>
          </cell>
          <cell r="C305">
            <v>8</v>
          </cell>
          <cell r="D305">
            <v>18.260000000000002</v>
          </cell>
          <cell r="E305">
            <v>1.5</v>
          </cell>
          <cell r="F305">
            <v>0.81</v>
          </cell>
          <cell r="G305">
            <v>9.23</v>
          </cell>
          <cell r="H305">
            <v>10.040000000000001</v>
          </cell>
          <cell r="I305">
            <v>0.81</v>
          </cell>
          <cell r="J305">
            <v>9.23</v>
          </cell>
          <cell r="K305">
            <v>10.040000000000001</v>
          </cell>
          <cell r="L305">
            <v>4</v>
          </cell>
          <cell r="P305">
            <v>4</v>
          </cell>
        </row>
        <row r="306">
          <cell r="B306">
            <v>120</v>
          </cell>
          <cell r="C306">
            <v>10</v>
          </cell>
          <cell r="D306">
            <v>21.44</v>
          </cell>
          <cell r="E306">
            <v>2</v>
          </cell>
          <cell r="F306">
            <v>1.01</v>
          </cell>
          <cell r="G306">
            <v>12.49</v>
          </cell>
          <cell r="H306">
            <v>13.5</v>
          </cell>
          <cell r="I306">
            <v>1.01</v>
          </cell>
          <cell r="J306">
            <v>12.49</v>
          </cell>
          <cell r="K306">
            <v>13.5</v>
          </cell>
          <cell r="L306">
            <v>4</v>
          </cell>
          <cell r="P306">
            <v>4</v>
          </cell>
        </row>
        <row r="307">
          <cell r="B307">
            <v>120</v>
          </cell>
          <cell r="C307">
            <v>12</v>
          </cell>
          <cell r="D307">
            <v>25.4</v>
          </cell>
          <cell r="E307" t="str">
            <v>N</v>
          </cell>
          <cell r="F307">
            <v>1.22</v>
          </cell>
          <cell r="G307">
            <v>21.27</v>
          </cell>
          <cell r="H307">
            <v>22.49</v>
          </cell>
          <cell r="I307">
            <v>1.22</v>
          </cell>
          <cell r="J307">
            <v>21.27</v>
          </cell>
          <cell r="K307">
            <v>22.49</v>
          </cell>
          <cell r="L307">
            <v>6</v>
          </cell>
          <cell r="P307">
            <v>6</v>
          </cell>
        </row>
        <row r="308">
          <cell r="B308">
            <v>120</v>
          </cell>
          <cell r="C308">
            <v>14</v>
          </cell>
          <cell r="D308">
            <v>27.79</v>
          </cell>
          <cell r="E308" t="str">
            <v>N</v>
          </cell>
          <cell r="F308">
            <v>1.42</v>
          </cell>
          <cell r="G308">
            <v>25.58</v>
          </cell>
          <cell r="H308">
            <v>27</v>
          </cell>
          <cell r="I308">
            <v>1.42</v>
          </cell>
          <cell r="J308">
            <v>25.58</v>
          </cell>
          <cell r="K308">
            <v>27</v>
          </cell>
          <cell r="L308">
            <v>6</v>
          </cell>
          <cell r="P308">
            <v>6</v>
          </cell>
        </row>
        <row r="309">
          <cell r="B309">
            <v>120</v>
          </cell>
          <cell r="C309">
            <v>16</v>
          </cell>
          <cell r="D309">
            <v>30.96</v>
          </cell>
          <cell r="E309" t="str">
            <v>N</v>
          </cell>
          <cell r="F309">
            <v>1.62</v>
          </cell>
          <cell r="G309">
            <v>35.880000000000003</v>
          </cell>
          <cell r="H309">
            <v>37.5</v>
          </cell>
          <cell r="I309">
            <v>1.62</v>
          </cell>
          <cell r="J309">
            <v>35.880000000000003</v>
          </cell>
          <cell r="K309">
            <v>37.5</v>
          </cell>
          <cell r="L309">
            <v>6</v>
          </cell>
          <cell r="P309">
            <v>6</v>
          </cell>
        </row>
        <row r="310">
          <cell r="B310">
            <v>120</v>
          </cell>
          <cell r="C310">
            <v>18</v>
          </cell>
          <cell r="D310">
            <v>34.93</v>
          </cell>
          <cell r="E310" t="str">
            <v>N</v>
          </cell>
          <cell r="F310">
            <v>1.82</v>
          </cell>
          <cell r="G310">
            <v>47.68</v>
          </cell>
          <cell r="H310">
            <v>49.5</v>
          </cell>
          <cell r="I310">
            <v>1.82</v>
          </cell>
          <cell r="J310">
            <v>47.68</v>
          </cell>
          <cell r="K310">
            <v>49.5</v>
          </cell>
          <cell r="L310">
            <v>6</v>
          </cell>
          <cell r="P310">
            <v>6</v>
          </cell>
        </row>
        <row r="311">
          <cell r="B311">
            <v>120</v>
          </cell>
          <cell r="C311">
            <v>20</v>
          </cell>
          <cell r="D311">
            <v>38.1</v>
          </cell>
          <cell r="E311" t="str">
            <v>N</v>
          </cell>
          <cell r="F311">
            <v>2.0299999999999998</v>
          </cell>
          <cell r="G311">
            <v>62.47</v>
          </cell>
          <cell r="H311">
            <v>64.5</v>
          </cell>
          <cell r="I311">
            <v>2.0299999999999998</v>
          </cell>
          <cell r="J311">
            <v>62.47</v>
          </cell>
          <cell r="K311">
            <v>64.5</v>
          </cell>
          <cell r="L311">
            <v>7</v>
          </cell>
          <cell r="P311">
            <v>7</v>
          </cell>
        </row>
        <row r="312">
          <cell r="B312">
            <v>120</v>
          </cell>
          <cell r="C312">
            <v>22</v>
          </cell>
          <cell r="D312">
            <v>41.28</v>
          </cell>
          <cell r="E312" t="str">
            <v>N</v>
          </cell>
          <cell r="F312">
            <v>2.23</v>
          </cell>
          <cell r="G312">
            <v>84.76</v>
          </cell>
          <cell r="H312">
            <v>86.990000000000009</v>
          </cell>
          <cell r="I312">
            <v>2.23</v>
          </cell>
          <cell r="J312">
            <v>84.76</v>
          </cell>
          <cell r="K312">
            <v>86.990000000000009</v>
          </cell>
          <cell r="L312">
            <v>8</v>
          </cell>
          <cell r="P312">
            <v>8</v>
          </cell>
        </row>
        <row r="313">
          <cell r="B313">
            <v>120</v>
          </cell>
          <cell r="C313">
            <v>24</v>
          </cell>
          <cell r="D313">
            <v>46.02</v>
          </cell>
          <cell r="E313" t="str">
            <v>N</v>
          </cell>
          <cell r="F313">
            <v>2.4300000000000002</v>
          </cell>
          <cell r="G313">
            <v>98.07</v>
          </cell>
          <cell r="H313">
            <v>100.5</v>
          </cell>
          <cell r="I313">
            <v>2.4300000000000002</v>
          </cell>
          <cell r="J313">
            <v>98.07</v>
          </cell>
          <cell r="K313">
            <v>100.5</v>
          </cell>
          <cell r="L313">
            <v>8</v>
          </cell>
          <cell r="P313">
            <v>8</v>
          </cell>
        </row>
        <row r="314">
          <cell r="B314">
            <v>140</v>
          </cell>
          <cell r="C314">
            <v>8</v>
          </cell>
          <cell r="D314">
            <v>20.62</v>
          </cell>
          <cell r="E314">
            <v>2</v>
          </cell>
          <cell r="F314">
            <v>0.81</v>
          </cell>
          <cell r="G314">
            <v>10.130000000000001</v>
          </cell>
          <cell r="H314">
            <v>10.940000000000001</v>
          </cell>
          <cell r="I314">
            <v>0.81</v>
          </cell>
          <cell r="J314">
            <v>10.130000000000001</v>
          </cell>
          <cell r="K314">
            <v>10.940000000000001</v>
          </cell>
          <cell r="L314">
            <v>4</v>
          </cell>
          <cell r="P314">
            <v>4</v>
          </cell>
        </row>
        <row r="315">
          <cell r="B315">
            <v>140</v>
          </cell>
          <cell r="C315">
            <v>10</v>
          </cell>
          <cell r="D315">
            <v>25.4</v>
          </cell>
          <cell r="E315" t="str">
            <v>N</v>
          </cell>
          <cell r="F315">
            <v>1.01</v>
          </cell>
          <cell r="G315">
            <v>18.48</v>
          </cell>
          <cell r="H315">
            <v>19.490000000000002</v>
          </cell>
          <cell r="I315">
            <v>1.01</v>
          </cell>
          <cell r="J315">
            <v>18.48</v>
          </cell>
          <cell r="K315">
            <v>19.490000000000002</v>
          </cell>
          <cell r="L315">
            <v>4</v>
          </cell>
          <cell r="P315">
            <v>4</v>
          </cell>
        </row>
        <row r="316">
          <cell r="B316">
            <v>140</v>
          </cell>
          <cell r="C316">
            <v>12</v>
          </cell>
          <cell r="D316">
            <v>28.58</v>
          </cell>
          <cell r="E316" t="str">
            <v>N</v>
          </cell>
          <cell r="F316">
            <v>1.22</v>
          </cell>
          <cell r="G316">
            <v>25.78</v>
          </cell>
          <cell r="H316">
            <v>27</v>
          </cell>
          <cell r="I316">
            <v>1.22</v>
          </cell>
          <cell r="J316">
            <v>25.78</v>
          </cell>
          <cell r="K316">
            <v>27</v>
          </cell>
          <cell r="L316">
            <v>6</v>
          </cell>
          <cell r="P316">
            <v>6</v>
          </cell>
        </row>
        <row r="317">
          <cell r="B317">
            <v>140</v>
          </cell>
          <cell r="C317">
            <v>14</v>
          </cell>
          <cell r="D317">
            <v>31.75</v>
          </cell>
          <cell r="E317" t="str">
            <v>N</v>
          </cell>
          <cell r="F317">
            <v>1.42</v>
          </cell>
          <cell r="G317">
            <v>31.58</v>
          </cell>
          <cell r="H317">
            <v>33</v>
          </cell>
          <cell r="I317">
            <v>1.42</v>
          </cell>
          <cell r="J317">
            <v>31.58</v>
          </cell>
          <cell r="K317">
            <v>33</v>
          </cell>
          <cell r="L317">
            <v>6</v>
          </cell>
          <cell r="P317">
            <v>6</v>
          </cell>
        </row>
        <row r="318">
          <cell r="B318">
            <v>140</v>
          </cell>
          <cell r="C318">
            <v>16</v>
          </cell>
          <cell r="D318">
            <v>36.53</v>
          </cell>
          <cell r="E318" t="str">
            <v>N</v>
          </cell>
          <cell r="F318">
            <v>1.62</v>
          </cell>
          <cell r="G318">
            <v>44.87</v>
          </cell>
          <cell r="H318">
            <v>46.489999999999995</v>
          </cell>
          <cell r="I318">
            <v>1.62</v>
          </cell>
          <cell r="J318">
            <v>44.87</v>
          </cell>
          <cell r="K318">
            <v>46.489999999999995</v>
          </cell>
          <cell r="L318">
            <v>6</v>
          </cell>
          <cell r="P318">
            <v>6</v>
          </cell>
        </row>
        <row r="319">
          <cell r="B319">
            <v>140</v>
          </cell>
          <cell r="C319">
            <v>18</v>
          </cell>
          <cell r="D319">
            <v>39.67</v>
          </cell>
          <cell r="E319" t="str">
            <v>N</v>
          </cell>
          <cell r="F319">
            <v>1.82</v>
          </cell>
          <cell r="G319">
            <v>59.68</v>
          </cell>
          <cell r="H319">
            <v>61.5</v>
          </cell>
          <cell r="I319">
            <v>1.82</v>
          </cell>
          <cell r="J319">
            <v>59.68</v>
          </cell>
          <cell r="K319">
            <v>61.5</v>
          </cell>
          <cell r="L319">
            <v>6</v>
          </cell>
          <cell r="P319">
            <v>6</v>
          </cell>
        </row>
        <row r="320">
          <cell r="B320">
            <v>140</v>
          </cell>
          <cell r="C320">
            <v>20</v>
          </cell>
          <cell r="D320">
            <v>44.45</v>
          </cell>
          <cell r="E320" t="str">
            <v>N</v>
          </cell>
          <cell r="F320">
            <v>2.0299999999999998</v>
          </cell>
          <cell r="G320">
            <v>78.959999999999994</v>
          </cell>
          <cell r="H320">
            <v>80.989999999999995</v>
          </cell>
          <cell r="I320">
            <v>2.0299999999999998</v>
          </cell>
          <cell r="J320">
            <v>78.959999999999994</v>
          </cell>
          <cell r="K320">
            <v>80.989999999999995</v>
          </cell>
          <cell r="L320">
            <v>7</v>
          </cell>
          <cell r="P320">
            <v>7</v>
          </cell>
        </row>
        <row r="321">
          <cell r="B321">
            <v>140</v>
          </cell>
          <cell r="C321">
            <v>22</v>
          </cell>
          <cell r="D321">
            <v>47.63</v>
          </cell>
          <cell r="E321" t="str">
            <v>N</v>
          </cell>
          <cell r="F321">
            <v>2.23</v>
          </cell>
          <cell r="G321">
            <v>108.77</v>
          </cell>
          <cell r="H321">
            <v>111</v>
          </cell>
          <cell r="I321">
            <v>2.23</v>
          </cell>
          <cell r="J321">
            <v>108.77</v>
          </cell>
          <cell r="K321">
            <v>111</v>
          </cell>
          <cell r="L321">
            <v>8</v>
          </cell>
          <cell r="P321">
            <v>8</v>
          </cell>
        </row>
        <row r="322">
          <cell r="B322">
            <v>140</v>
          </cell>
          <cell r="C322">
            <v>24</v>
          </cell>
          <cell r="D322">
            <v>52.37</v>
          </cell>
          <cell r="E322" t="str">
            <v>N</v>
          </cell>
          <cell r="F322">
            <v>2.4300000000000002</v>
          </cell>
          <cell r="G322">
            <v>126.57</v>
          </cell>
          <cell r="H322">
            <v>129</v>
          </cell>
          <cell r="I322">
            <v>2.4300000000000002</v>
          </cell>
          <cell r="J322">
            <v>126.57</v>
          </cell>
          <cell r="K322">
            <v>129</v>
          </cell>
          <cell r="L322">
            <v>8</v>
          </cell>
          <cell r="P322">
            <v>8</v>
          </cell>
        </row>
        <row r="323">
          <cell r="B323">
            <v>160</v>
          </cell>
          <cell r="C323">
            <v>0.5</v>
          </cell>
          <cell r="D323">
            <v>4.78</v>
          </cell>
          <cell r="E323">
            <v>1</v>
          </cell>
          <cell r="F323">
            <v>7.0000000000000007E-2</v>
          </cell>
          <cell r="G323">
            <v>0.08</v>
          </cell>
          <cell r="H323">
            <v>0.15000000000000002</v>
          </cell>
          <cell r="I323">
            <v>7.0000000000000007E-2</v>
          </cell>
          <cell r="J323">
            <v>0.08</v>
          </cell>
          <cell r="K323">
            <v>0.15000000000000002</v>
          </cell>
          <cell r="L323">
            <v>2</v>
          </cell>
          <cell r="P323">
            <v>2</v>
          </cell>
        </row>
        <row r="324">
          <cell r="B324">
            <v>160</v>
          </cell>
          <cell r="C324">
            <v>0.5</v>
          </cell>
          <cell r="D324">
            <v>4.78</v>
          </cell>
          <cell r="E324">
            <v>1</v>
          </cell>
          <cell r="F324">
            <v>7.0000000000000007E-2</v>
          </cell>
          <cell r="G324">
            <v>0.08</v>
          </cell>
          <cell r="H324">
            <v>0.15000000000000002</v>
          </cell>
          <cell r="I324">
            <v>7.0000000000000007E-2</v>
          </cell>
          <cell r="J324">
            <v>0.08</v>
          </cell>
          <cell r="K324">
            <v>0.15000000000000002</v>
          </cell>
          <cell r="L324">
            <v>2</v>
          </cell>
          <cell r="P324">
            <v>2</v>
          </cell>
        </row>
        <row r="325">
          <cell r="B325">
            <v>160</v>
          </cell>
          <cell r="C325">
            <v>0.5</v>
          </cell>
          <cell r="D325">
            <v>4.78</v>
          </cell>
          <cell r="E325">
            <v>1</v>
          </cell>
          <cell r="F325">
            <v>7.0000000000000007E-2</v>
          </cell>
          <cell r="G325">
            <v>0.08</v>
          </cell>
          <cell r="H325">
            <v>0.15000000000000002</v>
          </cell>
          <cell r="I325">
            <v>7.0000000000000007E-2</v>
          </cell>
          <cell r="J325">
            <v>0.08</v>
          </cell>
          <cell r="K325">
            <v>0.15000000000000002</v>
          </cell>
          <cell r="L325">
            <v>2</v>
          </cell>
          <cell r="P325">
            <v>2</v>
          </cell>
        </row>
        <row r="326">
          <cell r="B326">
            <v>160</v>
          </cell>
          <cell r="C326">
            <v>0.75</v>
          </cell>
          <cell r="D326">
            <v>5.56</v>
          </cell>
          <cell r="E326">
            <v>1</v>
          </cell>
          <cell r="F326">
            <v>0.08</v>
          </cell>
          <cell r="G326">
            <v>7.0000000000000007E-2</v>
          </cell>
          <cell r="H326">
            <v>0.15000000000000002</v>
          </cell>
          <cell r="I326">
            <v>0.08</v>
          </cell>
          <cell r="J326">
            <v>7.0000000000000007E-2</v>
          </cell>
          <cell r="K326">
            <v>0.15000000000000002</v>
          </cell>
          <cell r="L326">
            <v>2</v>
          </cell>
          <cell r="P326">
            <v>2</v>
          </cell>
        </row>
        <row r="327">
          <cell r="B327">
            <v>160</v>
          </cell>
          <cell r="C327">
            <v>0.75</v>
          </cell>
          <cell r="D327">
            <v>5.56</v>
          </cell>
          <cell r="E327">
            <v>1</v>
          </cell>
          <cell r="F327">
            <v>0.08</v>
          </cell>
          <cell r="G327">
            <v>7.0000000000000007E-2</v>
          </cell>
          <cell r="H327">
            <v>0.15000000000000002</v>
          </cell>
          <cell r="I327">
            <v>0.08</v>
          </cell>
          <cell r="J327">
            <v>7.0000000000000007E-2</v>
          </cell>
          <cell r="K327">
            <v>0.15000000000000002</v>
          </cell>
          <cell r="L327">
            <v>2</v>
          </cell>
          <cell r="P327">
            <v>2</v>
          </cell>
        </row>
        <row r="328">
          <cell r="B328">
            <v>160</v>
          </cell>
          <cell r="C328">
            <v>0.75</v>
          </cell>
          <cell r="D328">
            <v>5.56</v>
          </cell>
          <cell r="E328">
            <v>1</v>
          </cell>
          <cell r="F328">
            <v>0.08</v>
          </cell>
          <cell r="G328">
            <v>7.0000000000000007E-2</v>
          </cell>
          <cell r="H328">
            <v>0.15000000000000002</v>
          </cell>
          <cell r="I328">
            <v>0.08</v>
          </cell>
          <cell r="J328">
            <v>7.0000000000000007E-2</v>
          </cell>
          <cell r="K328">
            <v>0.15000000000000002</v>
          </cell>
          <cell r="L328">
            <v>2</v>
          </cell>
          <cell r="P328">
            <v>2</v>
          </cell>
        </row>
        <row r="329">
          <cell r="B329">
            <v>160</v>
          </cell>
          <cell r="C329">
            <v>1</v>
          </cell>
          <cell r="D329">
            <v>6.35</v>
          </cell>
          <cell r="E329">
            <v>1</v>
          </cell>
          <cell r="F329">
            <v>0.1</v>
          </cell>
          <cell r="G329">
            <v>0.35</v>
          </cell>
          <cell r="H329">
            <v>0.44999999999999996</v>
          </cell>
          <cell r="I329">
            <v>0.1</v>
          </cell>
          <cell r="J329">
            <v>0.35</v>
          </cell>
          <cell r="K329">
            <v>0.44999999999999996</v>
          </cell>
          <cell r="L329">
            <v>2</v>
          </cell>
          <cell r="P329">
            <v>2</v>
          </cell>
        </row>
        <row r="330">
          <cell r="B330">
            <v>160</v>
          </cell>
          <cell r="C330">
            <v>1</v>
          </cell>
          <cell r="D330">
            <v>6.35</v>
          </cell>
          <cell r="E330">
            <v>1</v>
          </cell>
          <cell r="F330">
            <v>0.1</v>
          </cell>
          <cell r="G330">
            <v>0.35</v>
          </cell>
          <cell r="H330">
            <v>0.44999999999999996</v>
          </cell>
          <cell r="I330">
            <v>0.1</v>
          </cell>
          <cell r="J330">
            <v>0.35</v>
          </cell>
          <cell r="K330">
            <v>0.44999999999999996</v>
          </cell>
          <cell r="L330">
            <v>2</v>
          </cell>
          <cell r="P330">
            <v>2</v>
          </cell>
        </row>
        <row r="331">
          <cell r="B331">
            <v>160</v>
          </cell>
          <cell r="C331">
            <v>1</v>
          </cell>
          <cell r="D331">
            <v>6.35</v>
          </cell>
          <cell r="E331">
            <v>1</v>
          </cell>
          <cell r="F331">
            <v>0.1</v>
          </cell>
          <cell r="G331">
            <v>0.35</v>
          </cell>
          <cell r="H331">
            <v>0.44999999999999996</v>
          </cell>
          <cell r="I331">
            <v>0.1</v>
          </cell>
          <cell r="J331">
            <v>0.35</v>
          </cell>
          <cell r="K331">
            <v>0.44999999999999996</v>
          </cell>
          <cell r="L331">
            <v>2</v>
          </cell>
          <cell r="P331">
            <v>2</v>
          </cell>
        </row>
        <row r="332">
          <cell r="B332">
            <v>160</v>
          </cell>
          <cell r="C332">
            <v>1.25</v>
          </cell>
          <cell r="D332">
            <v>6.35</v>
          </cell>
          <cell r="E332">
            <v>1</v>
          </cell>
          <cell r="F332">
            <v>0.13</v>
          </cell>
          <cell r="G332">
            <v>0.32</v>
          </cell>
          <cell r="H332">
            <v>0.45</v>
          </cell>
          <cell r="I332">
            <v>0.13</v>
          </cell>
          <cell r="J332">
            <v>0.32</v>
          </cell>
          <cell r="K332">
            <v>0.45</v>
          </cell>
          <cell r="L332">
            <v>2</v>
          </cell>
          <cell r="P332">
            <v>2</v>
          </cell>
        </row>
        <row r="333">
          <cell r="B333">
            <v>160</v>
          </cell>
          <cell r="C333">
            <v>1.25</v>
          </cell>
          <cell r="D333">
            <v>6.35</v>
          </cell>
          <cell r="E333">
            <v>1</v>
          </cell>
          <cell r="F333">
            <v>0.13</v>
          </cell>
          <cell r="G333">
            <v>0.32</v>
          </cell>
          <cell r="H333">
            <v>0.45</v>
          </cell>
          <cell r="I333">
            <v>0.13</v>
          </cell>
          <cell r="J333">
            <v>0.32</v>
          </cell>
          <cell r="K333">
            <v>0.45</v>
          </cell>
          <cell r="L333">
            <v>2</v>
          </cell>
          <cell r="P333">
            <v>2</v>
          </cell>
        </row>
        <row r="334">
          <cell r="B334">
            <v>160</v>
          </cell>
          <cell r="C334">
            <v>1.25</v>
          </cell>
          <cell r="D334">
            <v>6.35</v>
          </cell>
          <cell r="E334">
            <v>1</v>
          </cell>
          <cell r="F334">
            <v>0.13</v>
          </cell>
          <cell r="G334">
            <v>0.32</v>
          </cell>
          <cell r="H334">
            <v>0.45</v>
          </cell>
          <cell r="I334">
            <v>0.13</v>
          </cell>
          <cell r="J334">
            <v>0.32</v>
          </cell>
          <cell r="K334">
            <v>0.45</v>
          </cell>
          <cell r="L334">
            <v>2</v>
          </cell>
          <cell r="P334">
            <v>2</v>
          </cell>
        </row>
        <row r="335">
          <cell r="B335">
            <v>160</v>
          </cell>
          <cell r="C335">
            <v>1.5</v>
          </cell>
          <cell r="D335">
            <v>7.14</v>
          </cell>
          <cell r="E335">
            <v>1</v>
          </cell>
          <cell r="F335">
            <v>0.15</v>
          </cell>
          <cell r="G335">
            <v>0.45</v>
          </cell>
          <cell r="H335">
            <v>0.6</v>
          </cell>
          <cell r="I335">
            <v>0.15</v>
          </cell>
          <cell r="J335">
            <v>0.45</v>
          </cell>
          <cell r="K335">
            <v>0.6</v>
          </cell>
          <cell r="L335">
            <v>2</v>
          </cell>
          <cell r="P335">
            <v>2</v>
          </cell>
        </row>
        <row r="336">
          <cell r="B336">
            <v>160</v>
          </cell>
          <cell r="C336">
            <v>1.5</v>
          </cell>
          <cell r="D336">
            <v>7.14</v>
          </cell>
          <cell r="E336">
            <v>1</v>
          </cell>
          <cell r="F336">
            <v>0.15</v>
          </cell>
          <cell r="G336">
            <v>0.45</v>
          </cell>
          <cell r="H336">
            <v>0.6</v>
          </cell>
          <cell r="I336">
            <v>0.15</v>
          </cell>
          <cell r="J336">
            <v>0.45</v>
          </cell>
          <cell r="K336">
            <v>0.6</v>
          </cell>
          <cell r="L336">
            <v>2</v>
          </cell>
          <cell r="P336">
            <v>2</v>
          </cell>
        </row>
        <row r="337">
          <cell r="B337">
            <v>160</v>
          </cell>
          <cell r="C337">
            <v>1.5</v>
          </cell>
          <cell r="D337">
            <v>7.14</v>
          </cell>
          <cell r="E337">
            <v>1</v>
          </cell>
          <cell r="F337">
            <v>0.15</v>
          </cell>
          <cell r="G337">
            <v>0.45</v>
          </cell>
          <cell r="H337">
            <v>0.6</v>
          </cell>
          <cell r="I337">
            <v>0.15</v>
          </cell>
          <cell r="J337">
            <v>0.45</v>
          </cell>
          <cell r="K337">
            <v>0.6</v>
          </cell>
          <cell r="L337">
            <v>2</v>
          </cell>
          <cell r="P337">
            <v>2</v>
          </cell>
        </row>
        <row r="338">
          <cell r="B338">
            <v>160</v>
          </cell>
          <cell r="C338">
            <v>2</v>
          </cell>
          <cell r="D338">
            <v>8.74</v>
          </cell>
          <cell r="E338">
            <v>1</v>
          </cell>
          <cell r="F338">
            <v>0.2</v>
          </cell>
          <cell r="G338">
            <v>0.7</v>
          </cell>
          <cell r="H338">
            <v>0.89999999999999991</v>
          </cell>
          <cell r="I338">
            <v>0.2</v>
          </cell>
          <cell r="J338">
            <v>0.7</v>
          </cell>
          <cell r="K338">
            <v>0.89999999999999991</v>
          </cell>
          <cell r="L338">
            <v>4</v>
          </cell>
          <cell r="P338">
            <v>4</v>
          </cell>
        </row>
        <row r="339">
          <cell r="B339">
            <v>160</v>
          </cell>
          <cell r="C339">
            <v>2</v>
          </cell>
          <cell r="D339">
            <v>8.74</v>
          </cell>
          <cell r="E339">
            <v>1</v>
          </cell>
          <cell r="F339">
            <v>0.2</v>
          </cell>
          <cell r="G339">
            <v>0.7</v>
          </cell>
          <cell r="H339">
            <v>0.89999999999999991</v>
          </cell>
          <cell r="I339">
            <v>0.2</v>
          </cell>
          <cell r="J339">
            <v>0.7</v>
          </cell>
          <cell r="K339">
            <v>0.89999999999999991</v>
          </cell>
          <cell r="L339">
            <v>4</v>
          </cell>
          <cell r="P339">
            <v>4</v>
          </cell>
        </row>
        <row r="340">
          <cell r="B340">
            <v>160</v>
          </cell>
          <cell r="C340">
            <v>2</v>
          </cell>
          <cell r="D340">
            <v>8.74</v>
          </cell>
          <cell r="E340">
            <v>1</v>
          </cell>
          <cell r="F340">
            <v>0.2</v>
          </cell>
          <cell r="G340">
            <v>0.7</v>
          </cell>
          <cell r="H340">
            <v>0.89999999999999991</v>
          </cell>
          <cell r="I340">
            <v>0.2</v>
          </cell>
          <cell r="J340">
            <v>0.7</v>
          </cell>
          <cell r="K340">
            <v>0.89999999999999991</v>
          </cell>
          <cell r="L340">
            <v>4</v>
          </cell>
          <cell r="P340">
            <v>4</v>
          </cell>
        </row>
        <row r="341">
          <cell r="B341">
            <v>160</v>
          </cell>
          <cell r="C341">
            <v>2.5</v>
          </cell>
          <cell r="D341">
            <v>9.5299999999999994</v>
          </cell>
          <cell r="E341">
            <v>1</v>
          </cell>
          <cell r="F341">
            <v>0.25</v>
          </cell>
          <cell r="G341">
            <v>0.8</v>
          </cell>
          <cell r="H341">
            <v>1.05</v>
          </cell>
          <cell r="I341">
            <v>0.25</v>
          </cell>
          <cell r="J341">
            <v>0.8</v>
          </cell>
          <cell r="K341">
            <v>1.05</v>
          </cell>
          <cell r="L341">
            <v>4</v>
          </cell>
          <cell r="P341">
            <v>4</v>
          </cell>
        </row>
        <row r="342">
          <cell r="B342">
            <v>160</v>
          </cell>
          <cell r="C342">
            <v>3</v>
          </cell>
          <cell r="D342">
            <v>11.13</v>
          </cell>
          <cell r="E342">
            <v>1.25</v>
          </cell>
          <cell r="F342">
            <v>0.3</v>
          </cell>
          <cell r="G342">
            <v>1.5</v>
          </cell>
          <cell r="H342">
            <v>1.8</v>
          </cell>
          <cell r="I342">
            <v>0.3</v>
          </cell>
          <cell r="J342">
            <v>1.5</v>
          </cell>
          <cell r="K342">
            <v>1.8</v>
          </cell>
          <cell r="L342">
            <v>4</v>
          </cell>
          <cell r="P342">
            <v>4</v>
          </cell>
        </row>
        <row r="343">
          <cell r="B343">
            <v>160</v>
          </cell>
          <cell r="C343">
            <v>4</v>
          </cell>
          <cell r="D343">
            <v>13.49</v>
          </cell>
          <cell r="E343">
            <v>1.25</v>
          </cell>
          <cell r="F343">
            <v>0.41</v>
          </cell>
          <cell r="G343">
            <v>2.59</v>
          </cell>
          <cell r="H343">
            <v>3</v>
          </cell>
          <cell r="I343">
            <v>0.41</v>
          </cell>
          <cell r="J343">
            <v>2.59</v>
          </cell>
          <cell r="K343">
            <v>3</v>
          </cell>
          <cell r="L343">
            <v>4</v>
          </cell>
          <cell r="P343">
            <v>4</v>
          </cell>
        </row>
        <row r="344">
          <cell r="B344">
            <v>160</v>
          </cell>
          <cell r="C344">
            <v>5</v>
          </cell>
          <cell r="D344">
            <v>15.88</v>
          </cell>
          <cell r="E344">
            <v>1.5</v>
          </cell>
          <cell r="F344">
            <v>0</v>
          </cell>
          <cell r="G344">
            <v>4.29</v>
          </cell>
          <cell r="H344">
            <v>4.8</v>
          </cell>
          <cell r="I344">
            <v>0.51</v>
          </cell>
          <cell r="J344">
            <v>4.29</v>
          </cell>
          <cell r="K344">
            <v>4.8</v>
          </cell>
          <cell r="L344">
            <v>4</v>
          </cell>
          <cell r="O344">
            <v>160</v>
          </cell>
          <cell r="P344">
            <v>4</v>
          </cell>
          <cell r="Q344">
            <v>0</v>
          </cell>
          <cell r="R344">
            <v>7.2784507436844332E-312</v>
          </cell>
        </row>
        <row r="345">
          <cell r="B345">
            <v>160</v>
          </cell>
          <cell r="C345">
            <v>6</v>
          </cell>
          <cell r="D345">
            <v>18.260000000000002</v>
          </cell>
          <cell r="E345">
            <v>1.5</v>
          </cell>
          <cell r="F345">
            <v>0.61</v>
          </cell>
          <cell r="G345">
            <v>7.04</v>
          </cell>
          <cell r="H345">
            <v>7.65</v>
          </cell>
          <cell r="I345">
            <v>0.61</v>
          </cell>
          <cell r="J345">
            <v>7.04</v>
          </cell>
          <cell r="K345">
            <v>7.65</v>
          </cell>
          <cell r="L345">
            <v>4</v>
          </cell>
          <cell r="P345">
            <v>4</v>
          </cell>
        </row>
        <row r="346">
          <cell r="B346">
            <v>160</v>
          </cell>
          <cell r="C346">
            <v>8</v>
          </cell>
          <cell r="D346">
            <v>23.01</v>
          </cell>
          <cell r="E346">
            <v>2</v>
          </cell>
          <cell r="F346">
            <v>0.81</v>
          </cell>
          <cell r="G346">
            <v>11.19</v>
          </cell>
          <cell r="H346">
            <v>12</v>
          </cell>
          <cell r="I346">
            <v>0.81</v>
          </cell>
          <cell r="J346">
            <v>11.19</v>
          </cell>
          <cell r="K346">
            <v>12</v>
          </cell>
          <cell r="L346">
            <v>4</v>
          </cell>
          <cell r="P346">
            <v>4</v>
          </cell>
        </row>
        <row r="347">
          <cell r="B347">
            <v>160</v>
          </cell>
          <cell r="C347">
            <v>10</v>
          </cell>
          <cell r="D347">
            <v>28.58</v>
          </cell>
          <cell r="E347" t="str">
            <v>N</v>
          </cell>
          <cell r="F347">
            <v>1.01</v>
          </cell>
          <cell r="G347">
            <v>21.48</v>
          </cell>
          <cell r="H347">
            <v>22.490000000000002</v>
          </cell>
          <cell r="I347">
            <v>1.01</v>
          </cell>
          <cell r="J347">
            <v>21.48</v>
          </cell>
          <cell r="K347">
            <v>22.490000000000002</v>
          </cell>
          <cell r="L347">
            <v>4</v>
          </cell>
          <cell r="P347">
            <v>4</v>
          </cell>
        </row>
        <row r="348">
          <cell r="B348">
            <v>160</v>
          </cell>
          <cell r="C348">
            <v>12</v>
          </cell>
          <cell r="D348">
            <v>33.32</v>
          </cell>
          <cell r="E348" t="str">
            <v>N</v>
          </cell>
          <cell r="F348">
            <v>1.22</v>
          </cell>
          <cell r="G348">
            <v>31.78</v>
          </cell>
          <cell r="H348">
            <v>33</v>
          </cell>
          <cell r="I348">
            <v>1.22</v>
          </cell>
          <cell r="J348">
            <v>31.78</v>
          </cell>
          <cell r="K348">
            <v>33</v>
          </cell>
          <cell r="L348">
            <v>6</v>
          </cell>
          <cell r="P348">
            <v>6</v>
          </cell>
        </row>
        <row r="349">
          <cell r="B349">
            <v>160</v>
          </cell>
          <cell r="C349">
            <v>14</v>
          </cell>
          <cell r="D349">
            <v>35.71</v>
          </cell>
          <cell r="E349" t="str">
            <v>N</v>
          </cell>
          <cell r="F349">
            <v>1.42</v>
          </cell>
          <cell r="G349">
            <v>39.07</v>
          </cell>
          <cell r="H349">
            <v>40.49</v>
          </cell>
          <cell r="I349">
            <v>1.42</v>
          </cell>
          <cell r="J349">
            <v>39.07</v>
          </cell>
          <cell r="K349">
            <v>40.49</v>
          </cell>
          <cell r="L349">
            <v>6</v>
          </cell>
          <cell r="P349">
            <v>6</v>
          </cell>
        </row>
        <row r="350">
          <cell r="B350">
            <v>160</v>
          </cell>
          <cell r="C350">
            <v>16</v>
          </cell>
          <cell r="D350">
            <v>40.49</v>
          </cell>
          <cell r="E350" t="str">
            <v>N</v>
          </cell>
          <cell r="F350">
            <v>1.62</v>
          </cell>
          <cell r="G350">
            <v>53.88</v>
          </cell>
          <cell r="H350">
            <v>55.5</v>
          </cell>
          <cell r="I350">
            <v>1.62</v>
          </cell>
          <cell r="J350">
            <v>53.88</v>
          </cell>
          <cell r="K350">
            <v>55.5</v>
          </cell>
          <cell r="L350">
            <v>6</v>
          </cell>
          <cell r="P350">
            <v>6</v>
          </cell>
        </row>
        <row r="351">
          <cell r="B351">
            <v>160</v>
          </cell>
          <cell r="C351">
            <v>18</v>
          </cell>
          <cell r="D351">
            <v>45.24</v>
          </cell>
          <cell r="E351" t="str">
            <v>N</v>
          </cell>
          <cell r="F351">
            <v>1.82</v>
          </cell>
          <cell r="G351">
            <v>71.680000000000007</v>
          </cell>
          <cell r="H351">
            <v>73.5</v>
          </cell>
          <cell r="I351">
            <v>1.82</v>
          </cell>
          <cell r="J351">
            <v>71.680000000000007</v>
          </cell>
          <cell r="K351">
            <v>73.5</v>
          </cell>
          <cell r="L351">
            <v>6</v>
          </cell>
          <cell r="P351">
            <v>6</v>
          </cell>
        </row>
        <row r="352">
          <cell r="B352">
            <v>160</v>
          </cell>
          <cell r="C352">
            <v>20</v>
          </cell>
          <cell r="D352">
            <v>50.01</v>
          </cell>
          <cell r="E352" t="str">
            <v>N</v>
          </cell>
          <cell r="F352">
            <v>2.0299999999999998</v>
          </cell>
          <cell r="G352">
            <v>93.97</v>
          </cell>
          <cell r="H352">
            <v>96</v>
          </cell>
          <cell r="I352">
            <v>2.0299999999999998</v>
          </cell>
          <cell r="J352">
            <v>93.97</v>
          </cell>
          <cell r="K352">
            <v>96</v>
          </cell>
          <cell r="L352">
            <v>7</v>
          </cell>
          <cell r="P352">
            <v>7</v>
          </cell>
        </row>
        <row r="353">
          <cell r="B353">
            <v>160</v>
          </cell>
          <cell r="C353">
            <v>22</v>
          </cell>
          <cell r="D353">
            <v>53.98</v>
          </cell>
          <cell r="E353" t="str">
            <v>N</v>
          </cell>
          <cell r="F353">
            <v>2.23</v>
          </cell>
          <cell r="G353">
            <v>132.77000000000001</v>
          </cell>
          <cell r="H353">
            <v>135</v>
          </cell>
          <cell r="I353">
            <v>2.23</v>
          </cell>
          <cell r="J353">
            <v>132.77000000000001</v>
          </cell>
          <cell r="K353">
            <v>135</v>
          </cell>
          <cell r="L353">
            <v>8</v>
          </cell>
          <cell r="P353">
            <v>8</v>
          </cell>
        </row>
        <row r="354">
          <cell r="B354">
            <v>160</v>
          </cell>
          <cell r="C354">
            <v>24</v>
          </cell>
          <cell r="D354">
            <v>59.54</v>
          </cell>
          <cell r="E354" t="str">
            <v>N</v>
          </cell>
          <cell r="F354">
            <v>2.4300000000000002</v>
          </cell>
          <cell r="G354">
            <v>162.56</v>
          </cell>
          <cell r="H354">
            <v>164.99</v>
          </cell>
          <cell r="I354">
            <v>2.4300000000000002</v>
          </cell>
          <cell r="J354">
            <v>162.56</v>
          </cell>
          <cell r="K354">
            <v>164.99</v>
          </cell>
          <cell r="L354">
            <v>8</v>
          </cell>
          <cell r="P354">
            <v>8</v>
          </cell>
        </row>
        <row r="355">
          <cell r="B355" t="str">
            <v>STD</v>
          </cell>
          <cell r="C355">
            <v>0.125</v>
          </cell>
          <cell r="D355">
            <v>1.73</v>
          </cell>
          <cell r="E355">
            <v>1</v>
          </cell>
          <cell r="F355">
            <v>7.0000000000000007E-2</v>
          </cell>
          <cell r="G355">
            <v>7.0000000000000007E-2</v>
          </cell>
          <cell r="H355">
            <v>2</v>
          </cell>
          <cell r="I355">
            <v>7.0000000000000007E-2</v>
          </cell>
          <cell r="J355">
            <v>7.0000000000000007E-2</v>
          </cell>
          <cell r="K355">
            <v>7.0000000000000007E-2</v>
          </cell>
          <cell r="P355">
            <v>2</v>
          </cell>
        </row>
        <row r="356">
          <cell r="B356" t="str">
            <v>STD</v>
          </cell>
          <cell r="C356">
            <v>0.125</v>
          </cell>
          <cell r="D356">
            <v>1.73</v>
          </cell>
          <cell r="E356">
            <v>1</v>
          </cell>
          <cell r="F356">
            <v>7.0000000000000007E-2</v>
          </cell>
          <cell r="G356">
            <v>7.0000000000000007E-2</v>
          </cell>
          <cell r="H356">
            <v>2</v>
          </cell>
          <cell r="I356">
            <v>7.0000000000000007E-2</v>
          </cell>
          <cell r="J356">
            <v>7.0000000000000007E-2</v>
          </cell>
          <cell r="K356">
            <v>7.0000000000000007E-2</v>
          </cell>
          <cell r="P356">
            <v>2</v>
          </cell>
        </row>
        <row r="357">
          <cell r="B357" t="str">
            <v>STD</v>
          </cell>
          <cell r="C357">
            <v>0.125</v>
          </cell>
          <cell r="D357">
            <v>1.73</v>
          </cell>
          <cell r="E357">
            <v>1</v>
          </cell>
          <cell r="F357">
            <v>7.0000000000000007E-2</v>
          </cell>
          <cell r="G357">
            <v>7.0000000000000007E-2</v>
          </cell>
          <cell r="H357">
            <v>2</v>
          </cell>
          <cell r="I357">
            <v>7.0000000000000007E-2</v>
          </cell>
          <cell r="J357">
            <v>7.0000000000000007E-2</v>
          </cell>
          <cell r="K357">
            <v>7.0000000000000007E-2</v>
          </cell>
          <cell r="P357">
            <v>2</v>
          </cell>
        </row>
        <row r="358">
          <cell r="B358" t="str">
            <v>STD</v>
          </cell>
          <cell r="C358">
            <v>0.25</v>
          </cell>
          <cell r="D358">
            <v>2.2400000000000002</v>
          </cell>
          <cell r="E358">
            <v>1</v>
          </cell>
          <cell r="F358">
            <v>7.0000000000000007E-2</v>
          </cell>
          <cell r="G358">
            <v>7.0000000000000007E-2</v>
          </cell>
          <cell r="H358">
            <v>2</v>
          </cell>
          <cell r="I358">
            <v>7.0000000000000007E-2</v>
          </cell>
          <cell r="J358">
            <v>7.0000000000000007E-2</v>
          </cell>
          <cell r="K358">
            <v>7.0000000000000007E-2</v>
          </cell>
          <cell r="P358">
            <v>2</v>
          </cell>
        </row>
        <row r="359">
          <cell r="B359" t="str">
            <v>STD</v>
          </cell>
          <cell r="C359">
            <v>0.25</v>
          </cell>
          <cell r="D359">
            <v>2.2400000000000002</v>
          </cell>
          <cell r="E359">
            <v>1</v>
          </cell>
          <cell r="F359">
            <v>7.0000000000000007E-2</v>
          </cell>
          <cell r="G359">
            <v>7.0000000000000007E-2</v>
          </cell>
          <cell r="H359">
            <v>2</v>
          </cell>
          <cell r="I359">
            <v>7.0000000000000007E-2</v>
          </cell>
          <cell r="J359">
            <v>7.0000000000000007E-2</v>
          </cell>
          <cell r="K359">
            <v>7.0000000000000007E-2</v>
          </cell>
          <cell r="P359">
            <v>2</v>
          </cell>
        </row>
        <row r="360">
          <cell r="B360" t="str">
            <v>STD</v>
          </cell>
          <cell r="C360">
            <v>0.25</v>
          </cell>
          <cell r="D360">
            <v>2.2400000000000002</v>
          </cell>
          <cell r="E360">
            <v>1</v>
          </cell>
          <cell r="F360">
            <v>7.0000000000000007E-2</v>
          </cell>
          <cell r="G360">
            <v>7.0000000000000007E-2</v>
          </cell>
          <cell r="H360">
            <v>2</v>
          </cell>
          <cell r="I360">
            <v>7.0000000000000007E-2</v>
          </cell>
          <cell r="J360">
            <v>7.0000000000000007E-2</v>
          </cell>
          <cell r="K360">
            <v>7.0000000000000007E-2</v>
          </cell>
          <cell r="P360">
            <v>2</v>
          </cell>
        </row>
        <row r="361">
          <cell r="B361" t="str">
            <v>STD</v>
          </cell>
          <cell r="C361">
            <v>0.375</v>
          </cell>
          <cell r="D361">
            <v>2.31</v>
          </cell>
          <cell r="E361">
            <v>1</v>
          </cell>
          <cell r="F361">
            <v>7.0000000000000007E-2</v>
          </cell>
          <cell r="G361">
            <v>0</v>
          </cell>
          <cell r="H361">
            <v>7.0000000000000007E-2</v>
          </cell>
          <cell r="I361">
            <v>7.0000000000000007E-2</v>
          </cell>
          <cell r="J361">
            <v>0</v>
          </cell>
          <cell r="K361">
            <v>7.0000000000000007E-2</v>
          </cell>
          <cell r="L361">
            <v>2</v>
          </cell>
          <cell r="P361">
            <v>2</v>
          </cell>
        </row>
        <row r="362">
          <cell r="B362" t="str">
            <v>STD</v>
          </cell>
          <cell r="C362">
            <v>0.375</v>
          </cell>
          <cell r="D362">
            <v>2.31</v>
          </cell>
          <cell r="E362">
            <v>1</v>
          </cell>
          <cell r="F362">
            <v>7.0000000000000007E-2</v>
          </cell>
          <cell r="G362">
            <v>0</v>
          </cell>
          <cell r="H362">
            <v>7.0000000000000007E-2</v>
          </cell>
          <cell r="I362">
            <v>7.0000000000000007E-2</v>
          </cell>
          <cell r="J362">
            <v>0</v>
          </cell>
          <cell r="K362">
            <v>7.0000000000000007E-2</v>
          </cell>
          <cell r="L362">
            <v>2</v>
          </cell>
          <cell r="P362">
            <v>2</v>
          </cell>
        </row>
        <row r="363">
          <cell r="B363" t="str">
            <v>STD</v>
          </cell>
          <cell r="C363">
            <v>0.375</v>
          </cell>
          <cell r="D363">
            <v>2.31</v>
          </cell>
          <cell r="E363">
            <v>1</v>
          </cell>
          <cell r="F363">
            <v>7.0000000000000007E-2</v>
          </cell>
          <cell r="G363">
            <v>0</v>
          </cell>
          <cell r="H363">
            <v>7.0000000000000007E-2</v>
          </cell>
          <cell r="I363">
            <v>7.0000000000000007E-2</v>
          </cell>
          <cell r="J363">
            <v>0</v>
          </cell>
          <cell r="K363">
            <v>7.0000000000000007E-2</v>
          </cell>
          <cell r="L363">
            <v>2</v>
          </cell>
          <cell r="P363">
            <v>2</v>
          </cell>
        </row>
        <row r="364">
          <cell r="B364" t="str">
            <v>STD</v>
          </cell>
          <cell r="C364">
            <v>0.5</v>
          </cell>
          <cell r="D364">
            <v>2.77</v>
          </cell>
          <cell r="E364">
            <v>1</v>
          </cell>
          <cell r="F364">
            <v>7.0000000000000007E-2</v>
          </cell>
          <cell r="G364">
            <v>0</v>
          </cell>
          <cell r="H364">
            <v>7.0000000000000007E-2</v>
          </cell>
          <cell r="I364">
            <v>7.0000000000000007E-2</v>
          </cell>
          <cell r="J364">
            <v>0</v>
          </cell>
          <cell r="K364">
            <v>7.0000000000000007E-2</v>
          </cell>
          <cell r="L364">
            <v>2</v>
          </cell>
          <cell r="P364">
            <v>2</v>
          </cell>
        </row>
        <row r="365">
          <cell r="B365" t="str">
            <v>STD</v>
          </cell>
          <cell r="C365">
            <v>0.5</v>
          </cell>
          <cell r="D365">
            <v>2.77</v>
          </cell>
          <cell r="E365">
            <v>1</v>
          </cell>
          <cell r="F365">
            <v>7.0000000000000007E-2</v>
          </cell>
          <cell r="G365">
            <v>0</v>
          </cell>
          <cell r="H365">
            <v>7.0000000000000007E-2</v>
          </cell>
          <cell r="I365">
            <v>7.0000000000000007E-2</v>
          </cell>
          <cell r="J365">
            <v>0</v>
          </cell>
          <cell r="K365">
            <v>7.0000000000000007E-2</v>
          </cell>
          <cell r="L365">
            <v>2</v>
          </cell>
          <cell r="P365">
            <v>2</v>
          </cell>
        </row>
        <row r="366">
          <cell r="B366" t="str">
            <v>STD</v>
          </cell>
          <cell r="C366">
            <v>0.5</v>
          </cell>
          <cell r="D366">
            <v>2.77</v>
          </cell>
          <cell r="E366">
            <v>1</v>
          </cell>
          <cell r="F366">
            <v>7.0000000000000007E-2</v>
          </cell>
          <cell r="G366">
            <v>0</v>
          </cell>
          <cell r="H366">
            <v>7.0000000000000007E-2</v>
          </cell>
          <cell r="I366">
            <v>7.0000000000000007E-2</v>
          </cell>
          <cell r="J366">
            <v>0</v>
          </cell>
          <cell r="K366">
            <v>7.0000000000000007E-2</v>
          </cell>
          <cell r="L366">
            <v>2</v>
          </cell>
          <cell r="P366">
            <v>2</v>
          </cell>
        </row>
        <row r="367">
          <cell r="B367" t="str">
            <v>STD</v>
          </cell>
          <cell r="C367">
            <v>0.75</v>
          </cell>
          <cell r="D367">
            <v>2.87</v>
          </cell>
          <cell r="E367">
            <v>1</v>
          </cell>
          <cell r="F367">
            <v>7.0000000000000007E-2</v>
          </cell>
          <cell r="G367">
            <v>0</v>
          </cell>
          <cell r="H367">
            <v>7.0000000000000007E-2</v>
          </cell>
          <cell r="I367">
            <v>7.0000000000000007E-2</v>
          </cell>
          <cell r="J367">
            <v>0</v>
          </cell>
          <cell r="K367">
            <v>7.0000000000000007E-2</v>
          </cell>
          <cell r="L367">
            <v>2</v>
          </cell>
          <cell r="P367">
            <v>2</v>
          </cell>
        </row>
        <row r="368">
          <cell r="B368" t="str">
            <v>STD</v>
          </cell>
          <cell r="C368">
            <v>0.75</v>
          </cell>
          <cell r="D368">
            <v>2.87</v>
          </cell>
          <cell r="E368">
            <v>1</v>
          </cell>
          <cell r="F368">
            <v>7.0000000000000007E-2</v>
          </cell>
          <cell r="G368">
            <v>0</v>
          </cell>
          <cell r="H368">
            <v>7.0000000000000007E-2</v>
          </cell>
          <cell r="I368">
            <v>7.0000000000000007E-2</v>
          </cell>
          <cell r="J368">
            <v>0</v>
          </cell>
          <cell r="K368">
            <v>7.0000000000000007E-2</v>
          </cell>
          <cell r="L368">
            <v>2</v>
          </cell>
          <cell r="P368">
            <v>2</v>
          </cell>
        </row>
        <row r="369">
          <cell r="B369" t="str">
            <v>STD</v>
          </cell>
          <cell r="C369">
            <v>0.75</v>
          </cell>
          <cell r="D369">
            <v>2.87</v>
          </cell>
          <cell r="E369">
            <v>1</v>
          </cell>
          <cell r="F369">
            <v>7.0000000000000007E-2</v>
          </cell>
          <cell r="G369">
            <v>0</v>
          </cell>
          <cell r="H369">
            <v>7.0000000000000007E-2</v>
          </cell>
          <cell r="I369">
            <v>7.0000000000000007E-2</v>
          </cell>
          <cell r="J369">
            <v>0</v>
          </cell>
          <cell r="K369">
            <v>7.0000000000000007E-2</v>
          </cell>
          <cell r="L369">
            <v>2</v>
          </cell>
          <cell r="P369">
            <v>2</v>
          </cell>
        </row>
        <row r="370">
          <cell r="B370" t="str">
            <v>STD</v>
          </cell>
          <cell r="C370">
            <v>1</v>
          </cell>
          <cell r="D370">
            <v>3.38</v>
          </cell>
          <cell r="E370">
            <v>1</v>
          </cell>
          <cell r="F370">
            <v>0.12</v>
          </cell>
          <cell r="G370">
            <v>0</v>
          </cell>
          <cell r="H370">
            <v>0.12</v>
          </cell>
          <cell r="I370">
            <v>0.12</v>
          </cell>
          <cell r="J370">
            <v>0</v>
          </cell>
          <cell r="K370">
            <v>0.12</v>
          </cell>
          <cell r="L370">
            <v>2</v>
          </cell>
          <cell r="P370">
            <v>2</v>
          </cell>
        </row>
        <row r="371">
          <cell r="B371" t="str">
            <v>STD</v>
          </cell>
          <cell r="C371">
            <v>1</v>
          </cell>
          <cell r="D371">
            <v>3.38</v>
          </cell>
          <cell r="E371">
            <v>1</v>
          </cell>
          <cell r="F371">
            <v>0.12</v>
          </cell>
          <cell r="G371">
            <v>0</v>
          </cell>
          <cell r="H371">
            <v>0.12</v>
          </cell>
          <cell r="I371">
            <v>0.12</v>
          </cell>
          <cell r="J371">
            <v>0</v>
          </cell>
          <cell r="K371">
            <v>0.12</v>
          </cell>
          <cell r="L371">
            <v>2</v>
          </cell>
          <cell r="P371">
            <v>2</v>
          </cell>
        </row>
        <row r="372">
          <cell r="B372" t="str">
            <v>STD</v>
          </cell>
          <cell r="C372">
            <v>1</v>
          </cell>
          <cell r="D372">
            <v>3.38</v>
          </cell>
          <cell r="E372">
            <v>1</v>
          </cell>
          <cell r="F372">
            <v>0.12</v>
          </cell>
          <cell r="G372">
            <v>0</v>
          </cell>
          <cell r="H372">
            <v>0.12</v>
          </cell>
          <cell r="I372">
            <v>0.12</v>
          </cell>
          <cell r="J372">
            <v>0</v>
          </cell>
          <cell r="K372">
            <v>0.12</v>
          </cell>
          <cell r="L372">
            <v>2</v>
          </cell>
          <cell r="P372">
            <v>2</v>
          </cell>
        </row>
        <row r="373">
          <cell r="B373" t="str">
            <v>STD</v>
          </cell>
          <cell r="C373">
            <v>1.25</v>
          </cell>
          <cell r="D373">
            <v>3.56</v>
          </cell>
          <cell r="E373">
            <v>1</v>
          </cell>
          <cell r="F373">
            <v>0.15</v>
          </cell>
          <cell r="G373">
            <v>0.15</v>
          </cell>
          <cell r="H373">
            <v>2</v>
          </cell>
          <cell r="I373">
            <v>0.15</v>
          </cell>
          <cell r="J373">
            <v>0.15</v>
          </cell>
          <cell r="K373">
            <v>0.15</v>
          </cell>
          <cell r="P373">
            <v>2</v>
          </cell>
        </row>
        <row r="374">
          <cell r="B374" t="str">
            <v>STD</v>
          </cell>
          <cell r="C374">
            <v>1.25</v>
          </cell>
          <cell r="D374">
            <v>3.56</v>
          </cell>
          <cell r="E374">
            <v>1</v>
          </cell>
          <cell r="F374">
            <v>0.15</v>
          </cell>
          <cell r="G374">
            <v>0.15</v>
          </cell>
          <cell r="H374">
            <v>2</v>
          </cell>
          <cell r="I374">
            <v>0.15</v>
          </cell>
          <cell r="J374">
            <v>0.15</v>
          </cell>
          <cell r="K374">
            <v>0.15</v>
          </cell>
          <cell r="P374">
            <v>2</v>
          </cell>
        </row>
        <row r="375">
          <cell r="B375" t="str">
            <v>STD</v>
          </cell>
          <cell r="C375">
            <v>1.25</v>
          </cell>
          <cell r="D375">
            <v>3.56</v>
          </cell>
          <cell r="E375">
            <v>1</v>
          </cell>
          <cell r="F375">
            <v>0.15</v>
          </cell>
          <cell r="G375">
            <v>0.15</v>
          </cell>
          <cell r="H375">
            <v>2</v>
          </cell>
          <cell r="I375">
            <v>0.15</v>
          </cell>
          <cell r="J375">
            <v>0</v>
          </cell>
          <cell r="K375">
            <v>0.15</v>
          </cell>
          <cell r="P375">
            <v>2</v>
          </cell>
        </row>
        <row r="376">
          <cell r="B376" t="str">
            <v>STD</v>
          </cell>
          <cell r="C376">
            <v>1.5</v>
          </cell>
          <cell r="D376">
            <v>3.68</v>
          </cell>
          <cell r="E376">
            <v>1</v>
          </cell>
          <cell r="F376">
            <v>0.15</v>
          </cell>
          <cell r="G376">
            <v>0</v>
          </cell>
          <cell r="H376">
            <v>0.15</v>
          </cell>
          <cell r="I376">
            <v>0.15</v>
          </cell>
          <cell r="J376">
            <v>0</v>
          </cell>
          <cell r="K376">
            <v>0.15</v>
          </cell>
          <cell r="L376">
            <v>2</v>
          </cell>
          <cell r="P376">
            <v>2</v>
          </cell>
        </row>
        <row r="377">
          <cell r="B377" t="str">
            <v>STD</v>
          </cell>
          <cell r="C377">
            <v>1.5</v>
          </cell>
          <cell r="D377">
            <v>3.68</v>
          </cell>
          <cell r="E377">
            <v>1</v>
          </cell>
          <cell r="F377">
            <v>0.15</v>
          </cell>
          <cell r="G377">
            <v>0</v>
          </cell>
          <cell r="H377">
            <v>0.15</v>
          </cell>
          <cell r="I377">
            <v>0.15</v>
          </cell>
          <cell r="J377">
            <v>0</v>
          </cell>
          <cell r="K377">
            <v>0.15</v>
          </cell>
          <cell r="L377">
            <v>2</v>
          </cell>
          <cell r="P377">
            <v>2</v>
          </cell>
        </row>
        <row r="378">
          <cell r="B378" t="str">
            <v>STD</v>
          </cell>
          <cell r="C378">
            <v>1.5</v>
          </cell>
          <cell r="D378">
            <v>3.68</v>
          </cell>
          <cell r="E378">
            <v>1</v>
          </cell>
          <cell r="F378">
            <v>0.15</v>
          </cell>
          <cell r="G378">
            <v>0</v>
          </cell>
          <cell r="H378">
            <v>0.15</v>
          </cell>
          <cell r="I378">
            <v>0.15</v>
          </cell>
          <cell r="J378">
            <v>0</v>
          </cell>
          <cell r="K378">
            <v>0.15</v>
          </cell>
          <cell r="L378">
            <v>2</v>
          </cell>
          <cell r="P378">
            <v>2</v>
          </cell>
        </row>
        <row r="379">
          <cell r="B379" t="str">
            <v>STD</v>
          </cell>
          <cell r="C379">
            <v>2</v>
          </cell>
          <cell r="D379">
            <v>3.91</v>
          </cell>
          <cell r="E379">
            <v>1</v>
          </cell>
          <cell r="F379">
            <v>0.3</v>
          </cell>
          <cell r="G379">
            <v>0</v>
          </cell>
          <cell r="H379">
            <v>0.3</v>
          </cell>
          <cell r="I379">
            <v>0.3</v>
          </cell>
          <cell r="J379">
            <v>0</v>
          </cell>
          <cell r="K379">
            <v>0.3</v>
          </cell>
          <cell r="L379">
            <v>2</v>
          </cell>
          <cell r="P379">
            <v>2</v>
          </cell>
        </row>
        <row r="380">
          <cell r="B380" t="str">
            <v>STD</v>
          </cell>
          <cell r="C380">
            <v>2</v>
          </cell>
          <cell r="D380">
            <v>3.91</v>
          </cell>
          <cell r="E380">
            <v>1</v>
          </cell>
          <cell r="F380">
            <v>0.3</v>
          </cell>
          <cell r="G380">
            <v>0</v>
          </cell>
          <cell r="H380">
            <v>0.3</v>
          </cell>
          <cell r="I380">
            <v>0.3</v>
          </cell>
          <cell r="J380">
            <v>0</v>
          </cell>
          <cell r="K380">
            <v>0.3</v>
          </cell>
          <cell r="L380">
            <v>2</v>
          </cell>
          <cell r="P380">
            <v>2</v>
          </cell>
        </row>
        <row r="381">
          <cell r="B381" t="str">
            <v>STD</v>
          </cell>
          <cell r="C381">
            <v>2</v>
          </cell>
          <cell r="D381">
            <v>3.91</v>
          </cell>
          <cell r="E381">
            <v>1</v>
          </cell>
          <cell r="F381">
            <v>0.3</v>
          </cell>
          <cell r="G381">
            <v>0</v>
          </cell>
          <cell r="H381">
            <v>0.3</v>
          </cell>
          <cell r="I381">
            <v>0.3</v>
          </cell>
          <cell r="J381">
            <v>0</v>
          </cell>
          <cell r="K381">
            <v>0.3</v>
          </cell>
          <cell r="L381">
            <v>2</v>
          </cell>
          <cell r="P381">
            <v>2</v>
          </cell>
        </row>
        <row r="382">
          <cell r="B382" t="str">
            <v>STD</v>
          </cell>
          <cell r="C382">
            <v>2.5</v>
          </cell>
          <cell r="D382">
            <v>5.16</v>
          </cell>
          <cell r="E382">
            <v>1</v>
          </cell>
          <cell r="F382">
            <v>0.25</v>
          </cell>
          <cell r="G382">
            <v>0.2</v>
          </cell>
          <cell r="H382">
            <v>0.45</v>
          </cell>
          <cell r="I382">
            <v>0.25</v>
          </cell>
          <cell r="J382">
            <v>0.2</v>
          </cell>
          <cell r="K382">
            <v>0.45</v>
          </cell>
          <cell r="L382">
            <v>2</v>
          </cell>
          <cell r="P382">
            <v>2</v>
          </cell>
        </row>
        <row r="383">
          <cell r="B383" t="str">
            <v>STD</v>
          </cell>
          <cell r="C383">
            <v>3</v>
          </cell>
          <cell r="D383">
            <v>5.49</v>
          </cell>
          <cell r="E383">
            <v>1</v>
          </cell>
          <cell r="F383">
            <v>0.3</v>
          </cell>
          <cell r="G383">
            <v>0.3</v>
          </cell>
          <cell r="H383">
            <v>0.6</v>
          </cell>
          <cell r="I383">
            <v>0.3</v>
          </cell>
          <cell r="J383">
            <v>0.3</v>
          </cell>
          <cell r="K383">
            <v>0.6</v>
          </cell>
          <cell r="L383">
            <v>2</v>
          </cell>
          <cell r="P383">
            <v>2</v>
          </cell>
        </row>
        <row r="384">
          <cell r="B384" t="str">
            <v>STD</v>
          </cell>
          <cell r="C384">
            <v>3.5</v>
          </cell>
          <cell r="D384">
            <v>5.74</v>
          </cell>
          <cell r="E384">
            <v>1</v>
          </cell>
          <cell r="F384">
            <v>0.35</v>
          </cell>
          <cell r="G384">
            <v>0.4</v>
          </cell>
          <cell r="H384">
            <v>0.75</v>
          </cell>
          <cell r="I384">
            <v>0.35</v>
          </cell>
          <cell r="J384">
            <v>0.4</v>
          </cell>
          <cell r="K384">
            <v>0.75</v>
          </cell>
          <cell r="L384">
            <v>3</v>
          </cell>
          <cell r="P384">
            <v>3</v>
          </cell>
        </row>
        <row r="385">
          <cell r="B385" t="str">
            <v>STD</v>
          </cell>
          <cell r="C385">
            <v>4</v>
          </cell>
          <cell r="D385">
            <v>6.02</v>
          </cell>
          <cell r="E385">
            <v>1</v>
          </cell>
          <cell r="F385">
            <v>0.41</v>
          </cell>
          <cell r="G385">
            <v>0.49</v>
          </cell>
          <cell r="H385">
            <v>0.89999999999999991</v>
          </cell>
          <cell r="I385">
            <v>0.41</v>
          </cell>
          <cell r="J385">
            <v>0.49</v>
          </cell>
          <cell r="K385">
            <v>0.89999999999999991</v>
          </cell>
          <cell r="L385">
            <v>3</v>
          </cell>
          <cell r="P385">
            <v>3</v>
          </cell>
        </row>
        <row r="386">
          <cell r="B386" t="str">
            <v>STD</v>
          </cell>
          <cell r="C386">
            <v>5</v>
          </cell>
          <cell r="D386">
            <v>6.55</v>
          </cell>
          <cell r="E386">
            <v>1</v>
          </cell>
          <cell r="F386">
            <v>0.51</v>
          </cell>
          <cell r="G386">
            <v>0.54</v>
          </cell>
          <cell r="H386">
            <v>1.05</v>
          </cell>
          <cell r="I386">
            <v>0.51</v>
          </cell>
          <cell r="J386">
            <v>0.54</v>
          </cell>
          <cell r="K386">
            <v>1.05</v>
          </cell>
          <cell r="L386">
            <v>4</v>
          </cell>
          <cell r="P386">
            <v>4</v>
          </cell>
        </row>
        <row r="387">
          <cell r="B387" t="str">
            <v>STD</v>
          </cell>
          <cell r="C387">
            <v>6</v>
          </cell>
          <cell r="D387">
            <v>7.11</v>
          </cell>
          <cell r="E387">
            <v>1</v>
          </cell>
          <cell r="F387">
            <v>0.61</v>
          </cell>
          <cell r="G387">
            <v>1.04</v>
          </cell>
          <cell r="H387">
            <v>1.65</v>
          </cell>
          <cell r="I387">
            <v>0.61</v>
          </cell>
          <cell r="J387">
            <v>1.04</v>
          </cell>
          <cell r="K387">
            <v>1.65</v>
          </cell>
          <cell r="L387">
            <v>4</v>
          </cell>
          <cell r="P387">
            <v>4</v>
          </cell>
        </row>
        <row r="388">
          <cell r="B388" t="str">
            <v>STD</v>
          </cell>
          <cell r="C388">
            <v>8</v>
          </cell>
          <cell r="D388">
            <v>8.18</v>
          </cell>
          <cell r="E388">
            <v>1</v>
          </cell>
          <cell r="F388">
            <v>0.81</v>
          </cell>
          <cell r="G388">
            <v>1.73</v>
          </cell>
          <cell r="H388">
            <v>2.54</v>
          </cell>
          <cell r="I388">
            <v>0.81</v>
          </cell>
          <cell r="J388">
            <v>1.73</v>
          </cell>
          <cell r="K388">
            <v>2.54</v>
          </cell>
          <cell r="L388">
            <v>4</v>
          </cell>
          <cell r="P388">
            <v>4</v>
          </cell>
        </row>
        <row r="389">
          <cell r="B389" t="str">
            <v>STD</v>
          </cell>
          <cell r="C389">
            <v>10</v>
          </cell>
          <cell r="D389">
            <v>9.27</v>
          </cell>
          <cell r="E389">
            <v>1</v>
          </cell>
          <cell r="F389">
            <v>1.01</v>
          </cell>
          <cell r="G389">
            <v>3.04</v>
          </cell>
          <cell r="H389">
            <v>4.05</v>
          </cell>
          <cell r="I389">
            <v>1.01</v>
          </cell>
          <cell r="J389">
            <v>3.04</v>
          </cell>
          <cell r="K389">
            <v>4.05</v>
          </cell>
          <cell r="L389">
            <v>4</v>
          </cell>
          <cell r="P389">
            <v>4</v>
          </cell>
        </row>
        <row r="390">
          <cell r="B390" t="str">
            <v>STD</v>
          </cell>
          <cell r="C390">
            <v>12</v>
          </cell>
          <cell r="D390">
            <v>9.5299999999999994</v>
          </cell>
          <cell r="E390">
            <v>1</v>
          </cell>
          <cell r="F390">
            <v>1.22</v>
          </cell>
          <cell r="G390">
            <v>3.28</v>
          </cell>
          <cell r="H390">
            <v>4.5</v>
          </cell>
          <cell r="I390">
            <v>1.22</v>
          </cell>
          <cell r="J390">
            <v>3.28</v>
          </cell>
          <cell r="K390">
            <v>4.5</v>
          </cell>
          <cell r="L390">
            <v>6</v>
          </cell>
          <cell r="P390">
            <v>6</v>
          </cell>
        </row>
        <row r="391">
          <cell r="B391" t="str">
            <v>STD</v>
          </cell>
          <cell r="C391">
            <v>14</v>
          </cell>
          <cell r="D391">
            <v>9.5299999999999994</v>
          </cell>
          <cell r="E391">
            <v>1</v>
          </cell>
          <cell r="F391">
            <v>1.42</v>
          </cell>
          <cell r="G391">
            <v>3.97</v>
          </cell>
          <cell r="H391">
            <v>5.3900000000000006</v>
          </cell>
          <cell r="I391">
            <v>1.42</v>
          </cell>
          <cell r="J391">
            <v>3.97</v>
          </cell>
          <cell r="K391">
            <v>5.3900000000000006</v>
          </cell>
          <cell r="L391">
            <v>6</v>
          </cell>
          <cell r="P391">
            <v>6</v>
          </cell>
        </row>
        <row r="392">
          <cell r="B392" t="str">
            <v>STD</v>
          </cell>
          <cell r="C392">
            <v>16</v>
          </cell>
          <cell r="D392">
            <v>9.5299999999999994</v>
          </cell>
          <cell r="E392">
            <v>1</v>
          </cell>
          <cell r="F392">
            <v>1.62</v>
          </cell>
          <cell r="G392">
            <v>4.68</v>
          </cell>
          <cell r="H392">
            <v>6.3</v>
          </cell>
          <cell r="I392">
            <v>1.62</v>
          </cell>
          <cell r="J392">
            <v>4.68</v>
          </cell>
          <cell r="K392">
            <v>6.3</v>
          </cell>
          <cell r="L392">
            <v>6</v>
          </cell>
          <cell r="P392">
            <v>6</v>
          </cell>
        </row>
        <row r="393">
          <cell r="B393" t="str">
            <v>STD</v>
          </cell>
          <cell r="C393">
            <v>18</v>
          </cell>
          <cell r="D393">
            <v>9.5299999999999994</v>
          </cell>
          <cell r="E393">
            <v>1</v>
          </cell>
          <cell r="F393">
            <v>1.82</v>
          </cell>
          <cell r="G393">
            <v>5.38</v>
          </cell>
          <cell r="H393">
            <v>7.2</v>
          </cell>
          <cell r="I393">
            <v>1.82</v>
          </cell>
          <cell r="J393">
            <v>5.38</v>
          </cell>
          <cell r="K393">
            <v>7.2</v>
          </cell>
          <cell r="L393">
            <v>6</v>
          </cell>
          <cell r="P393">
            <v>6</v>
          </cell>
        </row>
        <row r="394">
          <cell r="B394" t="str">
            <v>STD</v>
          </cell>
          <cell r="C394">
            <v>20</v>
          </cell>
          <cell r="D394">
            <v>9.5299999999999994</v>
          </cell>
          <cell r="E394">
            <v>1</v>
          </cell>
          <cell r="F394">
            <v>2.0299999999999998</v>
          </cell>
          <cell r="G394">
            <v>5.47</v>
          </cell>
          <cell r="H394">
            <v>7.5</v>
          </cell>
          <cell r="I394">
            <v>2.0299999999999998</v>
          </cell>
          <cell r="J394">
            <v>5.47</v>
          </cell>
          <cell r="K394">
            <v>7.5</v>
          </cell>
          <cell r="L394">
            <v>7</v>
          </cell>
          <cell r="P394">
            <v>7</v>
          </cell>
        </row>
        <row r="395">
          <cell r="B395" t="str">
            <v>STD</v>
          </cell>
          <cell r="C395">
            <v>22</v>
          </cell>
          <cell r="D395">
            <v>9.5299999999999994</v>
          </cell>
          <cell r="E395">
            <v>1</v>
          </cell>
          <cell r="F395">
            <v>2.23</v>
          </cell>
          <cell r="G395">
            <v>6.47</v>
          </cell>
          <cell r="H395">
            <v>8.6999999999999993</v>
          </cell>
          <cell r="I395">
            <v>2.23</v>
          </cell>
          <cell r="J395">
            <v>6.47</v>
          </cell>
          <cell r="K395">
            <v>8.6999999999999993</v>
          </cell>
          <cell r="L395">
            <v>8</v>
          </cell>
          <cell r="P395">
            <v>8</v>
          </cell>
        </row>
        <row r="396">
          <cell r="B396" t="str">
            <v>STD</v>
          </cell>
          <cell r="C396">
            <v>24</v>
          </cell>
          <cell r="D396">
            <v>9.5299999999999994</v>
          </cell>
          <cell r="E396">
            <v>1</v>
          </cell>
          <cell r="F396">
            <v>2.4300000000000002</v>
          </cell>
          <cell r="G396">
            <v>6.57</v>
          </cell>
          <cell r="H396">
            <v>9</v>
          </cell>
          <cell r="I396">
            <v>2.4300000000000002</v>
          </cell>
          <cell r="J396">
            <v>6.57</v>
          </cell>
          <cell r="K396">
            <v>9</v>
          </cell>
          <cell r="L396">
            <v>8</v>
          </cell>
          <cell r="P396">
            <v>8</v>
          </cell>
        </row>
        <row r="397">
          <cell r="B397" t="str">
            <v>STD</v>
          </cell>
          <cell r="C397">
            <v>26</v>
          </cell>
          <cell r="D397">
            <v>9.5299999999999994</v>
          </cell>
          <cell r="E397">
            <v>1</v>
          </cell>
          <cell r="F397">
            <v>2.64</v>
          </cell>
          <cell r="G397">
            <v>7.7</v>
          </cell>
          <cell r="H397">
            <v>10.34</v>
          </cell>
          <cell r="I397">
            <v>2.64</v>
          </cell>
          <cell r="J397">
            <v>7.7</v>
          </cell>
          <cell r="K397">
            <v>10.34</v>
          </cell>
          <cell r="L397">
            <v>9</v>
          </cell>
          <cell r="P397">
            <v>9</v>
          </cell>
        </row>
        <row r="398">
          <cell r="B398" t="str">
            <v>STD</v>
          </cell>
          <cell r="C398">
            <v>28</v>
          </cell>
          <cell r="D398">
            <v>9.5299999999999994</v>
          </cell>
          <cell r="E398">
            <v>1</v>
          </cell>
          <cell r="F398">
            <v>2.84</v>
          </cell>
          <cell r="G398">
            <v>8.25</v>
          </cell>
          <cell r="H398">
            <v>11.09</v>
          </cell>
          <cell r="I398">
            <v>2.84</v>
          </cell>
          <cell r="J398">
            <v>8.25</v>
          </cell>
          <cell r="K398">
            <v>11.09</v>
          </cell>
          <cell r="L398">
            <v>9</v>
          </cell>
          <cell r="P398">
            <v>9</v>
          </cell>
        </row>
        <row r="399">
          <cell r="B399" t="str">
            <v>STD</v>
          </cell>
          <cell r="C399">
            <v>30</v>
          </cell>
          <cell r="D399">
            <v>9.5299999999999994</v>
          </cell>
          <cell r="E399">
            <v>1</v>
          </cell>
          <cell r="F399">
            <v>3.04</v>
          </cell>
          <cell r="G399">
            <v>8.9600000000000009</v>
          </cell>
          <cell r="H399">
            <v>12</v>
          </cell>
          <cell r="I399">
            <v>3.04</v>
          </cell>
          <cell r="J399">
            <v>8.9600000000000009</v>
          </cell>
          <cell r="K399">
            <v>12</v>
          </cell>
          <cell r="L399">
            <v>10</v>
          </cell>
          <cell r="P399">
            <v>10</v>
          </cell>
        </row>
        <row r="400">
          <cell r="B400" t="str">
            <v>STD</v>
          </cell>
          <cell r="C400">
            <v>32</v>
          </cell>
          <cell r="D400">
            <v>9.5299999999999994</v>
          </cell>
          <cell r="E400">
            <v>1</v>
          </cell>
          <cell r="F400">
            <v>3.24</v>
          </cell>
          <cell r="G400">
            <v>9.51</v>
          </cell>
          <cell r="H400">
            <v>12.75</v>
          </cell>
          <cell r="I400">
            <v>3.24</v>
          </cell>
          <cell r="J400">
            <v>9.51</v>
          </cell>
          <cell r="K400">
            <v>12.75</v>
          </cell>
          <cell r="L400">
            <v>11</v>
          </cell>
          <cell r="P400">
            <v>11</v>
          </cell>
        </row>
        <row r="401">
          <cell r="B401" t="str">
            <v>STD</v>
          </cell>
          <cell r="C401">
            <v>34</v>
          </cell>
          <cell r="D401">
            <v>9.5299999999999994</v>
          </cell>
          <cell r="E401">
            <v>1</v>
          </cell>
          <cell r="F401">
            <v>3.45</v>
          </cell>
          <cell r="G401">
            <v>10.050000000000001</v>
          </cell>
          <cell r="H401">
            <v>13.5</v>
          </cell>
          <cell r="I401">
            <v>3.45</v>
          </cell>
          <cell r="J401">
            <v>10.050000000000001</v>
          </cell>
          <cell r="K401">
            <v>13.5</v>
          </cell>
          <cell r="L401">
            <v>12</v>
          </cell>
          <cell r="P401">
            <v>12</v>
          </cell>
        </row>
        <row r="402">
          <cell r="B402" t="str">
            <v>STD</v>
          </cell>
          <cell r="C402">
            <v>36</v>
          </cell>
          <cell r="D402">
            <v>9.5299999999999994</v>
          </cell>
          <cell r="E402">
            <v>1</v>
          </cell>
          <cell r="F402">
            <v>3.65</v>
          </cell>
          <cell r="G402">
            <v>10.6</v>
          </cell>
          <cell r="H402">
            <v>14.25</v>
          </cell>
          <cell r="I402">
            <v>3.65</v>
          </cell>
          <cell r="J402">
            <v>10.6</v>
          </cell>
          <cell r="K402">
            <v>14.25</v>
          </cell>
          <cell r="L402">
            <v>12</v>
          </cell>
          <cell r="P402">
            <v>12</v>
          </cell>
        </row>
        <row r="403">
          <cell r="B403" t="str">
            <v>STD</v>
          </cell>
          <cell r="C403">
            <v>38</v>
          </cell>
          <cell r="D403">
            <v>9.5299999999999994</v>
          </cell>
          <cell r="E403">
            <v>1</v>
          </cell>
          <cell r="F403">
            <v>3.85</v>
          </cell>
          <cell r="G403">
            <v>11.23</v>
          </cell>
          <cell r="H403">
            <v>15.08</v>
          </cell>
          <cell r="I403">
            <v>3.85</v>
          </cell>
          <cell r="J403">
            <v>11.23</v>
          </cell>
          <cell r="K403">
            <v>15.08</v>
          </cell>
          <cell r="L403">
            <v>13</v>
          </cell>
          <cell r="P403">
            <v>13</v>
          </cell>
        </row>
        <row r="404">
          <cell r="B404" t="str">
            <v>STD</v>
          </cell>
          <cell r="C404">
            <v>40</v>
          </cell>
          <cell r="D404">
            <v>9.5299999999999994</v>
          </cell>
          <cell r="E404">
            <v>1</v>
          </cell>
          <cell r="F404">
            <v>4.0599999999999996</v>
          </cell>
          <cell r="G404">
            <v>11.66</v>
          </cell>
          <cell r="H404">
            <v>15.719999999999999</v>
          </cell>
          <cell r="I404">
            <v>4.0599999999999996</v>
          </cell>
          <cell r="J404">
            <v>11.66</v>
          </cell>
          <cell r="K404">
            <v>15.719999999999999</v>
          </cell>
          <cell r="L404">
            <v>14</v>
          </cell>
          <cell r="P404">
            <v>14</v>
          </cell>
        </row>
        <row r="405">
          <cell r="B405" t="str">
            <v>STD</v>
          </cell>
          <cell r="C405">
            <v>42</v>
          </cell>
          <cell r="D405">
            <v>9.5299999999999994</v>
          </cell>
          <cell r="E405">
            <v>1</v>
          </cell>
          <cell r="F405">
            <v>4.26</v>
          </cell>
          <cell r="G405">
            <v>12.24</v>
          </cell>
          <cell r="H405">
            <v>16.5</v>
          </cell>
          <cell r="I405">
            <v>4.26</v>
          </cell>
          <cell r="J405">
            <v>12.24</v>
          </cell>
          <cell r="K405">
            <v>16.5</v>
          </cell>
          <cell r="L405">
            <v>14</v>
          </cell>
          <cell r="P405">
            <v>14</v>
          </cell>
        </row>
        <row r="406">
          <cell r="B406" t="str">
            <v>STD</v>
          </cell>
          <cell r="C406">
            <v>44</v>
          </cell>
          <cell r="D406">
            <v>9.5299999999999994</v>
          </cell>
          <cell r="E406">
            <v>1</v>
          </cell>
          <cell r="F406">
            <v>4.47</v>
          </cell>
          <cell r="G406">
            <v>17.54</v>
          </cell>
          <cell r="H406">
            <v>22.009999999999998</v>
          </cell>
          <cell r="I406">
            <v>4.47</v>
          </cell>
          <cell r="J406">
            <v>17.54</v>
          </cell>
          <cell r="K406">
            <v>22.009999999999998</v>
          </cell>
          <cell r="L406">
            <v>15</v>
          </cell>
          <cell r="P406">
            <v>15</v>
          </cell>
        </row>
        <row r="407">
          <cell r="B407" t="str">
            <v>STD</v>
          </cell>
          <cell r="C407">
            <v>46</v>
          </cell>
          <cell r="D407">
            <v>9.5299999999999994</v>
          </cell>
          <cell r="E407">
            <v>1</v>
          </cell>
          <cell r="F407">
            <v>4.67</v>
          </cell>
          <cell r="G407">
            <v>18.329999999999998</v>
          </cell>
          <cell r="H407">
            <v>23</v>
          </cell>
          <cell r="I407">
            <v>4.67</v>
          </cell>
          <cell r="J407">
            <v>18.329999999999998</v>
          </cell>
          <cell r="K407">
            <v>23</v>
          </cell>
          <cell r="L407">
            <v>16</v>
          </cell>
          <cell r="P407">
            <v>16</v>
          </cell>
        </row>
        <row r="408">
          <cell r="B408" t="str">
            <v>STD</v>
          </cell>
          <cell r="C408">
            <v>48</v>
          </cell>
          <cell r="D408">
            <v>9.5299999999999994</v>
          </cell>
          <cell r="E408">
            <v>1</v>
          </cell>
          <cell r="F408">
            <v>4.87</v>
          </cell>
          <cell r="G408">
            <v>19.13</v>
          </cell>
          <cell r="H408">
            <v>24</v>
          </cell>
          <cell r="I408">
            <v>4.87</v>
          </cell>
          <cell r="J408">
            <v>19.13</v>
          </cell>
          <cell r="K408">
            <v>24</v>
          </cell>
          <cell r="L408">
            <v>16</v>
          </cell>
          <cell r="P408">
            <v>16</v>
          </cell>
        </row>
        <row r="409">
          <cell r="B409" t="str">
            <v xml:space="preserve">XS </v>
          </cell>
          <cell r="C409">
            <v>0.125</v>
          </cell>
          <cell r="D409">
            <v>2.41</v>
          </cell>
          <cell r="E409">
            <v>1</v>
          </cell>
          <cell r="F409">
            <v>7.0000000000000007E-2</v>
          </cell>
          <cell r="G409">
            <v>7.0000000000000007E-2</v>
          </cell>
          <cell r="H409">
            <v>2</v>
          </cell>
          <cell r="I409">
            <v>7.0000000000000007E-2</v>
          </cell>
          <cell r="J409">
            <v>7.0000000000000007E-2</v>
          </cell>
          <cell r="K409">
            <v>7.0000000000000007E-2</v>
          </cell>
          <cell r="P409">
            <v>2</v>
          </cell>
        </row>
        <row r="410">
          <cell r="B410" t="str">
            <v xml:space="preserve">XS </v>
          </cell>
          <cell r="C410">
            <v>0.125</v>
          </cell>
          <cell r="D410">
            <v>2.41</v>
          </cell>
          <cell r="E410">
            <v>1</v>
          </cell>
          <cell r="F410">
            <v>7.0000000000000007E-2</v>
          </cell>
          <cell r="G410">
            <v>7.0000000000000007E-2</v>
          </cell>
          <cell r="H410">
            <v>2</v>
          </cell>
          <cell r="I410">
            <v>7.0000000000000007E-2</v>
          </cell>
          <cell r="J410">
            <v>7.0000000000000007E-2</v>
          </cell>
          <cell r="K410">
            <v>7.0000000000000007E-2</v>
          </cell>
          <cell r="P410">
            <v>2</v>
          </cell>
        </row>
        <row r="411">
          <cell r="B411" t="str">
            <v xml:space="preserve">XS </v>
          </cell>
          <cell r="C411">
            <v>0.125</v>
          </cell>
          <cell r="D411">
            <v>2.41</v>
          </cell>
          <cell r="E411">
            <v>1</v>
          </cell>
          <cell r="F411">
            <v>7.0000000000000007E-2</v>
          </cell>
          <cell r="G411">
            <v>7.0000000000000007E-2</v>
          </cell>
          <cell r="H411">
            <v>2</v>
          </cell>
          <cell r="I411">
            <v>7.0000000000000007E-2</v>
          </cell>
          <cell r="J411">
            <v>7.0000000000000007E-2</v>
          </cell>
          <cell r="K411">
            <v>7.0000000000000007E-2</v>
          </cell>
          <cell r="P411">
            <v>2</v>
          </cell>
        </row>
        <row r="412">
          <cell r="B412" t="str">
            <v xml:space="preserve">XS </v>
          </cell>
          <cell r="C412">
            <v>0.25</v>
          </cell>
          <cell r="D412">
            <v>3.02</v>
          </cell>
          <cell r="E412">
            <v>1</v>
          </cell>
          <cell r="F412">
            <v>0</v>
          </cell>
          <cell r="G412">
            <v>7.0000000000000007E-2</v>
          </cell>
          <cell r="H412">
            <v>2</v>
          </cell>
          <cell r="I412">
            <v>7.0000000000000007E-2</v>
          </cell>
          <cell r="J412">
            <v>7.0000000000000007E-2</v>
          </cell>
          <cell r="K412">
            <v>7.0000000000000007E-2</v>
          </cell>
          <cell r="P412">
            <v>2</v>
          </cell>
        </row>
        <row r="413">
          <cell r="B413" t="str">
            <v xml:space="preserve">XS </v>
          </cell>
          <cell r="C413">
            <v>0.25</v>
          </cell>
          <cell r="D413">
            <v>3.02</v>
          </cell>
          <cell r="E413">
            <v>1</v>
          </cell>
          <cell r="F413">
            <v>7.0000000000000007E-2</v>
          </cell>
          <cell r="G413">
            <v>7.0000000000000007E-2</v>
          </cell>
          <cell r="H413">
            <v>2</v>
          </cell>
          <cell r="I413">
            <v>7.0000000000000007E-2</v>
          </cell>
          <cell r="J413">
            <v>7.0000000000000007E-2</v>
          </cell>
          <cell r="K413">
            <v>7.0000000000000007E-2</v>
          </cell>
          <cell r="P413">
            <v>2</v>
          </cell>
        </row>
        <row r="414">
          <cell r="B414" t="str">
            <v xml:space="preserve">XS </v>
          </cell>
          <cell r="C414">
            <v>0.25</v>
          </cell>
          <cell r="D414">
            <v>3.02</v>
          </cell>
          <cell r="E414">
            <v>1</v>
          </cell>
          <cell r="F414">
            <v>7.0000000000000007E-2</v>
          </cell>
          <cell r="G414">
            <v>7.0000000000000007E-2</v>
          </cell>
          <cell r="H414">
            <v>2</v>
          </cell>
          <cell r="I414">
            <v>7.0000000000000007E-2</v>
          </cell>
          <cell r="J414">
            <v>7.0000000000000007E-2</v>
          </cell>
          <cell r="K414">
            <v>7.0000000000000007E-2</v>
          </cell>
          <cell r="P414">
            <v>2</v>
          </cell>
        </row>
        <row r="415">
          <cell r="B415" t="str">
            <v xml:space="preserve">XS </v>
          </cell>
          <cell r="C415">
            <v>0.375</v>
          </cell>
          <cell r="D415">
            <v>3.2</v>
          </cell>
          <cell r="E415">
            <v>1</v>
          </cell>
          <cell r="F415">
            <v>0</v>
          </cell>
          <cell r="G415">
            <v>0</v>
          </cell>
          <cell r="H415">
            <v>0</v>
          </cell>
          <cell r="I415">
            <v>7.0000000000000007E-2</v>
          </cell>
          <cell r="J415">
            <v>0</v>
          </cell>
          <cell r="K415">
            <v>7.0000000000000007E-2</v>
          </cell>
          <cell r="L415">
            <v>2</v>
          </cell>
          <cell r="M415">
            <v>0</v>
          </cell>
          <cell r="N415">
            <v>8.8062877131794293E-312</v>
          </cell>
          <cell r="O415" t="str">
            <v xml:space="preserve">XS </v>
          </cell>
          <cell r="P415">
            <v>2</v>
          </cell>
          <cell r="Q415">
            <v>3.2</v>
          </cell>
          <cell r="R415">
            <v>1</v>
          </cell>
        </row>
        <row r="416">
          <cell r="B416" t="str">
            <v xml:space="preserve">XS </v>
          </cell>
          <cell r="C416">
            <v>0.375</v>
          </cell>
          <cell r="D416">
            <v>3.2</v>
          </cell>
          <cell r="E416">
            <v>1</v>
          </cell>
          <cell r="F416">
            <v>7.0000000000000007E-2</v>
          </cell>
          <cell r="G416">
            <v>0</v>
          </cell>
          <cell r="H416">
            <v>7.0000000000000007E-2</v>
          </cell>
          <cell r="I416">
            <v>7.0000000000000007E-2</v>
          </cell>
          <cell r="J416">
            <v>0</v>
          </cell>
          <cell r="K416">
            <v>7.0000000000000007E-2</v>
          </cell>
          <cell r="L416">
            <v>2</v>
          </cell>
          <cell r="P416">
            <v>2</v>
          </cell>
        </row>
        <row r="417">
          <cell r="B417" t="str">
            <v xml:space="preserve">XS </v>
          </cell>
          <cell r="C417">
            <v>0.375</v>
          </cell>
          <cell r="D417">
            <v>3.2</v>
          </cell>
          <cell r="E417">
            <v>1</v>
          </cell>
          <cell r="F417">
            <v>7.0000000000000007E-2</v>
          </cell>
          <cell r="G417">
            <v>0</v>
          </cell>
          <cell r="H417">
            <v>7.0000000000000007E-2</v>
          </cell>
          <cell r="I417">
            <v>7.0000000000000007E-2</v>
          </cell>
          <cell r="J417">
            <v>0</v>
          </cell>
          <cell r="K417">
            <v>7.0000000000000007E-2</v>
          </cell>
          <cell r="L417">
            <v>2</v>
          </cell>
          <cell r="P417">
            <v>2</v>
          </cell>
        </row>
        <row r="418">
          <cell r="A418">
            <v>2</v>
          </cell>
          <cell r="B418" t="str">
            <v xml:space="preserve">XS </v>
          </cell>
          <cell r="C418">
            <v>0.5</v>
          </cell>
          <cell r="D418">
            <v>3.73</v>
          </cell>
          <cell r="E418">
            <v>1</v>
          </cell>
          <cell r="F418">
            <v>0</v>
          </cell>
          <cell r="G418">
            <v>0</v>
          </cell>
          <cell r="H418">
            <v>0</v>
          </cell>
          <cell r="I418">
            <v>7.0000000000000007E-2</v>
          </cell>
          <cell r="J418">
            <v>0</v>
          </cell>
          <cell r="K418">
            <v>7.0000000000000007E-2</v>
          </cell>
          <cell r="L418">
            <v>2</v>
          </cell>
          <cell r="M418">
            <v>0</v>
          </cell>
          <cell r="N418">
            <v>8.8699475869083874E-312</v>
          </cell>
          <cell r="O418" t="str">
            <v xml:space="preserve">XS </v>
          </cell>
          <cell r="P418">
            <v>2</v>
          </cell>
          <cell r="Q418">
            <v>3.73</v>
          </cell>
          <cell r="R418">
            <v>1</v>
          </cell>
        </row>
        <row r="419">
          <cell r="B419" t="str">
            <v xml:space="preserve">XS </v>
          </cell>
          <cell r="C419">
            <v>0.5</v>
          </cell>
          <cell r="D419">
            <v>3.73</v>
          </cell>
          <cell r="E419">
            <v>1</v>
          </cell>
          <cell r="F419">
            <v>0</v>
          </cell>
          <cell r="G419">
            <v>0</v>
          </cell>
          <cell r="H419">
            <v>7.0000000000000007E-2</v>
          </cell>
          <cell r="I419">
            <v>7.0000000000000007E-2</v>
          </cell>
          <cell r="J419">
            <v>0</v>
          </cell>
          <cell r="K419">
            <v>7.0000000000000007E-2</v>
          </cell>
          <cell r="L419">
            <v>2</v>
          </cell>
          <cell r="P419">
            <v>2</v>
          </cell>
          <cell r="Q419">
            <v>0</v>
          </cell>
        </row>
        <row r="420">
          <cell r="B420" t="str">
            <v xml:space="preserve">XS </v>
          </cell>
          <cell r="C420">
            <v>0.5</v>
          </cell>
          <cell r="D420">
            <v>3.73</v>
          </cell>
          <cell r="E420">
            <v>1</v>
          </cell>
          <cell r="F420">
            <v>7.0000000000000007E-2</v>
          </cell>
          <cell r="G420">
            <v>0</v>
          </cell>
          <cell r="H420">
            <v>7.0000000000000007E-2</v>
          </cell>
          <cell r="I420">
            <v>7.0000000000000007E-2</v>
          </cell>
          <cell r="J420">
            <v>0</v>
          </cell>
          <cell r="K420">
            <v>7.0000000000000007E-2</v>
          </cell>
          <cell r="L420">
            <v>2</v>
          </cell>
          <cell r="P420">
            <v>2</v>
          </cell>
        </row>
        <row r="421">
          <cell r="B421" t="str">
            <v xml:space="preserve">XS </v>
          </cell>
          <cell r="C421">
            <v>0.75</v>
          </cell>
          <cell r="D421">
            <v>3.91</v>
          </cell>
          <cell r="E421">
            <v>1</v>
          </cell>
          <cell r="F421">
            <v>7.0000000000000007E-2</v>
          </cell>
          <cell r="G421">
            <v>0</v>
          </cell>
          <cell r="H421">
            <v>7.0000000000000007E-2</v>
          </cell>
          <cell r="I421">
            <v>7.0000000000000007E-2</v>
          </cell>
          <cell r="J421">
            <v>0</v>
          </cell>
          <cell r="K421">
            <v>7.0000000000000007E-2</v>
          </cell>
          <cell r="L421">
            <v>2</v>
          </cell>
          <cell r="P421">
            <v>2</v>
          </cell>
        </row>
        <row r="422">
          <cell r="B422" t="str">
            <v xml:space="preserve">XS </v>
          </cell>
          <cell r="C422">
            <v>0.75</v>
          </cell>
          <cell r="D422">
            <v>3.91</v>
          </cell>
          <cell r="E422">
            <v>1</v>
          </cell>
          <cell r="F422">
            <v>7.0000000000000007E-2</v>
          </cell>
          <cell r="G422">
            <v>0</v>
          </cell>
          <cell r="H422">
            <v>7.0000000000000007E-2</v>
          </cell>
          <cell r="I422">
            <v>7.0000000000000007E-2</v>
          </cell>
          <cell r="J422">
            <v>0</v>
          </cell>
          <cell r="K422">
            <v>7.0000000000000007E-2</v>
          </cell>
          <cell r="L422">
            <v>2</v>
          </cell>
          <cell r="P422">
            <v>2</v>
          </cell>
        </row>
        <row r="423">
          <cell r="B423" t="str">
            <v xml:space="preserve">XS </v>
          </cell>
          <cell r="C423">
            <v>0.75</v>
          </cell>
          <cell r="D423">
            <v>3.91</v>
          </cell>
          <cell r="E423">
            <v>1</v>
          </cell>
          <cell r="F423">
            <v>7.0000000000000007E-2</v>
          </cell>
          <cell r="G423">
            <v>0</v>
          </cell>
          <cell r="H423">
            <v>7.0000000000000007E-2</v>
          </cell>
          <cell r="I423">
            <v>7.0000000000000007E-2</v>
          </cell>
          <cell r="J423">
            <v>0</v>
          </cell>
          <cell r="K423">
            <v>7.0000000000000007E-2</v>
          </cell>
          <cell r="L423">
            <v>2</v>
          </cell>
          <cell r="P423">
            <v>2</v>
          </cell>
        </row>
        <row r="424">
          <cell r="B424" t="str">
            <v xml:space="preserve">XS </v>
          </cell>
          <cell r="C424">
            <v>1</v>
          </cell>
          <cell r="D424">
            <v>4.55</v>
          </cell>
          <cell r="E424">
            <v>1</v>
          </cell>
          <cell r="F424">
            <v>0.15</v>
          </cell>
          <cell r="G424">
            <v>0</v>
          </cell>
          <cell r="H424">
            <v>0.15</v>
          </cell>
          <cell r="I424">
            <v>0.15</v>
          </cell>
          <cell r="J424">
            <v>0</v>
          </cell>
          <cell r="K424">
            <v>0.15</v>
          </cell>
          <cell r="L424">
            <v>2</v>
          </cell>
          <cell r="P424">
            <v>2</v>
          </cell>
        </row>
        <row r="425">
          <cell r="B425" t="str">
            <v xml:space="preserve">XS </v>
          </cell>
          <cell r="C425">
            <v>1</v>
          </cell>
          <cell r="D425">
            <v>4.55</v>
          </cell>
          <cell r="E425">
            <v>1</v>
          </cell>
          <cell r="F425">
            <v>0.15</v>
          </cell>
          <cell r="G425">
            <v>0</v>
          </cell>
          <cell r="H425">
            <v>0.15</v>
          </cell>
          <cell r="I425">
            <v>0.15</v>
          </cell>
          <cell r="J425">
            <v>0</v>
          </cell>
          <cell r="K425">
            <v>0.15</v>
          </cell>
          <cell r="L425">
            <v>2</v>
          </cell>
          <cell r="P425">
            <v>2</v>
          </cell>
        </row>
        <row r="426">
          <cell r="B426" t="str">
            <v xml:space="preserve">XS </v>
          </cell>
          <cell r="C426">
            <v>1</v>
          </cell>
          <cell r="D426">
            <v>4.55</v>
          </cell>
          <cell r="E426">
            <v>1</v>
          </cell>
          <cell r="F426">
            <v>0.15</v>
          </cell>
          <cell r="G426">
            <v>0</v>
          </cell>
          <cell r="H426">
            <v>0.15</v>
          </cell>
          <cell r="I426">
            <v>0.15</v>
          </cell>
          <cell r="J426">
            <v>0</v>
          </cell>
          <cell r="K426">
            <v>0.15</v>
          </cell>
          <cell r="L426">
            <v>2</v>
          </cell>
          <cell r="P426">
            <v>2</v>
          </cell>
        </row>
        <row r="427">
          <cell r="B427" t="str">
            <v xml:space="preserve">XS </v>
          </cell>
          <cell r="C427">
            <v>1.25</v>
          </cell>
          <cell r="D427">
            <v>4.8499999999999996</v>
          </cell>
          <cell r="E427">
            <v>1</v>
          </cell>
          <cell r="F427">
            <v>0.13</v>
          </cell>
          <cell r="G427">
            <v>0.17</v>
          </cell>
          <cell r="H427">
            <v>0.30000000000000004</v>
          </cell>
          <cell r="I427">
            <v>0.13</v>
          </cell>
          <cell r="J427">
            <v>0.17</v>
          </cell>
          <cell r="K427">
            <v>0.30000000000000004</v>
          </cell>
          <cell r="L427">
            <v>2</v>
          </cell>
          <cell r="P427">
            <v>2</v>
          </cell>
        </row>
        <row r="428">
          <cell r="B428" t="str">
            <v xml:space="preserve">XS </v>
          </cell>
          <cell r="C428">
            <v>1.25</v>
          </cell>
          <cell r="D428">
            <v>4.8499999999999996</v>
          </cell>
          <cell r="E428">
            <v>1</v>
          </cell>
          <cell r="F428">
            <v>0.13</v>
          </cell>
          <cell r="G428">
            <v>0.17</v>
          </cell>
          <cell r="H428">
            <v>0.30000000000000004</v>
          </cell>
          <cell r="I428">
            <v>0.13</v>
          </cell>
          <cell r="J428">
            <v>0.17</v>
          </cell>
          <cell r="K428">
            <v>0.30000000000000004</v>
          </cell>
          <cell r="L428">
            <v>2</v>
          </cell>
          <cell r="P428">
            <v>2</v>
          </cell>
        </row>
        <row r="429">
          <cell r="B429" t="str">
            <v xml:space="preserve">XS </v>
          </cell>
          <cell r="C429">
            <v>1.25</v>
          </cell>
          <cell r="D429">
            <v>4.8499999999999996</v>
          </cell>
          <cell r="E429">
            <v>1</v>
          </cell>
          <cell r="F429">
            <v>0</v>
          </cell>
          <cell r="G429">
            <v>0</v>
          </cell>
          <cell r="H429">
            <v>0</v>
          </cell>
          <cell r="I429">
            <v>0.13</v>
          </cell>
          <cell r="J429">
            <v>0.17</v>
          </cell>
          <cell r="K429">
            <v>0.30000000000000004</v>
          </cell>
          <cell r="L429">
            <v>2</v>
          </cell>
          <cell r="M429">
            <v>0</v>
          </cell>
          <cell r="N429">
            <v>9.1033671239145674E-312</v>
          </cell>
          <cell r="O429" t="str">
            <v xml:space="preserve">XS </v>
          </cell>
          <cell r="P429">
            <v>2</v>
          </cell>
          <cell r="Q429">
            <v>0</v>
          </cell>
          <cell r="R429">
            <v>9.0821471660049147E-312</v>
          </cell>
        </row>
        <row r="430">
          <cell r="B430" t="str">
            <v xml:space="preserve">XS </v>
          </cell>
          <cell r="C430">
            <v>1.5</v>
          </cell>
          <cell r="D430">
            <v>5.08</v>
          </cell>
          <cell r="E430">
            <v>1</v>
          </cell>
          <cell r="F430">
            <v>0.15</v>
          </cell>
          <cell r="G430">
            <v>0.15</v>
          </cell>
          <cell r="H430">
            <v>0.3</v>
          </cell>
          <cell r="I430">
            <v>0.15</v>
          </cell>
          <cell r="J430">
            <v>0.15</v>
          </cell>
          <cell r="K430">
            <v>0.3</v>
          </cell>
          <cell r="L430">
            <v>2</v>
          </cell>
          <cell r="P430">
            <v>2</v>
          </cell>
        </row>
        <row r="431">
          <cell r="B431" t="str">
            <v xml:space="preserve">XS </v>
          </cell>
          <cell r="C431">
            <v>1.5</v>
          </cell>
          <cell r="D431">
            <v>5.08</v>
          </cell>
          <cell r="E431">
            <v>1</v>
          </cell>
          <cell r="F431">
            <v>0.15</v>
          </cell>
          <cell r="G431">
            <v>0.15</v>
          </cell>
          <cell r="H431">
            <v>0.3</v>
          </cell>
          <cell r="I431">
            <v>0.15</v>
          </cell>
          <cell r="J431">
            <v>0.15</v>
          </cell>
          <cell r="K431">
            <v>0.3</v>
          </cell>
          <cell r="L431">
            <v>2</v>
          </cell>
          <cell r="P431">
            <v>2</v>
          </cell>
        </row>
        <row r="432">
          <cell r="B432" t="str">
            <v xml:space="preserve">XS </v>
          </cell>
          <cell r="C432">
            <v>1.5</v>
          </cell>
          <cell r="D432">
            <v>5.08</v>
          </cell>
          <cell r="E432">
            <v>1</v>
          </cell>
          <cell r="F432">
            <v>0.15</v>
          </cell>
          <cell r="G432">
            <v>0.15</v>
          </cell>
          <cell r="H432">
            <v>0.3</v>
          </cell>
          <cell r="I432">
            <v>0.15</v>
          </cell>
          <cell r="J432">
            <v>0.15</v>
          </cell>
          <cell r="K432">
            <v>0.3</v>
          </cell>
          <cell r="L432">
            <v>2</v>
          </cell>
          <cell r="P432">
            <v>2</v>
          </cell>
        </row>
        <row r="433">
          <cell r="B433" t="str">
            <v xml:space="preserve">XS </v>
          </cell>
          <cell r="C433">
            <v>2</v>
          </cell>
          <cell r="D433">
            <v>5.54</v>
          </cell>
          <cell r="E433">
            <v>1</v>
          </cell>
          <cell r="F433">
            <v>0.2</v>
          </cell>
          <cell r="G433">
            <v>0.25</v>
          </cell>
          <cell r="H433">
            <v>0.45</v>
          </cell>
          <cell r="I433">
            <v>0.2</v>
          </cell>
          <cell r="J433">
            <v>0.25</v>
          </cell>
          <cell r="K433">
            <v>0.45</v>
          </cell>
          <cell r="L433">
            <v>2</v>
          </cell>
          <cell r="P433">
            <v>2</v>
          </cell>
        </row>
        <row r="434">
          <cell r="B434" t="str">
            <v xml:space="preserve">XS </v>
          </cell>
          <cell r="C434">
            <v>2</v>
          </cell>
          <cell r="D434">
            <v>5.54</v>
          </cell>
          <cell r="E434">
            <v>1</v>
          </cell>
          <cell r="F434">
            <v>0.2</v>
          </cell>
          <cell r="G434">
            <v>0.25</v>
          </cell>
          <cell r="H434">
            <v>0.45</v>
          </cell>
          <cell r="I434">
            <v>0.2</v>
          </cell>
          <cell r="J434">
            <v>0.25</v>
          </cell>
          <cell r="K434">
            <v>0.45</v>
          </cell>
          <cell r="L434">
            <v>2</v>
          </cell>
          <cell r="P434">
            <v>2</v>
          </cell>
        </row>
        <row r="435">
          <cell r="B435" t="str">
            <v xml:space="preserve">XS </v>
          </cell>
          <cell r="C435">
            <v>2</v>
          </cell>
          <cell r="D435">
            <v>5.54</v>
          </cell>
          <cell r="E435">
            <v>1</v>
          </cell>
          <cell r="F435">
            <v>0.2</v>
          </cell>
          <cell r="G435">
            <v>0.25</v>
          </cell>
          <cell r="H435">
            <v>0.45</v>
          </cell>
          <cell r="I435">
            <v>0.2</v>
          </cell>
          <cell r="J435">
            <v>0.25</v>
          </cell>
          <cell r="K435">
            <v>0.45</v>
          </cell>
          <cell r="L435">
            <v>2</v>
          </cell>
          <cell r="P435">
            <v>2</v>
          </cell>
        </row>
        <row r="436">
          <cell r="B436" t="str">
            <v xml:space="preserve">XS </v>
          </cell>
          <cell r="C436">
            <v>2.5</v>
          </cell>
          <cell r="D436">
            <v>7.01</v>
          </cell>
          <cell r="E436">
            <v>1</v>
          </cell>
          <cell r="F436">
            <v>0.25</v>
          </cell>
          <cell r="G436">
            <v>0.5</v>
          </cell>
          <cell r="H436">
            <v>0.75</v>
          </cell>
          <cell r="I436">
            <v>0.25</v>
          </cell>
          <cell r="J436">
            <v>0.5</v>
          </cell>
          <cell r="K436">
            <v>0.75</v>
          </cell>
          <cell r="L436">
            <v>2</v>
          </cell>
          <cell r="P436">
            <v>2</v>
          </cell>
        </row>
        <row r="437">
          <cell r="B437" t="str">
            <v xml:space="preserve">XS </v>
          </cell>
          <cell r="C437">
            <v>3</v>
          </cell>
          <cell r="D437">
            <v>7.62</v>
          </cell>
          <cell r="E437">
            <v>1</v>
          </cell>
          <cell r="F437">
            <v>0.3</v>
          </cell>
          <cell r="G437">
            <v>0.6</v>
          </cell>
          <cell r="H437">
            <v>0.89999999999999991</v>
          </cell>
          <cell r="I437">
            <v>0.3</v>
          </cell>
          <cell r="J437">
            <v>0.6</v>
          </cell>
          <cell r="K437">
            <v>0.89999999999999991</v>
          </cell>
          <cell r="L437">
            <v>2</v>
          </cell>
          <cell r="P437">
            <v>2</v>
          </cell>
        </row>
        <row r="438">
          <cell r="B438" t="str">
            <v xml:space="preserve">XS </v>
          </cell>
          <cell r="C438">
            <v>3.5</v>
          </cell>
          <cell r="D438">
            <v>8.08</v>
          </cell>
          <cell r="E438">
            <v>1</v>
          </cell>
          <cell r="F438">
            <v>0.35</v>
          </cell>
          <cell r="G438">
            <v>0.85</v>
          </cell>
          <cell r="H438">
            <v>1.2</v>
          </cell>
          <cell r="I438">
            <v>0.35</v>
          </cell>
          <cell r="J438">
            <v>0.85</v>
          </cell>
          <cell r="K438">
            <v>1.2</v>
          </cell>
          <cell r="L438">
            <v>3</v>
          </cell>
          <cell r="P438">
            <v>3</v>
          </cell>
        </row>
        <row r="439">
          <cell r="B439" t="str">
            <v xml:space="preserve">XS </v>
          </cell>
          <cell r="C439">
            <v>4</v>
          </cell>
          <cell r="D439">
            <v>8.56</v>
          </cell>
          <cell r="E439">
            <v>1</v>
          </cell>
          <cell r="F439">
            <v>0.41</v>
          </cell>
          <cell r="G439">
            <v>0.93</v>
          </cell>
          <cell r="H439">
            <v>1.34</v>
          </cell>
          <cell r="I439">
            <v>0.41</v>
          </cell>
          <cell r="J439">
            <v>0.93</v>
          </cell>
          <cell r="K439">
            <v>1.34</v>
          </cell>
          <cell r="L439">
            <v>3</v>
          </cell>
          <cell r="P439">
            <v>3</v>
          </cell>
        </row>
        <row r="440">
          <cell r="B440" t="str">
            <v xml:space="preserve">XS </v>
          </cell>
          <cell r="C440">
            <v>5</v>
          </cell>
          <cell r="D440">
            <v>9.5299999999999994</v>
          </cell>
          <cell r="E440">
            <v>1</v>
          </cell>
          <cell r="F440">
            <v>0</v>
          </cell>
          <cell r="G440">
            <v>0</v>
          </cell>
          <cell r="H440">
            <v>0</v>
          </cell>
          <cell r="I440">
            <v>0.51</v>
          </cell>
          <cell r="J440">
            <v>1.59</v>
          </cell>
          <cell r="K440">
            <v>2.1</v>
          </cell>
          <cell r="L440">
            <v>4</v>
          </cell>
          <cell r="M440">
            <v>0</v>
          </cell>
          <cell r="N440">
            <v>9.3367866609207473E-312</v>
          </cell>
          <cell r="O440" t="str">
            <v xml:space="preserve">XS </v>
          </cell>
          <cell r="P440">
            <v>4</v>
          </cell>
          <cell r="Q440">
            <v>0</v>
          </cell>
          <cell r="R440">
            <v>9.3155667030110946E-312</v>
          </cell>
        </row>
        <row r="441">
          <cell r="B441" t="str">
            <v xml:space="preserve">XS </v>
          </cell>
          <cell r="C441">
            <v>6</v>
          </cell>
          <cell r="D441">
            <v>10.97</v>
          </cell>
          <cell r="E441">
            <v>1.25</v>
          </cell>
          <cell r="F441">
            <v>0.61</v>
          </cell>
          <cell r="G441">
            <v>2.69</v>
          </cell>
          <cell r="H441">
            <v>3.3</v>
          </cell>
          <cell r="I441">
            <v>0.61</v>
          </cell>
          <cell r="J441">
            <v>2.69</v>
          </cell>
          <cell r="K441">
            <v>3.3</v>
          </cell>
          <cell r="L441">
            <v>4</v>
          </cell>
          <cell r="P441">
            <v>4</v>
          </cell>
        </row>
        <row r="442">
          <cell r="B442" t="str">
            <v xml:space="preserve">XS </v>
          </cell>
          <cell r="C442">
            <v>8</v>
          </cell>
          <cell r="D442">
            <v>12.7</v>
          </cell>
          <cell r="E442">
            <v>1.25</v>
          </cell>
          <cell r="F442">
            <v>0.81</v>
          </cell>
          <cell r="G442">
            <v>4.58</v>
          </cell>
          <cell r="H442">
            <v>5.3900000000000006</v>
          </cell>
          <cell r="I442">
            <v>0.81</v>
          </cell>
          <cell r="J442">
            <v>4.58</v>
          </cell>
          <cell r="K442">
            <v>5.3900000000000006</v>
          </cell>
          <cell r="L442">
            <v>4</v>
          </cell>
          <cell r="P442">
            <v>4</v>
          </cell>
        </row>
        <row r="443">
          <cell r="B443" t="str">
            <v xml:space="preserve">XS </v>
          </cell>
          <cell r="C443">
            <v>10</v>
          </cell>
          <cell r="D443">
            <v>12.7</v>
          </cell>
          <cell r="E443">
            <v>1.25</v>
          </cell>
          <cell r="F443">
            <v>1.01</v>
          </cell>
          <cell r="G443">
            <v>5.74</v>
          </cell>
          <cell r="H443">
            <v>6.75</v>
          </cell>
          <cell r="I443">
            <v>1.01</v>
          </cell>
          <cell r="J443">
            <v>5.74</v>
          </cell>
          <cell r="K443">
            <v>6.75</v>
          </cell>
          <cell r="L443">
            <v>4</v>
          </cell>
          <cell r="P443">
            <v>4</v>
          </cell>
        </row>
        <row r="444">
          <cell r="B444" t="str">
            <v xml:space="preserve">XS </v>
          </cell>
          <cell r="C444">
            <v>12</v>
          </cell>
          <cell r="D444">
            <v>12.7</v>
          </cell>
          <cell r="E444">
            <v>1.25</v>
          </cell>
          <cell r="F444">
            <v>1.22</v>
          </cell>
          <cell r="G444">
            <v>6.73</v>
          </cell>
          <cell r="H444">
            <v>7.95</v>
          </cell>
          <cell r="I444">
            <v>1.22</v>
          </cell>
          <cell r="J444">
            <v>6.73</v>
          </cell>
          <cell r="K444">
            <v>7.95</v>
          </cell>
          <cell r="L444">
            <v>6</v>
          </cell>
          <cell r="P444">
            <v>6</v>
          </cell>
        </row>
        <row r="445">
          <cell r="B445" t="str">
            <v xml:space="preserve">XS </v>
          </cell>
          <cell r="C445">
            <v>14</v>
          </cell>
          <cell r="D445">
            <v>12.7</v>
          </cell>
          <cell r="E445">
            <v>1.25</v>
          </cell>
          <cell r="F445">
            <v>1.42</v>
          </cell>
          <cell r="G445">
            <v>7.28</v>
          </cell>
          <cell r="H445">
            <v>8.6999999999999993</v>
          </cell>
          <cell r="I445">
            <v>1.42</v>
          </cell>
          <cell r="J445">
            <v>7.28</v>
          </cell>
          <cell r="K445">
            <v>8.6999999999999993</v>
          </cell>
          <cell r="L445">
            <v>6</v>
          </cell>
          <cell r="P445">
            <v>6</v>
          </cell>
        </row>
        <row r="446">
          <cell r="B446" t="str">
            <v xml:space="preserve">XS </v>
          </cell>
          <cell r="C446">
            <v>16</v>
          </cell>
          <cell r="D446">
            <v>12.7</v>
          </cell>
          <cell r="E446">
            <v>1.25</v>
          </cell>
          <cell r="F446">
            <v>1.62</v>
          </cell>
          <cell r="G446">
            <v>8.42</v>
          </cell>
          <cell r="H446">
            <v>10.039999999999999</v>
          </cell>
          <cell r="I446">
            <v>1.62</v>
          </cell>
          <cell r="J446">
            <v>8.42</v>
          </cell>
          <cell r="K446">
            <v>10.039999999999999</v>
          </cell>
          <cell r="L446">
            <v>6</v>
          </cell>
          <cell r="P446">
            <v>6</v>
          </cell>
        </row>
        <row r="447">
          <cell r="B447" t="str">
            <v xml:space="preserve">XS </v>
          </cell>
          <cell r="C447">
            <v>18</v>
          </cell>
          <cell r="D447">
            <v>12.7</v>
          </cell>
          <cell r="E447">
            <v>1.25</v>
          </cell>
          <cell r="F447">
            <v>1.82</v>
          </cell>
          <cell r="G447">
            <v>9.42</v>
          </cell>
          <cell r="H447">
            <v>11.24</v>
          </cell>
          <cell r="I447">
            <v>1.82</v>
          </cell>
          <cell r="J447">
            <v>9.42</v>
          </cell>
          <cell r="K447">
            <v>11.24</v>
          </cell>
          <cell r="L447">
            <v>6</v>
          </cell>
          <cell r="P447">
            <v>6</v>
          </cell>
        </row>
        <row r="448">
          <cell r="B448" t="str">
            <v xml:space="preserve">XS </v>
          </cell>
          <cell r="C448">
            <v>20</v>
          </cell>
          <cell r="D448">
            <v>12.7</v>
          </cell>
          <cell r="E448">
            <v>1.25</v>
          </cell>
          <cell r="F448">
            <v>2.0299999999999998</v>
          </cell>
          <cell r="G448">
            <v>10.42</v>
          </cell>
          <cell r="H448">
            <v>12.45</v>
          </cell>
          <cell r="I448">
            <v>2.0299999999999998</v>
          </cell>
          <cell r="J448">
            <v>10.42</v>
          </cell>
          <cell r="K448">
            <v>12.45</v>
          </cell>
          <cell r="L448">
            <v>7</v>
          </cell>
          <cell r="P448">
            <v>7</v>
          </cell>
        </row>
        <row r="449">
          <cell r="B449" t="str">
            <v xml:space="preserve">XS </v>
          </cell>
          <cell r="C449">
            <v>22</v>
          </cell>
          <cell r="D449">
            <v>12.7</v>
          </cell>
          <cell r="E449">
            <v>1.25</v>
          </cell>
          <cell r="F449">
            <v>2.23</v>
          </cell>
          <cell r="G449">
            <v>11.72</v>
          </cell>
          <cell r="H449">
            <v>13.950000000000001</v>
          </cell>
          <cell r="I449">
            <v>2.23</v>
          </cell>
          <cell r="J449">
            <v>11.72</v>
          </cell>
          <cell r="K449">
            <v>13.950000000000001</v>
          </cell>
          <cell r="L449">
            <v>8</v>
          </cell>
          <cell r="P449">
            <v>8</v>
          </cell>
        </row>
        <row r="450">
          <cell r="B450" t="str">
            <v xml:space="preserve">XS </v>
          </cell>
          <cell r="C450">
            <v>24</v>
          </cell>
          <cell r="D450">
            <v>12.7</v>
          </cell>
          <cell r="E450">
            <v>1.25</v>
          </cell>
          <cell r="F450">
            <v>2.4300000000000002</v>
          </cell>
          <cell r="G450">
            <v>12.57</v>
          </cell>
          <cell r="H450">
            <v>15</v>
          </cell>
          <cell r="I450">
            <v>2.4300000000000002</v>
          </cell>
          <cell r="J450">
            <v>12.57</v>
          </cell>
          <cell r="K450">
            <v>15</v>
          </cell>
          <cell r="L450">
            <v>8</v>
          </cell>
          <cell r="P450">
            <v>8</v>
          </cell>
        </row>
        <row r="451">
          <cell r="B451" t="str">
            <v xml:space="preserve">XS </v>
          </cell>
          <cell r="C451">
            <v>26</v>
          </cell>
          <cell r="D451">
            <v>12.7</v>
          </cell>
          <cell r="E451">
            <v>1.25</v>
          </cell>
          <cell r="F451">
            <v>0</v>
          </cell>
          <cell r="G451">
            <v>0</v>
          </cell>
          <cell r="H451">
            <v>0</v>
          </cell>
          <cell r="I451">
            <v>2.64</v>
          </cell>
          <cell r="J451">
            <v>13.86</v>
          </cell>
          <cell r="K451">
            <v>16.5</v>
          </cell>
          <cell r="L451">
            <v>9</v>
          </cell>
          <cell r="M451">
            <v>0</v>
          </cell>
          <cell r="N451">
            <v>9.5702061979269273E-312</v>
          </cell>
          <cell r="O451" t="str">
            <v xml:space="preserve">XS </v>
          </cell>
          <cell r="P451">
            <v>9</v>
          </cell>
          <cell r="Q451">
            <v>0</v>
          </cell>
          <cell r="R451">
            <v>9.5489862400172746E-312</v>
          </cell>
        </row>
        <row r="452">
          <cell r="B452" t="str">
            <v xml:space="preserve">XS </v>
          </cell>
          <cell r="C452">
            <v>28</v>
          </cell>
          <cell r="D452">
            <v>12.7</v>
          </cell>
          <cell r="E452">
            <v>1.25</v>
          </cell>
          <cell r="F452">
            <v>2.84</v>
          </cell>
          <cell r="G452">
            <v>15.16</v>
          </cell>
          <cell r="H452">
            <v>18</v>
          </cell>
          <cell r="I452">
            <v>2.84</v>
          </cell>
          <cell r="J452">
            <v>15.16</v>
          </cell>
          <cell r="K452">
            <v>18</v>
          </cell>
          <cell r="L452">
            <v>9</v>
          </cell>
          <cell r="P452">
            <v>9</v>
          </cell>
        </row>
        <row r="453">
          <cell r="B453" t="str">
            <v xml:space="preserve">XS </v>
          </cell>
          <cell r="C453">
            <v>30</v>
          </cell>
          <cell r="D453">
            <v>12.7</v>
          </cell>
          <cell r="E453">
            <v>1.25</v>
          </cell>
          <cell r="F453">
            <v>3.04</v>
          </cell>
          <cell r="G453">
            <v>16.45</v>
          </cell>
          <cell r="H453">
            <v>19.489999999999998</v>
          </cell>
          <cell r="I453">
            <v>3.04</v>
          </cell>
          <cell r="J453">
            <v>16.45</v>
          </cell>
          <cell r="K453">
            <v>19.489999999999998</v>
          </cell>
          <cell r="L453">
            <v>10</v>
          </cell>
          <cell r="P453">
            <v>10</v>
          </cell>
        </row>
        <row r="454">
          <cell r="B454" t="str">
            <v xml:space="preserve">XS </v>
          </cell>
          <cell r="C454">
            <v>32</v>
          </cell>
          <cell r="D454">
            <v>12.7</v>
          </cell>
          <cell r="E454">
            <v>1.25</v>
          </cell>
          <cell r="F454">
            <v>3.24</v>
          </cell>
          <cell r="G454">
            <v>17.75</v>
          </cell>
          <cell r="H454">
            <v>20.990000000000002</v>
          </cell>
          <cell r="I454">
            <v>3.24</v>
          </cell>
          <cell r="J454">
            <v>17.75</v>
          </cell>
          <cell r="K454">
            <v>20.990000000000002</v>
          </cell>
          <cell r="L454">
            <v>11</v>
          </cell>
          <cell r="P454">
            <v>11</v>
          </cell>
        </row>
        <row r="455">
          <cell r="B455" t="str">
            <v xml:space="preserve">XS </v>
          </cell>
          <cell r="C455">
            <v>34</v>
          </cell>
          <cell r="D455">
            <v>12.7</v>
          </cell>
          <cell r="E455">
            <v>1.25</v>
          </cell>
          <cell r="F455">
            <v>3.45</v>
          </cell>
          <cell r="G455">
            <v>18.54</v>
          </cell>
          <cell r="H455">
            <v>21.99</v>
          </cell>
          <cell r="I455">
            <v>3.45</v>
          </cell>
          <cell r="J455">
            <v>18.54</v>
          </cell>
          <cell r="K455">
            <v>21.99</v>
          </cell>
          <cell r="L455">
            <v>12</v>
          </cell>
          <cell r="P455">
            <v>12</v>
          </cell>
        </row>
        <row r="456">
          <cell r="B456" t="str">
            <v xml:space="preserve">XS </v>
          </cell>
          <cell r="C456">
            <v>36</v>
          </cell>
          <cell r="D456">
            <v>12.7</v>
          </cell>
          <cell r="E456">
            <v>1.25</v>
          </cell>
          <cell r="F456">
            <v>3.65</v>
          </cell>
          <cell r="G456">
            <v>18.84</v>
          </cell>
          <cell r="H456">
            <v>22.49</v>
          </cell>
          <cell r="I456">
            <v>3.65</v>
          </cell>
          <cell r="J456">
            <v>18.84</v>
          </cell>
          <cell r="K456">
            <v>22.49</v>
          </cell>
          <cell r="L456">
            <v>12</v>
          </cell>
          <cell r="P456">
            <v>12</v>
          </cell>
        </row>
        <row r="457">
          <cell r="B457" t="str">
            <v xml:space="preserve">XS </v>
          </cell>
          <cell r="C457">
            <v>38</v>
          </cell>
          <cell r="D457">
            <v>12.7</v>
          </cell>
          <cell r="E457">
            <v>1.25</v>
          </cell>
          <cell r="F457">
            <v>3.85</v>
          </cell>
          <cell r="G457">
            <v>19.89</v>
          </cell>
          <cell r="H457">
            <v>23.740000000000002</v>
          </cell>
          <cell r="I457">
            <v>3.85</v>
          </cell>
          <cell r="J457">
            <v>19.89</v>
          </cell>
          <cell r="K457">
            <v>23.740000000000002</v>
          </cell>
          <cell r="L457">
            <v>13</v>
          </cell>
          <cell r="P457">
            <v>13</v>
          </cell>
        </row>
        <row r="458">
          <cell r="B458" t="str">
            <v xml:space="preserve">XS </v>
          </cell>
          <cell r="C458">
            <v>40</v>
          </cell>
          <cell r="D458">
            <v>12.7</v>
          </cell>
          <cell r="E458">
            <v>1.25</v>
          </cell>
          <cell r="F458">
            <v>4.0599999999999996</v>
          </cell>
          <cell r="G458">
            <v>21.66</v>
          </cell>
          <cell r="H458">
            <v>25.72</v>
          </cell>
          <cell r="I458">
            <v>4.0599999999999996</v>
          </cell>
          <cell r="J458">
            <v>21.66</v>
          </cell>
          <cell r="K458">
            <v>25.72</v>
          </cell>
          <cell r="L458">
            <v>14</v>
          </cell>
          <cell r="P458">
            <v>14</v>
          </cell>
        </row>
        <row r="459">
          <cell r="B459" t="str">
            <v xml:space="preserve">XS </v>
          </cell>
          <cell r="C459">
            <v>42</v>
          </cell>
          <cell r="D459">
            <v>12.7</v>
          </cell>
          <cell r="E459">
            <v>1.25</v>
          </cell>
          <cell r="F459">
            <v>4.26</v>
          </cell>
          <cell r="G459">
            <v>22.74</v>
          </cell>
          <cell r="H459">
            <v>27</v>
          </cell>
          <cell r="I459">
            <v>4.26</v>
          </cell>
          <cell r="J459">
            <v>22.74</v>
          </cell>
          <cell r="K459">
            <v>27</v>
          </cell>
          <cell r="L459">
            <v>14</v>
          </cell>
          <cell r="P459">
            <v>14</v>
          </cell>
        </row>
        <row r="460">
          <cell r="B460" t="str">
            <v xml:space="preserve">XS </v>
          </cell>
          <cell r="C460">
            <v>44</v>
          </cell>
          <cell r="D460">
            <v>12.7</v>
          </cell>
          <cell r="E460">
            <v>1.25</v>
          </cell>
          <cell r="F460">
            <v>4.47</v>
          </cell>
          <cell r="G460">
            <v>27.16</v>
          </cell>
          <cell r="H460">
            <v>31.63</v>
          </cell>
          <cell r="I460">
            <v>4.47</v>
          </cell>
          <cell r="J460">
            <v>27.16</v>
          </cell>
          <cell r="K460">
            <v>31.63</v>
          </cell>
          <cell r="L460">
            <v>15</v>
          </cell>
          <cell r="P460">
            <v>15</v>
          </cell>
        </row>
        <row r="461">
          <cell r="B461" t="str">
            <v xml:space="preserve">XS </v>
          </cell>
          <cell r="C461">
            <v>46</v>
          </cell>
          <cell r="D461">
            <v>12.7</v>
          </cell>
          <cell r="E461">
            <v>1.25</v>
          </cell>
          <cell r="F461">
            <v>4.67</v>
          </cell>
          <cell r="G461">
            <v>28.4</v>
          </cell>
          <cell r="H461">
            <v>33.07</v>
          </cell>
          <cell r="I461">
            <v>4.67</v>
          </cell>
          <cell r="J461">
            <v>28.4</v>
          </cell>
          <cell r="K461">
            <v>33.07</v>
          </cell>
          <cell r="L461">
            <v>16</v>
          </cell>
          <cell r="P461">
            <v>16</v>
          </cell>
        </row>
        <row r="462">
          <cell r="B462" t="str">
            <v xml:space="preserve">XS </v>
          </cell>
          <cell r="C462">
            <v>48</v>
          </cell>
          <cell r="D462">
            <v>12.7</v>
          </cell>
          <cell r="E462">
            <v>1.25</v>
          </cell>
          <cell r="F462">
            <v>4.87</v>
          </cell>
          <cell r="G462">
            <v>29.63</v>
          </cell>
          <cell r="H462">
            <v>34.5</v>
          </cell>
          <cell r="I462">
            <v>4.87</v>
          </cell>
          <cell r="J462">
            <v>29.63</v>
          </cell>
          <cell r="K462">
            <v>34.5</v>
          </cell>
          <cell r="L462">
            <v>16</v>
          </cell>
          <cell r="P462">
            <v>16</v>
          </cell>
        </row>
        <row r="463">
          <cell r="B463" t="str">
            <v>XXS</v>
          </cell>
          <cell r="C463">
            <v>0.5</v>
          </cell>
          <cell r="D463">
            <v>7.47</v>
          </cell>
          <cell r="E463">
            <v>1</v>
          </cell>
          <cell r="F463">
            <v>7.0000000000000007E-2</v>
          </cell>
          <cell r="G463">
            <v>0.23</v>
          </cell>
          <cell r="H463">
            <v>0.30000000000000004</v>
          </cell>
          <cell r="I463">
            <v>7.0000000000000007E-2</v>
          </cell>
          <cell r="J463">
            <v>0.23</v>
          </cell>
          <cell r="K463">
            <v>0.30000000000000004</v>
          </cell>
          <cell r="L463">
            <v>2</v>
          </cell>
          <cell r="P463">
            <v>2</v>
          </cell>
        </row>
        <row r="464">
          <cell r="B464" t="str">
            <v>XXS</v>
          </cell>
          <cell r="C464">
            <v>0.5</v>
          </cell>
          <cell r="D464">
            <v>7.47</v>
          </cell>
          <cell r="E464">
            <v>1</v>
          </cell>
          <cell r="F464">
            <v>7.0000000000000007E-2</v>
          </cell>
          <cell r="G464">
            <v>0.23</v>
          </cell>
          <cell r="H464">
            <v>0.30000000000000004</v>
          </cell>
          <cell r="I464">
            <v>7.0000000000000007E-2</v>
          </cell>
          <cell r="J464">
            <v>0.23</v>
          </cell>
          <cell r="K464">
            <v>0.30000000000000004</v>
          </cell>
          <cell r="L464">
            <v>2</v>
          </cell>
          <cell r="P464">
            <v>2</v>
          </cell>
        </row>
        <row r="465">
          <cell r="B465" t="str">
            <v>XXS</v>
          </cell>
          <cell r="C465">
            <v>0.5</v>
          </cell>
          <cell r="D465">
            <v>7.47</v>
          </cell>
          <cell r="E465">
            <v>1</v>
          </cell>
          <cell r="F465">
            <v>7.0000000000000007E-2</v>
          </cell>
          <cell r="G465">
            <v>0.23</v>
          </cell>
          <cell r="H465">
            <v>0.30000000000000004</v>
          </cell>
          <cell r="I465">
            <v>7.0000000000000007E-2</v>
          </cell>
          <cell r="J465">
            <v>0.23</v>
          </cell>
          <cell r="K465">
            <v>0.30000000000000004</v>
          </cell>
          <cell r="L465">
            <v>0</v>
          </cell>
          <cell r="M465">
            <v>0</v>
          </cell>
          <cell r="N465">
            <v>0</v>
          </cell>
          <cell r="O465">
            <v>0</v>
          </cell>
          <cell r="P465">
            <v>2</v>
          </cell>
          <cell r="Q465">
            <v>0</v>
          </cell>
          <cell r="R465">
            <v>0</v>
          </cell>
        </row>
        <row r="466">
          <cell r="B466" t="str">
            <v>XXS</v>
          </cell>
          <cell r="C466">
            <v>0.75</v>
          </cell>
          <cell r="D466">
            <v>7.82</v>
          </cell>
          <cell r="E466">
            <v>1</v>
          </cell>
          <cell r="F466">
            <v>0.08</v>
          </cell>
          <cell r="G466">
            <v>0.22</v>
          </cell>
          <cell r="H466">
            <v>0.3</v>
          </cell>
          <cell r="I466">
            <v>0.08</v>
          </cell>
          <cell r="J466">
            <v>0.22</v>
          </cell>
          <cell r="K466">
            <v>0.3</v>
          </cell>
          <cell r="L466">
            <v>2</v>
          </cell>
          <cell r="P466">
            <v>2</v>
          </cell>
        </row>
        <row r="467">
          <cell r="B467" t="str">
            <v>XXS</v>
          </cell>
          <cell r="C467">
            <v>0.75</v>
          </cell>
          <cell r="D467">
            <v>7.82</v>
          </cell>
          <cell r="E467">
            <v>1</v>
          </cell>
          <cell r="F467">
            <v>0.08</v>
          </cell>
          <cell r="G467">
            <v>0.22</v>
          </cell>
          <cell r="H467">
            <v>0.3</v>
          </cell>
          <cell r="I467">
            <v>0.08</v>
          </cell>
          <cell r="J467">
            <v>0.22</v>
          </cell>
          <cell r="K467">
            <v>0.3</v>
          </cell>
          <cell r="L467">
            <v>2</v>
          </cell>
          <cell r="P467">
            <v>2</v>
          </cell>
        </row>
        <row r="468">
          <cell r="B468" t="str">
            <v>XXS</v>
          </cell>
          <cell r="C468">
            <v>0.75</v>
          </cell>
          <cell r="D468">
            <v>7.82</v>
          </cell>
          <cell r="E468">
            <v>1</v>
          </cell>
          <cell r="F468">
            <v>0.08</v>
          </cell>
          <cell r="G468">
            <v>0.22</v>
          </cell>
          <cell r="H468">
            <v>0.3</v>
          </cell>
          <cell r="I468">
            <v>0.08</v>
          </cell>
          <cell r="J468">
            <v>0.22</v>
          </cell>
          <cell r="K468">
            <v>0.3</v>
          </cell>
          <cell r="L468">
            <v>2</v>
          </cell>
          <cell r="P468">
            <v>2</v>
          </cell>
        </row>
        <row r="469">
          <cell r="B469" t="str">
            <v>XXS</v>
          </cell>
          <cell r="C469">
            <v>1</v>
          </cell>
          <cell r="D469">
            <v>9.09</v>
          </cell>
          <cell r="E469">
            <v>1</v>
          </cell>
          <cell r="F469">
            <v>0.1</v>
          </cell>
          <cell r="G469">
            <v>0.5</v>
          </cell>
          <cell r="H469">
            <v>0.6</v>
          </cell>
          <cell r="I469">
            <v>0.1</v>
          </cell>
          <cell r="J469">
            <v>0.5</v>
          </cell>
          <cell r="K469">
            <v>0.6</v>
          </cell>
          <cell r="L469">
            <v>2</v>
          </cell>
          <cell r="P469">
            <v>2</v>
          </cell>
        </row>
        <row r="470">
          <cell r="B470" t="str">
            <v>XXS</v>
          </cell>
          <cell r="C470">
            <v>1</v>
          </cell>
          <cell r="D470">
            <v>9.09</v>
          </cell>
          <cell r="E470">
            <v>1</v>
          </cell>
          <cell r="F470">
            <v>0.1</v>
          </cell>
          <cell r="G470">
            <v>0.5</v>
          </cell>
          <cell r="H470">
            <v>0.6</v>
          </cell>
          <cell r="I470">
            <v>0.1</v>
          </cell>
          <cell r="J470">
            <v>0.5</v>
          </cell>
          <cell r="K470">
            <v>0.6</v>
          </cell>
          <cell r="L470">
            <v>2</v>
          </cell>
          <cell r="P470">
            <v>2</v>
          </cell>
        </row>
        <row r="471">
          <cell r="B471" t="str">
            <v>XXS</v>
          </cell>
          <cell r="C471">
            <v>1</v>
          </cell>
          <cell r="D471">
            <v>9.09</v>
          </cell>
          <cell r="E471">
            <v>1</v>
          </cell>
          <cell r="F471">
            <v>0.1</v>
          </cell>
          <cell r="G471">
            <v>0.5</v>
          </cell>
          <cell r="H471">
            <v>0.6</v>
          </cell>
          <cell r="I471">
            <v>0.1</v>
          </cell>
          <cell r="J471">
            <v>0.5</v>
          </cell>
          <cell r="K471">
            <v>0.6</v>
          </cell>
          <cell r="L471">
            <v>2</v>
          </cell>
          <cell r="P471">
            <v>2</v>
          </cell>
        </row>
        <row r="472">
          <cell r="B472" t="str">
            <v>XXS</v>
          </cell>
          <cell r="C472">
            <v>1.25</v>
          </cell>
          <cell r="D472">
            <v>9.6999999999999993</v>
          </cell>
          <cell r="E472">
            <v>1</v>
          </cell>
          <cell r="F472">
            <v>0.13</v>
          </cell>
          <cell r="G472">
            <v>0.67</v>
          </cell>
          <cell r="H472">
            <v>0.8</v>
          </cell>
          <cell r="I472">
            <v>0.13</v>
          </cell>
          <cell r="J472">
            <v>0.67</v>
          </cell>
          <cell r="K472">
            <v>0.8</v>
          </cell>
          <cell r="L472">
            <v>2</v>
          </cell>
          <cell r="P472">
            <v>2</v>
          </cell>
        </row>
        <row r="473">
          <cell r="B473" t="str">
            <v>XXS</v>
          </cell>
          <cell r="C473">
            <v>1.25</v>
          </cell>
          <cell r="D473">
            <v>9.6999999999999993</v>
          </cell>
          <cell r="E473">
            <v>1</v>
          </cell>
          <cell r="F473">
            <v>0.13</v>
          </cell>
          <cell r="G473">
            <v>0.67</v>
          </cell>
          <cell r="H473">
            <v>0.8</v>
          </cell>
          <cell r="I473">
            <v>0.13</v>
          </cell>
          <cell r="J473">
            <v>0.67</v>
          </cell>
          <cell r="K473">
            <v>0.8</v>
          </cell>
          <cell r="L473">
            <v>2</v>
          </cell>
          <cell r="P473">
            <v>2</v>
          </cell>
        </row>
        <row r="474">
          <cell r="B474" t="str">
            <v>XXS</v>
          </cell>
          <cell r="C474">
            <v>1.25</v>
          </cell>
          <cell r="D474">
            <v>9.6999999999999993</v>
          </cell>
          <cell r="E474">
            <v>1</v>
          </cell>
          <cell r="F474">
            <v>0.13</v>
          </cell>
          <cell r="G474">
            <v>0.67</v>
          </cell>
          <cell r="H474">
            <v>0.8</v>
          </cell>
          <cell r="I474">
            <v>0.13</v>
          </cell>
          <cell r="J474">
            <v>0.67</v>
          </cell>
          <cell r="K474">
            <v>0.8</v>
          </cell>
          <cell r="L474">
            <v>2</v>
          </cell>
          <cell r="P474">
            <v>2</v>
          </cell>
        </row>
        <row r="475">
          <cell r="B475" t="str">
            <v>XXS</v>
          </cell>
          <cell r="C475">
            <v>1.5</v>
          </cell>
          <cell r="D475">
            <v>10.15</v>
          </cell>
          <cell r="E475">
            <v>1.25</v>
          </cell>
          <cell r="F475">
            <v>0.15</v>
          </cell>
          <cell r="G475">
            <v>0.75</v>
          </cell>
          <cell r="H475">
            <v>0.9</v>
          </cell>
          <cell r="I475">
            <v>0.15</v>
          </cell>
          <cell r="J475">
            <v>0.75</v>
          </cell>
          <cell r="K475">
            <v>0.9</v>
          </cell>
          <cell r="L475">
            <v>2</v>
          </cell>
          <cell r="P475">
            <v>2</v>
          </cell>
        </row>
        <row r="476">
          <cell r="B476" t="str">
            <v>XXS</v>
          </cell>
          <cell r="C476">
            <v>1.5</v>
          </cell>
          <cell r="D476">
            <v>10.15</v>
          </cell>
          <cell r="E476">
            <v>1.25</v>
          </cell>
          <cell r="F476">
            <v>0.15</v>
          </cell>
          <cell r="G476">
            <v>0.75</v>
          </cell>
          <cell r="H476">
            <v>0.9</v>
          </cell>
          <cell r="I476">
            <v>0.15</v>
          </cell>
          <cell r="J476">
            <v>0.75</v>
          </cell>
          <cell r="K476">
            <v>0.9</v>
          </cell>
          <cell r="L476">
            <v>2</v>
          </cell>
          <cell r="P476">
            <v>2</v>
          </cell>
        </row>
        <row r="477">
          <cell r="B477" t="str">
            <v>XXS</v>
          </cell>
          <cell r="C477">
            <v>1.5</v>
          </cell>
          <cell r="D477">
            <v>10.15</v>
          </cell>
          <cell r="E477">
            <v>1.25</v>
          </cell>
          <cell r="F477">
            <v>0.15</v>
          </cell>
          <cell r="G477">
            <v>0.75</v>
          </cell>
          <cell r="H477">
            <v>0.9</v>
          </cell>
          <cell r="I477">
            <v>0.15</v>
          </cell>
          <cell r="J477">
            <v>0.75</v>
          </cell>
          <cell r="K477">
            <v>0.9</v>
          </cell>
          <cell r="L477">
            <v>2</v>
          </cell>
          <cell r="P477">
            <v>2</v>
          </cell>
        </row>
        <row r="478">
          <cell r="B478" t="str">
            <v>XXS</v>
          </cell>
          <cell r="C478">
            <v>2</v>
          </cell>
          <cell r="D478">
            <v>11.07</v>
          </cell>
          <cell r="E478">
            <v>1.25</v>
          </cell>
          <cell r="F478">
            <v>0</v>
          </cell>
          <cell r="G478">
            <v>1</v>
          </cell>
          <cell r="H478">
            <v>1.2</v>
          </cell>
          <cell r="I478">
            <v>0.2</v>
          </cell>
          <cell r="J478">
            <v>1</v>
          </cell>
          <cell r="K478">
            <v>1.2</v>
          </cell>
          <cell r="L478">
            <v>4</v>
          </cell>
          <cell r="P478">
            <v>4</v>
          </cell>
        </row>
        <row r="479">
          <cell r="B479" t="str">
            <v>XXS</v>
          </cell>
          <cell r="C479">
            <v>2</v>
          </cell>
          <cell r="D479">
            <v>11.07</v>
          </cell>
          <cell r="E479">
            <v>1.25</v>
          </cell>
          <cell r="F479">
            <v>0.2</v>
          </cell>
          <cell r="G479">
            <v>1</v>
          </cell>
          <cell r="H479">
            <v>1.2</v>
          </cell>
          <cell r="I479">
            <v>0.2</v>
          </cell>
          <cell r="J479">
            <v>1</v>
          </cell>
          <cell r="K479">
            <v>1.2</v>
          </cell>
          <cell r="L479">
            <v>4</v>
          </cell>
          <cell r="P479">
            <v>4</v>
          </cell>
        </row>
        <row r="480">
          <cell r="B480" t="str">
            <v>XXS</v>
          </cell>
          <cell r="C480">
            <v>2</v>
          </cell>
          <cell r="D480">
            <v>11.07</v>
          </cell>
          <cell r="E480">
            <v>1.25</v>
          </cell>
          <cell r="F480">
            <v>0.2</v>
          </cell>
          <cell r="G480">
            <v>1</v>
          </cell>
          <cell r="H480">
            <v>1.2</v>
          </cell>
          <cell r="I480">
            <v>0.2</v>
          </cell>
          <cell r="J480">
            <v>1</v>
          </cell>
          <cell r="K480">
            <v>1.2</v>
          </cell>
          <cell r="L480">
            <v>4</v>
          </cell>
          <cell r="P480">
            <v>4</v>
          </cell>
        </row>
        <row r="481">
          <cell r="B481" t="str">
            <v>XXS</v>
          </cell>
          <cell r="C481">
            <v>2.5</v>
          </cell>
          <cell r="D481">
            <v>14.02</v>
          </cell>
          <cell r="E481">
            <v>1.25</v>
          </cell>
          <cell r="F481">
            <v>0.25</v>
          </cell>
          <cell r="G481">
            <v>1.7</v>
          </cell>
          <cell r="H481">
            <v>1.95</v>
          </cell>
          <cell r="I481">
            <v>0.25</v>
          </cell>
          <cell r="J481">
            <v>1.7</v>
          </cell>
          <cell r="K481">
            <v>1.95</v>
          </cell>
          <cell r="L481">
            <v>4</v>
          </cell>
          <cell r="P481">
            <v>4</v>
          </cell>
        </row>
        <row r="482">
          <cell r="B482" t="str">
            <v>XXS</v>
          </cell>
          <cell r="C482">
            <v>3</v>
          </cell>
          <cell r="D482">
            <v>15.24</v>
          </cell>
          <cell r="E482">
            <v>1.5</v>
          </cell>
          <cell r="F482">
            <v>0.3</v>
          </cell>
          <cell r="G482">
            <v>2.39</v>
          </cell>
          <cell r="H482">
            <v>2.69</v>
          </cell>
          <cell r="I482">
            <v>0.3</v>
          </cell>
          <cell r="J482">
            <v>2.39</v>
          </cell>
          <cell r="K482">
            <v>2.69</v>
          </cell>
          <cell r="L482">
            <v>4</v>
          </cell>
          <cell r="P482">
            <v>4</v>
          </cell>
        </row>
        <row r="483">
          <cell r="B483" t="str">
            <v>XXS</v>
          </cell>
          <cell r="C483">
            <v>4</v>
          </cell>
          <cell r="D483">
            <v>17.12</v>
          </cell>
          <cell r="E483">
            <v>1.5</v>
          </cell>
          <cell r="F483">
            <v>0.41</v>
          </cell>
          <cell r="G483">
            <v>4.09</v>
          </cell>
          <cell r="H483">
            <v>4.5</v>
          </cell>
          <cell r="I483">
            <v>0.41</v>
          </cell>
          <cell r="J483">
            <v>4.09</v>
          </cell>
          <cell r="K483">
            <v>4.5</v>
          </cell>
          <cell r="L483">
            <v>4</v>
          </cell>
          <cell r="P483">
            <v>4</v>
          </cell>
        </row>
        <row r="484">
          <cell r="B484" t="str">
            <v>XXS</v>
          </cell>
          <cell r="C484">
            <v>5</v>
          </cell>
          <cell r="D484">
            <v>19.05</v>
          </cell>
          <cell r="E484">
            <v>2</v>
          </cell>
          <cell r="F484">
            <v>0.51</v>
          </cell>
          <cell r="G484">
            <v>4.43</v>
          </cell>
          <cell r="H484">
            <v>4.9399999999999995</v>
          </cell>
          <cell r="I484">
            <v>0.51</v>
          </cell>
          <cell r="J484">
            <v>4.43</v>
          </cell>
          <cell r="K484">
            <v>4.9399999999999995</v>
          </cell>
          <cell r="L484">
            <v>4</v>
          </cell>
          <cell r="P484">
            <v>4</v>
          </cell>
        </row>
        <row r="485">
          <cell r="B485" t="str">
            <v>XXS</v>
          </cell>
          <cell r="C485">
            <v>6</v>
          </cell>
          <cell r="D485">
            <v>21.95</v>
          </cell>
          <cell r="E485">
            <v>2</v>
          </cell>
          <cell r="F485">
            <v>0.61</v>
          </cell>
          <cell r="G485">
            <v>8.09</v>
          </cell>
          <cell r="H485">
            <v>8.6999999999999993</v>
          </cell>
          <cell r="I485">
            <v>0.61</v>
          </cell>
          <cell r="J485">
            <v>8.09</v>
          </cell>
          <cell r="K485">
            <v>8.6999999999999993</v>
          </cell>
          <cell r="L485">
            <v>4</v>
          </cell>
          <cell r="P485">
            <v>4</v>
          </cell>
        </row>
        <row r="486">
          <cell r="B486" t="str">
            <v>XXS</v>
          </cell>
          <cell r="C486">
            <v>8</v>
          </cell>
          <cell r="D486">
            <v>22.23</v>
          </cell>
          <cell r="E486">
            <v>2</v>
          </cell>
          <cell r="F486">
            <v>0.81</v>
          </cell>
          <cell r="G486">
            <v>11.49</v>
          </cell>
          <cell r="H486">
            <v>12.3</v>
          </cell>
          <cell r="I486">
            <v>0.81</v>
          </cell>
          <cell r="J486">
            <v>11.49</v>
          </cell>
          <cell r="K486">
            <v>12.3</v>
          </cell>
          <cell r="L486">
            <v>4</v>
          </cell>
          <cell r="P486">
            <v>4</v>
          </cell>
        </row>
        <row r="487">
          <cell r="B487" t="str">
            <v>XXS</v>
          </cell>
          <cell r="C487">
            <v>10</v>
          </cell>
          <cell r="D487">
            <v>25.4</v>
          </cell>
          <cell r="E487" t="str">
            <v>N</v>
          </cell>
          <cell r="F487">
            <v>1.01</v>
          </cell>
          <cell r="G487">
            <v>18.489999999999998</v>
          </cell>
          <cell r="H487">
            <v>19.5</v>
          </cell>
          <cell r="I487">
            <v>1.01</v>
          </cell>
          <cell r="J487">
            <v>18.489999999999998</v>
          </cell>
          <cell r="K487">
            <v>19.5</v>
          </cell>
          <cell r="L487">
            <v>4</v>
          </cell>
          <cell r="P487">
            <v>4</v>
          </cell>
        </row>
        <row r="488">
          <cell r="B488" t="str">
            <v>XXS</v>
          </cell>
          <cell r="C488">
            <v>12</v>
          </cell>
          <cell r="D488">
            <v>25.4</v>
          </cell>
          <cell r="E488" t="str">
            <v>N</v>
          </cell>
          <cell r="F488">
            <v>1.22</v>
          </cell>
          <cell r="G488">
            <v>21.27</v>
          </cell>
          <cell r="H488">
            <v>22.49</v>
          </cell>
          <cell r="I488">
            <v>1.22</v>
          </cell>
          <cell r="J488">
            <v>21.27</v>
          </cell>
          <cell r="K488">
            <v>22.49</v>
          </cell>
          <cell r="L488">
            <v>6</v>
          </cell>
          <cell r="P488">
            <v>6</v>
          </cell>
        </row>
        <row r="489">
          <cell r="B489">
            <v>8.73</v>
          </cell>
          <cell r="C489">
            <v>64</v>
          </cell>
          <cell r="D489">
            <v>8.73</v>
          </cell>
          <cell r="E489">
            <v>1</v>
          </cell>
          <cell r="F489">
            <v>6.49</v>
          </cell>
          <cell r="G489">
            <v>20.29</v>
          </cell>
          <cell r="H489">
            <v>26.78</v>
          </cell>
          <cell r="I489">
            <v>6.49</v>
          </cell>
          <cell r="J489">
            <v>20.29</v>
          </cell>
          <cell r="K489">
            <v>26.78</v>
          </cell>
          <cell r="L489">
            <v>21</v>
          </cell>
          <cell r="P489">
            <v>21</v>
          </cell>
        </row>
      </sheetData>
      <sheetData sheetId="2" refreshError="1"/>
      <sheetData sheetId="3" refreshError="1"/>
      <sheetData sheetId="4"/>
      <sheetData sheetId="5"/>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refreshError="1"/>
      <sheetData sheetId="44" refreshError="1"/>
      <sheetData sheetId="45" refreshError="1"/>
      <sheetData sheetId="46" refreshError="1"/>
      <sheetData sheetId="47" refreshError="1"/>
      <sheetData sheetId="48"/>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sheetData sheetId="60" refreshError="1"/>
      <sheetData sheetId="61" refreshError="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refreshError="1"/>
      <sheetData sheetId="87" refreshError="1"/>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refreshError="1"/>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refreshError="1"/>
      <sheetData sheetId="292"/>
      <sheetData sheetId="293"/>
      <sheetData sheetId="294"/>
      <sheetData sheetId="295"/>
      <sheetData sheetId="296"/>
      <sheetData sheetId="297"/>
      <sheetData sheetId="298" refreshError="1"/>
      <sheetData sheetId="299" refreshError="1"/>
      <sheetData sheetId="300" refreshError="1"/>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refreshError="1"/>
      <sheetData sheetId="521" refreshError="1"/>
      <sheetData sheetId="522" refreshError="1"/>
      <sheetData sheetId="523" refreshError="1"/>
      <sheetData sheetId="524" refreshError="1"/>
      <sheetData sheetId="525" refreshError="1"/>
      <sheetData sheetId="526" refreshError="1"/>
      <sheetData sheetId="527"/>
      <sheetData sheetId="528" refreshError="1"/>
      <sheetData sheetId="529"/>
      <sheetData sheetId="530"/>
      <sheetData sheetId="531" refreshError="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refreshError="1"/>
      <sheetData sheetId="554" refreshError="1"/>
      <sheetData sheetId="555" refreshError="1"/>
      <sheetData sheetId="556" refreshError="1"/>
      <sheetData sheetId="557" refreshError="1"/>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refreshError="1"/>
      <sheetData sheetId="573" refreshError="1"/>
      <sheetData sheetId="574" refreshError="1"/>
      <sheetData sheetId="575" refreshError="1"/>
      <sheetData sheetId="576"/>
      <sheetData sheetId="577"/>
      <sheetData sheetId="578"/>
      <sheetData sheetId="579"/>
      <sheetData sheetId="580"/>
      <sheetData sheetId="581"/>
      <sheetData sheetId="582"/>
      <sheetData sheetId="583"/>
      <sheetData sheetId="584"/>
      <sheetData sheetId="585"/>
      <sheetData sheetId="586" refreshError="1"/>
      <sheetData sheetId="587" refreshError="1"/>
      <sheetData sheetId="588"/>
      <sheetData sheetId="589" refreshError="1"/>
      <sheetData sheetId="590" refreshError="1"/>
      <sheetData sheetId="591"/>
      <sheetData sheetId="592" refreshError="1"/>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refreshError="1"/>
      <sheetData sheetId="608"/>
      <sheetData sheetId="609" refreshError="1"/>
      <sheetData sheetId="610"/>
      <sheetData sheetId="611" refreshError="1"/>
      <sheetData sheetId="612"/>
      <sheetData sheetId="613"/>
      <sheetData sheetId="614" refreshError="1"/>
      <sheetData sheetId="615" refreshError="1"/>
      <sheetData sheetId="616" refreshError="1"/>
      <sheetData sheetId="617" refreshError="1"/>
      <sheetData sheetId="618" refreshError="1"/>
      <sheetData sheetId="619" refreshError="1"/>
      <sheetData sheetId="620" refreshError="1"/>
      <sheetData sheetId="621" refreshError="1"/>
      <sheetData sheetId="622"/>
      <sheetData sheetId="623" refreshError="1"/>
      <sheetData sheetId="624" refreshError="1"/>
      <sheetData sheetId="625" refreshError="1"/>
      <sheetData sheetId="626" refreshError="1"/>
      <sheetData sheetId="627" refreshError="1"/>
      <sheetData sheetId="628" refreshError="1"/>
      <sheetData sheetId="629" refreshError="1"/>
      <sheetData sheetId="630" refreshError="1"/>
      <sheetData sheetId="631" refreshError="1"/>
      <sheetData sheetId="632" refreshError="1"/>
      <sheetData sheetId="633" refreshError="1"/>
      <sheetData sheetId="634" refreshError="1"/>
      <sheetData sheetId="635" refreshError="1"/>
      <sheetData sheetId="636" refreshError="1"/>
      <sheetData sheetId="637" refreshError="1"/>
      <sheetData sheetId="638" refreshError="1"/>
      <sheetData sheetId="639" refreshError="1"/>
      <sheetData sheetId="640" refreshError="1"/>
      <sheetData sheetId="641" refreshError="1"/>
      <sheetData sheetId="642" refreshError="1"/>
      <sheetData sheetId="643" refreshError="1"/>
      <sheetData sheetId="644" refreshError="1"/>
      <sheetData sheetId="645" refreshError="1"/>
      <sheetData sheetId="646" refreshError="1"/>
      <sheetData sheetId="647" refreshError="1"/>
      <sheetData sheetId="648"/>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X FWD KS"/>
      <sheetName val="ESTI."/>
      <sheetName val="DI-ESTI"/>
    </sheetNames>
    <sheetDataSet>
      <sheetData sheetId="0"/>
      <sheetData sheetId="1" refreshError="1"/>
      <sheetData sheetId="2"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nghop"/>
      <sheetName val="0"/>
      <sheetName val="4"/>
      <sheetName val="5"/>
      <sheetName val="6"/>
      <sheetName val="7"/>
      <sheetName val="8"/>
      <sheetName val="9"/>
      <sheetName val="10"/>
      <sheetName val="11"/>
      <sheetName val="12"/>
      <sheetName val="13"/>
      <sheetName val="14"/>
      <sheetName val="15"/>
      <sheetName val="16"/>
      <sheetName val="Gia_GC_Satthep"/>
      <sheetName val="Du Toan"/>
      <sheetName val="FX FWD 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H-sl-mong"/>
      <sheetName val="TH-sl-cot"/>
      <sheetName val="Sheet1"/>
      <sheetName val="Sheet3"/>
      <sheetName val="Tiepdia"/>
      <sheetName val="Tong_ke_toantuyen_Mau_TV2"/>
      <sheetName val="TK_DD-G1"/>
      <sheetName val="TK_G1-G3"/>
      <sheetName val="TK_G3-G8"/>
      <sheetName val="TK_G8-G13"/>
      <sheetName val="TK_G13-G16"/>
      <sheetName val="TK_G16-G20"/>
      <sheetName val="TK_G20-G25"/>
      <sheetName val="TK_G25-G27"/>
      <sheetName val="TK_G27-G28"/>
      <sheetName val="TK_G28-G29"/>
      <sheetName val="TK_G29-G32"/>
      <sheetName val="TK_G32-G33"/>
      <sheetName val="TK_G33-G34"/>
      <sheetName val="TK_G34-G35"/>
      <sheetName val="TK_G35-G36"/>
      <sheetName val="00000000"/>
      <sheetName val="10000000"/>
      <sheetName val="giathanh1"/>
      <sheetName val="4"/>
    </sheetNames>
    <sheetDataSet>
      <sheetData sheetId="0" refreshError="1"/>
      <sheetData sheetId="1" refreshError="1"/>
      <sheetData sheetId="2" refreshError="1"/>
      <sheetData sheetId="3" refreshError="1"/>
      <sheetData sheetId="4" refreshError="1">
        <row r="1">
          <cell r="A1" t="str">
            <v>TÍNH TOAÙN CHI TIEÁT TIEÁP ÑÒA ÑÖÔØNG DAÂY 500KV ÑAØ NAÜNG - HAØ TÓNH</v>
          </cell>
        </row>
        <row r="2">
          <cell r="A2" t="str">
            <v>STT</v>
          </cell>
          <cell r="B2" t="str">
            <v>TEÂN COÄT</v>
          </cell>
          <cell r="C2" t="str">
            <v>COÂNG DUÏNG</v>
          </cell>
          <cell r="D2" t="str">
            <v>LOAÏI MOÙNG</v>
          </cell>
          <cell r="E2" t="str">
            <v>Ñieän trôû suaát cuûa ñaát taïi ñoä saâu trung bình choân tieáp ñòa (W.m)</v>
          </cell>
          <cell r="F2" t="str">
            <v>Hình thöùc noái ñaát</v>
          </cell>
          <cell r="G2" t="str">
            <v>Rnñ(&lt;...W)</v>
          </cell>
          <cell r="H2" t="str">
            <v>RCP(W)</v>
          </cell>
          <cell r="I2" t="str">
            <v>Ghi chuù</v>
          </cell>
          <cell r="L2" t="str">
            <v>1T-1</v>
          </cell>
          <cell r="M2" t="str">
            <v>1T-2</v>
          </cell>
          <cell r="N2" t="str">
            <v>1T-3</v>
          </cell>
          <cell r="O2" t="str">
            <v>1T-4</v>
          </cell>
          <cell r="P2" t="str">
            <v>1T-5</v>
          </cell>
          <cell r="Q2" t="str">
            <v>1T-6</v>
          </cell>
          <cell r="R2" t="str">
            <v>1T-7</v>
          </cell>
          <cell r="S2" t="str">
            <v>1T-8</v>
          </cell>
          <cell r="T2" t="str">
            <v>1T-9</v>
          </cell>
          <cell r="U2" t="str">
            <v>1T-10</v>
          </cell>
          <cell r="V2" t="str">
            <v>1T-MB</v>
          </cell>
          <cell r="W2" t="str">
            <v>1TC-1</v>
          </cell>
          <cell r="X2" t="str">
            <v>1TC-2</v>
          </cell>
          <cell r="Y2" t="str">
            <v>1TC-3</v>
          </cell>
          <cell r="Z2" t="str">
            <v>1TC-4</v>
          </cell>
          <cell r="AA2" t="str">
            <v>3TC-1</v>
          </cell>
          <cell r="AB2" t="str">
            <v>3TC-2</v>
          </cell>
          <cell r="AC2" t="str">
            <v>3TC-3</v>
          </cell>
          <cell r="AD2" t="str">
            <v>3T-1</v>
          </cell>
          <cell r="AE2" t="str">
            <v>3T-2</v>
          </cell>
          <cell r="AF2" t="str">
            <v>3T-3</v>
          </cell>
          <cell r="AG2" t="str">
            <v>3T-4</v>
          </cell>
          <cell r="AH2" t="str">
            <v>3T-5</v>
          </cell>
          <cell r="AI2" t="str">
            <v>3T-6</v>
          </cell>
          <cell r="AJ2" t="str">
            <v>3T-7</v>
          </cell>
          <cell r="AK2" t="str">
            <v>3T-8</v>
          </cell>
          <cell r="AL2" t="str">
            <v>3T-9</v>
          </cell>
        </row>
        <row r="3">
          <cell r="A3">
            <v>1</v>
          </cell>
          <cell r="B3" t="str">
            <v>N513-30B</v>
          </cell>
          <cell r="C3" t="str">
            <v xml:space="preserve">Neùo goùc </v>
          </cell>
          <cell r="D3" t="str">
            <v>3x4T34 - 34B</v>
          </cell>
          <cell r="E3">
            <v>1602.2</v>
          </cell>
          <cell r="F3" t="str">
            <v>3TC-2</v>
          </cell>
          <cell r="G3">
            <v>28.008481799299783</v>
          </cell>
          <cell r="H3">
            <v>30</v>
          </cell>
          <cell r="K3">
            <v>0</v>
          </cell>
          <cell r="L3">
            <v>0</v>
          </cell>
          <cell r="M3">
            <v>0</v>
          </cell>
          <cell r="N3">
            <v>0</v>
          </cell>
          <cell r="O3">
            <v>0</v>
          </cell>
          <cell r="P3">
            <v>0</v>
          </cell>
          <cell r="Q3">
            <v>0</v>
          </cell>
          <cell r="R3">
            <v>0</v>
          </cell>
          <cell r="S3">
            <v>0</v>
          </cell>
          <cell r="T3">
            <v>0</v>
          </cell>
          <cell r="U3">
            <v>0</v>
          </cell>
          <cell r="V3">
            <v>0</v>
          </cell>
          <cell r="W3">
            <v>0</v>
          </cell>
          <cell r="X3">
            <v>0</v>
          </cell>
          <cell r="Y3">
            <v>0</v>
          </cell>
          <cell r="Z3">
            <v>0</v>
          </cell>
          <cell r="AA3">
            <v>0</v>
          </cell>
          <cell r="AB3">
            <v>1</v>
          </cell>
          <cell r="AC3">
            <v>0</v>
          </cell>
          <cell r="AD3">
            <v>0</v>
          </cell>
          <cell r="AE3">
            <v>0</v>
          </cell>
          <cell r="AF3">
            <v>0</v>
          </cell>
          <cell r="AG3">
            <v>0</v>
          </cell>
          <cell r="AH3">
            <v>0</v>
          </cell>
          <cell r="AI3">
            <v>0</v>
          </cell>
          <cell r="AJ3">
            <v>0</v>
          </cell>
          <cell r="AK3">
            <v>0</v>
          </cell>
          <cell r="AL3">
            <v>0</v>
          </cell>
        </row>
        <row r="4">
          <cell r="A4">
            <v>2</v>
          </cell>
          <cell r="B4" t="str">
            <v>Ñ51-38B</v>
          </cell>
          <cell r="C4" t="str">
            <v>Ñôõ thaúng</v>
          </cell>
          <cell r="D4" t="str">
            <v>4T34 - 30C</v>
          </cell>
          <cell r="E4">
            <v>1131</v>
          </cell>
          <cell r="F4" t="str">
            <v>1TC-2</v>
          </cell>
          <cell r="G4">
            <v>29.06514850766386</v>
          </cell>
          <cell r="H4">
            <v>30</v>
          </cell>
          <cell r="K4">
            <v>0</v>
          </cell>
          <cell r="L4">
            <v>0</v>
          </cell>
          <cell r="M4">
            <v>0</v>
          </cell>
          <cell r="N4">
            <v>0</v>
          </cell>
          <cell r="O4">
            <v>0</v>
          </cell>
          <cell r="P4">
            <v>0</v>
          </cell>
          <cell r="Q4">
            <v>0</v>
          </cell>
          <cell r="R4">
            <v>0</v>
          </cell>
          <cell r="S4">
            <v>0</v>
          </cell>
          <cell r="T4">
            <v>0</v>
          </cell>
          <cell r="U4">
            <v>0</v>
          </cell>
          <cell r="V4">
            <v>0</v>
          </cell>
          <cell r="W4">
            <v>0</v>
          </cell>
          <cell r="X4">
            <v>1</v>
          </cell>
          <cell r="Y4">
            <v>0</v>
          </cell>
          <cell r="Z4">
            <v>0</v>
          </cell>
          <cell r="AA4">
            <v>0</v>
          </cell>
          <cell r="AB4">
            <v>0</v>
          </cell>
          <cell r="AC4">
            <v>0</v>
          </cell>
          <cell r="AD4">
            <v>0</v>
          </cell>
          <cell r="AE4">
            <v>0</v>
          </cell>
          <cell r="AF4">
            <v>0</v>
          </cell>
          <cell r="AG4">
            <v>0</v>
          </cell>
          <cell r="AH4">
            <v>0</v>
          </cell>
          <cell r="AI4">
            <v>0</v>
          </cell>
          <cell r="AJ4">
            <v>0</v>
          </cell>
          <cell r="AK4">
            <v>0</v>
          </cell>
          <cell r="AL4">
            <v>0</v>
          </cell>
        </row>
        <row r="5">
          <cell r="A5">
            <v>3</v>
          </cell>
          <cell r="B5" t="str">
            <v>Ñ51-28B</v>
          </cell>
          <cell r="C5" t="str">
            <v>Ñôõ thaúng</v>
          </cell>
          <cell r="D5" t="str">
            <v>4T34 - 30A</v>
          </cell>
          <cell r="E5">
            <v>1809.6</v>
          </cell>
          <cell r="F5" t="str">
            <v>1T-4</v>
          </cell>
          <cell r="G5">
            <v>26.195974197430541</v>
          </cell>
          <cell r="H5">
            <v>30</v>
          </cell>
          <cell r="K5">
            <v>0</v>
          </cell>
          <cell r="L5">
            <v>0</v>
          </cell>
          <cell r="M5">
            <v>0</v>
          </cell>
          <cell r="N5">
            <v>0</v>
          </cell>
          <cell r="O5">
            <v>1</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cell r="AI5">
            <v>0</v>
          </cell>
          <cell r="AJ5">
            <v>0</v>
          </cell>
          <cell r="AK5">
            <v>0</v>
          </cell>
          <cell r="AL5">
            <v>0</v>
          </cell>
        </row>
        <row r="6">
          <cell r="A6">
            <v>4</v>
          </cell>
          <cell r="B6" t="str">
            <v>Ñ51-28B</v>
          </cell>
          <cell r="C6" t="str">
            <v>Ñôõ thaúng</v>
          </cell>
          <cell r="D6" t="str">
            <v>4T38 - 34A</v>
          </cell>
          <cell r="E6">
            <v>960.84</v>
          </cell>
          <cell r="F6" t="str">
            <v>1T-3</v>
          </cell>
          <cell r="G6">
            <v>18.602540802532868</v>
          </cell>
          <cell r="H6">
            <v>20</v>
          </cell>
          <cell r="K6">
            <v>0</v>
          </cell>
          <cell r="L6">
            <v>0</v>
          </cell>
          <cell r="M6">
            <v>0</v>
          </cell>
          <cell r="N6">
            <v>1</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cell r="AI6">
            <v>0</v>
          </cell>
          <cell r="AJ6">
            <v>0</v>
          </cell>
          <cell r="AK6">
            <v>0</v>
          </cell>
          <cell r="AL6">
            <v>0</v>
          </cell>
        </row>
        <row r="7">
          <cell r="A7">
            <v>5</v>
          </cell>
          <cell r="B7" t="str">
            <v>Ñ51-28C</v>
          </cell>
          <cell r="C7" t="str">
            <v>Ñôõ thaúng</v>
          </cell>
          <cell r="D7" t="str">
            <v>4T34 - 34A</v>
          </cell>
          <cell r="E7">
            <v>414.48</v>
          </cell>
          <cell r="F7" t="str">
            <v>1T-1</v>
          </cell>
          <cell r="G7">
            <v>12.800090251691008</v>
          </cell>
          <cell r="H7">
            <v>15</v>
          </cell>
          <cell r="K7">
            <v>0</v>
          </cell>
          <cell r="L7">
            <v>1</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cell r="AI7">
            <v>0</v>
          </cell>
          <cell r="AJ7">
            <v>0</v>
          </cell>
          <cell r="AK7">
            <v>0</v>
          </cell>
          <cell r="AL7">
            <v>0</v>
          </cell>
        </row>
        <row r="8">
          <cell r="A8">
            <v>6</v>
          </cell>
          <cell r="B8" t="str">
            <v>Ñ51-42C</v>
          </cell>
          <cell r="C8" t="str">
            <v>Ñôõ thaúng</v>
          </cell>
          <cell r="D8" t="str">
            <v>4T38 - 40D</v>
          </cell>
          <cell r="E8">
            <v>334.41</v>
          </cell>
          <cell r="F8" t="str">
            <v>1TC-1</v>
          </cell>
          <cell r="G8">
            <v>9.8611166099632843</v>
          </cell>
          <cell r="H8">
            <v>15</v>
          </cell>
          <cell r="K8">
            <v>0</v>
          </cell>
          <cell r="L8">
            <v>0</v>
          </cell>
          <cell r="M8">
            <v>0</v>
          </cell>
          <cell r="N8">
            <v>0</v>
          </cell>
          <cell r="O8">
            <v>0</v>
          </cell>
          <cell r="P8">
            <v>0</v>
          </cell>
          <cell r="Q8">
            <v>0</v>
          </cell>
          <cell r="R8">
            <v>0</v>
          </cell>
          <cell r="S8">
            <v>0</v>
          </cell>
          <cell r="T8">
            <v>0</v>
          </cell>
          <cell r="U8">
            <v>0</v>
          </cell>
          <cell r="V8">
            <v>0</v>
          </cell>
          <cell r="W8">
            <v>1</v>
          </cell>
          <cell r="X8">
            <v>0</v>
          </cell>
          <cell r="Y8">
            <v>0</v>
          </cell>
          <cell r="Z8">
            <v>0</v>
          </cell>
          <cell r="AA8">
            <v>0</v>
          </cell>
          <cell r="AB8">
            <v>0</v>
          </cell>
          <cell r="AC8">
            <v>0</v>
          </cell>
          <cell r="AD8">
            <v>0</v>
          </cell>
          <cell r="AE8">
            <v>0</v>
          </cell>
          <cell r="AF8">
            <v>0</v>
          </cell>
          <cell r="AG8">
            <v>0</v>
          </cell>
          <cell r="AH8">
            <v>0</v>
          </cell>
          <cell r="AI8">
            <v>0</v>
          </cell>
          <cell r="AJ8">
            <v>0</v>
          </cell>
          <cell r="AK8">
            <v>0</v>
          </cell>
          <cell r="AL8">
            <v>0</v>
          </cell>
        </row>
        <row r="9">
          <cell r="A9">
            <v>7</v>
          </cell>
          <cell r="B9" t="str">
            <v>Ñ51-34B</v>
          </cell>
          <cell r="C9" t="str">
            <v>Ñôõ thaúng</v>
          </cell>
          <cell r="D9" t="str">
            <v>4T38 - 30B</v>
          </cell>
          <cell r="E9">
            <v>273.18</v>
          </cell>
          <cell r="F9" t="str">
            <v>1T-1</v>
          </cell>
          <cell r="G9">
            <v>8.4819875161807872</v>
          </cell>
          <cell r="H9">
            <v>15</v>
          </cell>
          <cell r="K9">
            <v>0</v>
          </cell>
          <cell r="L9">
            <v>1</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row>
        <row r="10">
          <cell r="A10">
            <v>8</v>
          </cell>
          <cell r="B10" t="str">
            <v>Ñ51-42C</v>
          </cell>
          <cell r="C10" t="str">
            <v>Ñôõ thaúng</v>
          </cell>
          <cell r="D10" t="str">
            <v>4T38 - 40D</v>
          </cell>
          <cell r="E10">
            <v>372.09</v>
          </cell>
          <cell r="F10" t="str">
            <v>1TC-1</v>
          </cell>
          <cell r="G10">
            <v>11.038563369361887</v>
          </cell>
          <cell r="H10">
            <v>15</v>
          </cell>
          <cell r="K10">
            <v>0</v>
          </cell>
          <cell r="L10">
            <v>0</v>
          </cell>
          <cell r="M10">
            <v>0</v>
          </cell>
          <cell r="N10">
            <v>0</v>
          </cell>
          <cell r="O10">
            <v>0</v>
          </cell>
          <cell r="P10">
            <v>0</v>
          </cell>
          <cell r="Q10">
            <v>0</v>
          </cell>
          <cell r="R10">
            <v>0</v>
          </cell>
          <cell r="S10">
            <v>0</v>
          </cell>
          <cell r="T10">
            <v>0</v>
          </cell>
          <cell r="U10">
            <v>0</v>
          </cell>
          <cell r="V10">
            <v>0</v>
          </cell>
          <cell r="W10">
            <v>1</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row>
        <row r="11">
          <cell r="A11">
            <v>9</v>
          </cell>
          <cell r="B11" t="str">
            <v>Ñ51-28B</v>
          </cell>
          <cell r="C11" t="str">
            <v xml:space="preserve">Ñôõ thaúng </v>
          </cell>
          <cell r="D11" t="str">
            <v>4T34 - 30A</v>
          </cell>
          <cell r="E11">
            <v>2392.6799999999998</v>
          </cell>
          <cell r="F11" t="str">
            <v>1T-5</v>
          </cell>
          <cell r="G11">
            <v>27.313479273118901</v>
          </cell>
          <cell r="H11">
            <v>30</v>
          </cell>
          <cell r="K11">
            <v>0</v>
          </cell>
          <cell r="L11">
            <v>0</v>
          </cell>
          <cell r="M11">
            <v>0</v>
          </cell>
          <cell r="N11">
            <v>0</v>
          </cell>
          <cell r="O11">
            <v>0</v>
          </cell>
          <cell r="P11">
            <v>1</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row>
        <row r="12">
          <cell r="A12">
            <v>10</v>
          </cell>
          <cell r="B12" t="str">
            <v>N513-28B</v>
          </cell>
          <cell r="C12" t="str">
            <v>Neùo thaúng</v>
          </cell>
          <cell r="D12" t="str">
            <v>3x4T38 - 38A</v>
          </cell>
          <cell r="E12">
            <v>979.68</v>
          </cell>
          <cell r="F12" t="str">
            <v>3TC-2</v>
          </cell>
          <cell r="G12">
            <v>17.101752126675258</v>
          </cell>
          <cell r="H12">
            <v>20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1</v>
          </cell>
          <cell r="AC12">
            <v>0</v>
          </cell>
          <cell r="AD12">
            <v>0</v>
          </cell>
          <cell r="AE12">
            <v>0</v>
          </cell>
          <cell r="AF12">
            <v>0</v>
          </cell>
          <cell r="AG12">
            <v>0</v>
          </cell>
          <cell r="AH12">
            <v>0</v>
          </cell>
          <cell r="AI12">
            <v>0</v>
          </cell>
          <cell r="AJ12">
            <v>0</v>
          </cell>
          <cell r="AK12">
            <v>0</v>
          </cell>
          <cell r="AL12">
            <v>0</v>
          </cell>
        </row>
        <row r="13">
          <cell r="A13">
            <v>11</v>
          </cell>
          <cell r="B13" t="str">
            <v>N513-28B</v>
          </cell>
          <cell r="C13" t="str">
            <v>Neùo thaúng</v>
          </cell>
          <cell r="D13" t="str">
            <v>3x4T38 - 38A</v>
          </cell>
          <cell r="E13">
            <v>2279.64</v>
          </cell>
          <cell r="F13" t="str">
            <v>3T-4</v>
          </cell>
          <cell r="G13">
            <v>26.461304923376726</v>
          </cell>
          <cell r="H13">
            <v>30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1</v>
          </cell>
          <cell r="AH13">
            <v>0</v>
          </cell>
          <cell r="AI13">
            <v>0</v>
          </cell>
          <cell r="AJ13">
            <v>0</v>
          </cell>
          <cell r="AK13">
            <v>0</v>
          </cell>
          <cell r="AL13">
            <v>0</v>
          </cell>
        </row>
        <row r="14">
          <cell r="A14">
            <v>12</v>
          </cell>
          <cell r="B14" t="str">
            <v>Ñ51-38C</v>
          </cell>
          <cell r="C14" t="str">
            <v>Ñôõ thaúng</v>
          </cell>
          <cell r="D14" t="str">
            <v>4T38 - 36C</v>
          </cell>
          <cell r="E14">
            <v>2355</v>
          </cell>
          <cell r="F14" t="str">
            <v>1T-5</v>
          </cell>
          <cell r="G14">
            <v>26.914326131340548</v>
          </cell>
          <cell r="H14">
            <v>30</v>
          </cell>
          <cell r="K14">
            <v>0</v>
          </cell>
          <cell r="L14">
            <v>0</v>
          </cell>
          <cell r="M14">
            <v>0</v>
          </cell>
          <cell r="N14">
            <v>0</v>
          </cell>
          <cell r="O14">
            <v>0</v>
          </cell>
          <cell r="P14">
            <v>1</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row>
        <row r="15">
          <cell r="A15">
            <v>13</v>
          </cell>
          <cell r="B15" t="str">
            <v>Ñ51-34C</v>
          </cell>
          <cell r="C15" t="str">
            <v>Ñôõ thaúng</v>
          </cell>
          <cell r="D15" t="str">
            <v>4T38 - 34B</v>
          </cell>
          <cell r="E15">
            <v>1714.44</v>
          </cell>
          <cell r="F15" t="str">
            <v>1T-4</v>
          </cell>
          <cell r="G15">
            <v>24.821047374913473</v>
          </cell>
          <cell r="H15">
            <v>30</v>
          </cell>
          <cell r="K15">
            <v>0</v>
          </cell>
          <cell r="L15">
            <v>0</v>
          </cell>
          <cell r="M15">
            <v>0</v>
          </cell>
          <cell r="N15">
            <v>0</v>
          </cell>
          <cell r="O15">
            <v>1</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row>
        <row r="16">
          <cell r="A16">
            <v>14</v>
          </cell>
          <cell r="B16" t="str">
            <v>Ñ51-38C</v>
          </cell>
          <cell r="C16" t="str">
            <v>Ñôõ thaúng</v>
          </cell>
          <cell r="D16" t="str">
            <v>4T38 - 36C</v>
          </cell>
          <cell r="E16">
            <v>1130.4000000000001</v>
          </cell>
          <cell r="F16" t="str">
            <v>1TC-2</v>
          </cell>
          <cell r="G16">
            <v>29.06514850766386</v>
          </cell>
          <cell r="H16">
            <v>30</v>
          </cell>
          <cell r="K16">
            <v>0</v>
          </cell>
          <cell r="L16">
            <v>0</v>
          </cell>
          <cell r="M16">
            <v>0</v>
          </cell>
          <cell r="N16">
            <v>0</v>
          </cell>
          <cell r="O16">
            <v>0</v>
          </cell>
          <cell r="P16">
            <v>0</v>
          </cell>
          <cell r="Q16">
            <v>0</v>
          </cell>
          <cell r="R16">
            <v>0</v>
          </cell>
          <cell r="S16">
            <v>0</v>
          </cell>
          <cell r="T16">
            <v>0</v>
          </cell>
          <cell r="U16">
            <v>0</v>
          </cell>
          <cell r="V16">
            <v>0</v>
          </cell>
          <cell r="W16">
            <v>0</v>
          </cell>
          <cell r="X16">
            <v>1</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row>
        <row r="17">
          <cell r="A17">
            <v>15</v>
          </cell>
          <cell r="B17" t="str">
            <v>Ñ51-38C</v>
          </cell>
          <cell r="C17" t="str">
            <v>Ñôõ thaúng</v>
          </cell>
          <cell r="D17" t="str">
            <v>4T38 - 36C</v>
          </cell>
          <cell r="E17">
            <v>772.44</v>
          </cell>
          <cell r="F17" t="str">
            <v>1TC-2</v>
          </cell>
          <cell r="G17">
            <v>19.846246778360786</v>
          </cell>
          <cell r="H17">
            <v>20</v>
          </cell>
          <cell r="K17">
            <v>0</v>
          </cell>
          <cell r="L17">
            <v>0</v>
          </cell>
          <cell r="M17">
            <v>0</v>
          </cell>
          <cell r="N17">
            <v>0</v>
          </cell>
          <cell r="O17">
            <v>0</v>
          </cell>
          <cell r="P17">
            <v>0</v>
          </cell>
          <cell r="Q17">
            <v>0</v>
          </cell>
          <cell r="R17">
            <v>0</v>
          </cell>
          <cell r="S17">
            <v>0</v>
          </cell>
          <cell r="T17">
            <v>0</v>
          </cell>
          <cell r="U17">
            <v>0</v>
          </cell>
          <cell r="V17">
            <v>0</v>
          </cell>
          <cell r="W17">
            <v>0</v>
          </cell>
          <cell r="X17">
            <v>1</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row>
        <row r="18">
          <cell r="A18">
            <v>16</v>
          </cell>
          <cell r="B18" t="str">
            <v>N513-28B</v>
          </cell>
          <cell r="C18" t="str">
            <v>Neùo thaúng</v>
          </cell>
          <cell r="D18" t="str">
            <v>3x4T38 - 38A</v>
          </cell>
          <cell r="E18">
            <v>1431.84</v>
          </cell>
          <cell r="F18" t="str">
            <v>3TC-2</v>
          </cell>
          <cell r="G18">
            <v>25.041851328345913</v>
          </cell>
          <cell r="H18">
            <v>30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1</v>
          </cell>
          <cell r="AC18">
            <v>0</v>
          </cell>
          <cell r="AD18">
            <v>0</v>
          </cell>
          <cell r="AE18">
            <v>0</v>
          </cell>
          <cell r="AF18">
            <v>0</v>
          </cell>
          <cell r="AG18">
            <v>0</v>
          </cell>
          <cell r="AH18">
            <v>0</v>
          </cell>
          <cell r="AI18">
            <v>0</v>
          </cell>
          <cell r="AJ18">
            <v>0</v>
          </cell>
          <cell r="AK18">
            <v>0</v>
          </cell>
          <cell r="AL18">
            <v>0</v>
          </cell>
        </row>
        <row r="19">
          <cell r="A19">
            <v>17</v>
          </cell>
          <cell r="B19" t="str">
            <v>Ñ51-42B</v>
          </cell>
          <cell r="C19" t="str">
            <v>Ñôõ thaúng</v>
          </cell>
          <cell r="D19" t="str">
            <v>4T38 - 30D</v>
          </cell>
          <cell r="E19">
            <v>546.36</v>
          </cell>
          <cell r="F19" t="str">
            <v>1T-2</v>
          </cell>
          <cell r="G19">
            <v>15.0357494626136</v>
          </cell>
          <cell r="H19">
            <v>20</v>
          </cell>
          <cell r="K19">
            <v>0</v>
          </cell>
          <cell r="L19">
            <v>0</v>
          </cell>
          <cell r="M19">
            <v>1</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row>
        <row r="20">
          <cell r="A20">
            <v>18</v>
          </cell>
          <cell r="B20" t="str">
            <v>N513-30B</v>
          </cell>
          <cell r="C20" t="str">
            <v>Neùo thaúng</v>
          </cell>
          <cell r="D20" t="str">
            <v>3x4T38 - 38B</v>
          </cell>
          <cell r="E20">
            <v>164.85</v>
          </cell>
          <cell r="F20" t="str">
            <v>3T-1</v>
          </cell>
          <cell r="G20">
            <v>4.4507043827765687</v>
          </cell>
          <cell r="H20">
            <v>15</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1</v>
          </cell>
          <cell r="AE20">
            <v>0</v>
          </cell>
          <cell r="AF20">
            <v>0</v>
          </cell>
          <cell r="AG20">
            <v>0</v>
          </cell>
          <cell r="AH20">
            <v>0</v>
          </cell>
          <cell r="AI20">
            <v>0</v>
          </cell>
          <cell r="AJ20">
            <v>0</v>
          </cell>
          <cell r="AK20">
            <v>0</v>
          </cell>
          <cell r="AL20">
            <v>0</v>
          </cell>
        </row>
        <row r="21">
          <cell r="A21">
            <v>19</v>
          </cell>
          <cell r="B21" t="str">
            <v>Ñ51-34B</v>
          </cell>
          <cell r="C21" t="str">
            <v>Ñôõ thaúng</v>
          </cell>
          <cell r="D21" t="str">
            <v>4T34 - 30B</v>
          </cell>
          <cell r="E21">
            <v>753.6</v>
          </cell>
          <cell r="F21" t="str">
            <v>1TC-2</v>
          </cell>
          <cell r="G21">
            <v>19.334085571177287</v>
          </cell>
          <cell r="H21">
            <v>20</v>
          </cell>
          <cell r="K21">
            <v>0</v>
          </cell>
          <cell r="L21">
            <v>0</v>
          </cell>
          <cell r="M21">
            <v>0</v>
          </cell>
          <cell r="N21">
            <v>0</v>
          </cell>
          <cell r="O21">
            <v>0</v>
          </cell>
          <cell r="P21">
            <v>0</v>
          </cell>
          <cell r="Q21">
            <v>0</v>
          </cell>
          <cell r="R21">
            <v>0</v>
          </cell>
          <cell r="S21">
            <v>0</v>
          </cell>
          <cell r="T21">
            <v>0</v>
          </cell>
          <cell r="U21">
            <v>0</v>
          </cell>
          <cell r="V21">
            <v>0</v>
          </cell>
          <cell r="W21">
            <v>0</v>
          </cell>
          <cell r="X21">
            <v>1</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row>
        <row r="22">
          <cell r="A22">
            <v>20</v>
          </cell>
          <cell r="B22" t="str">
            <v>Ñ51-34B</v>
          </cell>
          <cell r="C22" t="str">
            <v>Ñôõ thaúng</v>
          </cell>
          <cell r="D22" t="str">
            <v>4T34 - 30B</v>
          </cell>
          <cell r="E22">
            <v>979.68</v>
          </cell>
          <cell r="F22" t="str">
            <v>1T-3</v>
          </cell>
          <cell r="G22">
            <v>18.891699467857208</v>
          </cell>
          <cell r="H22">
            <v>20</v>
          </cell>
          <cell r="K22">
            <v>0</v>
          </cell>
          <cell r="L22">
            <v>0</v>
          </cell>
          <cell r="M22">
            <v>0</v>
          </cell>
          <cell r="N22">
            <v>1</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row>
        <row r="23">
          <cell r="A23" t="str">
            <v>0101</v>
          </cell>
          <cell r="B23" t="str">
            <v>N513-28B</v>
          </cell>
          <cell r="C23" t="str">
            <v>Neùo goùc</v>
          </cell>
          <cell r="D23" t="str">
            <v>3x4T40 - 44A</v>
          </cell>
          <cell r="E23">
            <v>56.52</v>
          </cell>
          <cell r="F23" t="str">
            <v>3T-1</v>
          </cell>
          <cell r="G23">
            <v>1.6184379573732977</v>
          </cell>
          <cell r="H23">
            <v>10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1</v>
          </cell>
          <cell r="AE23">
            <v>0</v>
          </cell>
          <cell r="AF23">
            <v>0</v>
          </cell>
          <cell r="AG23">
            <v>0</v>
          </cell>
          <cell r="AH23">
            <v>0</v>
          </cell>
          <cell r="AI23">
            <v>0</v>
          </cell>
          <cell r="AJ23">
            <v>0</v>
          </cell>
          <cell r="AK23">
            <v>0</v>
          </cell>
          <cell r="AL23">
            <v>0</v>
          </cell>
        </row>
        <row r="24">
          <cell r="A24" t="str">
            <v>0102</v>
          </cell>
          <cell r="B24" t="str">
            <v>Ñ51-38D</v>
          </cell>
          <cell r="C24" t="str">
            <v>Ñôõ thaúng</v>
          </cell>
          <cell r="D24" t="str">
            <v>4T38 - 40C</v>
          </cell>
          <cell r="E24">
            <v>1356.48</v>
          </cell>
          <cell r="F24" t="str">
            <v>1T-3</v>
          </cell>
          <cell r="G24">
            <v>26.217052322740617</v>
          </cell>
          <cell r="H24">
            <v>30</v>
          </cell>
          <cell r="K24">
            <v>0</v>
          </cell>
          <cell r="L24">
            <v>0</v>
          </cell>
          <cell r="M24">
            <v>0</v>
          </cell>
          <cell r="N24">
            <v>1</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row>
        <row r="25">
          <cell r="A25" t="str">
            <v>0103</v>
          </cell>
          <cell r="B25" t="str">
            <v>Ñ51-28B</v>
          </cell>
          <cell r="C25" t="str">
            <v>Ñôõ thaúng</v>
          </cell>
          <cell r="D25" t="str">
            <v>4T34 - 34A</v>
          </cell>
          <cell r="E25">
            <v>433.32</v>
          </cell>
          <cell r="F25" t="str">
            <v>1TC-1</v>
          </cell>
          <cell r="G25">
            <v>12.804733508459789</v>
          </cell>
          <cell r="H25">
            <v>15</v>
          </cell>
          <cell r="K25">
            <v>0</v>
          </cell>
          <cell r="L25">
            <v>0</v>
          </cell>
          <cell r="M25">
            <v>0</v>
          </cell>
          <cell r="N25">
            <v>0</v>
          </cell>
          <cell r="O25">
            <v>0</v>
          </cell>
          <cell r="P25">
            <v>0</v>
          </cell>
          <cell r="Q25">
            <v>0</v>
          </cell>
          <cell r="R25">
            <v>0</v>
          </cell>
          <cell r="S25">
            <v>0</v>
          </cell>
          <cell r="T25">
            <v>0</v>
          </cell>
          <cell r="U25">
            <v>0</v>
          </cell>
          <cell r="V25">
            <v>0</v>
          </cell>
          <cell r="W25">
            <v>1</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row>
        <row r="26">
          <cell r="A26" t="str">
            <v>0104</v>
          </cell>
          <cell r="B26" t="str">
            <v>Ñ51-28B</v>
          </cell>
          <cell r="C26" t="str">
            <v>Ñôõ thaúng</v>
          </cell>
          <cell r="D26" t="str">
            <v>4T38 - 40A</v>
          </cell>
          <cell r="E26">
            <v>357.96</v>
          </cell>
          <cell r="F26" t="str">
            <v>1TC-1</v>
          </cell>
          <cell r="G26">
            <v>10.597020834587415</v>
          </cell>
          <cell r="H26">
            <v>15</v>
          </cell>
          <cell r="K26">
            <v>0</v>
          </cell>
          <cell r="L26">
            <v>0</v>
          </cell>
          <cell r="M26">
            <v>0</v>
          </cell>
          <cell r="N26">
            <v>0</v>
          </cell>
          <cell r="O26">
            <v>0</v>
          </cell>
          <cell r="P26">
            <v>0</v>
          </cell>
          <cell r="Q26">
            <v>0</v>
          </cell>
          <cell r="R26">
            <v>0</v>
          </cell>
          <cell r="S26">
            <v>0</v>
          </cell>
          <cell r="T26">
            <v>0</v>
          </cell>
          <cell r="U26">
            <v>0</v>
          </cell>
          <cell r="V26">
            <v>0</v>
          </cell>
          <cell r="W26">
            <v>1</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row>
        <row r="27">
          <cell r="A27" t="str">
            <v>0105</v>
          </cell>
          <cell r="B27" t="str">
            <v>Ñ51-38B</v>
          </cell>
          <cell r="C27" t="str">
            <v>Ñôõ thaúng</v>
          </cell>
          <cell r="D27" t="str">
            <v>4T38 - 38C</v>
          </cell>
          <cell r="E27">
            <v>75.36</v>
          </cell>
          <cell r="F27" t="str">
            <v>1T-1</v>
          </cell>
          <cell r="G27">
            <v>2.4674872774344108</v>
          </cell>
          <cell r="H27">
            <v>10</v>
          </cell>
          <cell r="K27">
            <v>0</v>
          </cell>
          <cell r="L27">
            <v>1</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row>
        <row r="28">
          <cell r="A28" t="str">
            <v>0106</v>
          </cell>
          <cell r="B28" t="str">
            <v>Ñ51-42B</v>
          </cell>
          <cell r="C28" t="str">
            <v>Ñôõ thaúng</v>
          </cell>
          <cell r="D28" t="str">
            <v>4T38 - 38D</v>
          </cell>
          <cell r="E28">
            <v>65.94</v>
          </cell>
          <cell r="F28" t="str">
            <v>1T-1</v>
          </cell>
          <cell r="G28">
            <v>2.1590513677551093</v>
          </cell>
          <cell r="H28">
            <v>10</v>
          </cell>
          <cell r="K28">
            <v>0</v>
          </cell>
          <cell r="L28">
            <v>1</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row>
        <row r="29">
          <cell r="A29" t="str">
            <v>0107</v>
          </cell>
          <cell r="B29" t="str">
            <v>Ñ51-42B</v>
          </cell>
          <cell r="C29" t="str">
            <v>Ñôõ thaúng</v>
          </cell>
          <cell r="D29" t="str">
            <v>4T38 - 38D</v>
          </cell>
          <cell r="E29">
            <v>80.069999999999993</v>
          </cell>
          <cell r="F29" t="str">
            <v>1T-1</v>
          </cell>
          <cell r="G29">
            <v>2.6217052322740617</v>
          </cell>
          <cell r="H29">
            <v>10</v>
          </cell>
          <cell r="K29">
            <v>0</v>
          </cell>
          <cell r="L29">
            <v>1</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row>
        <row r="30">
          <cell r="A30" t="str">
            <v>0201</v>
          </cell>
          <cell r="B30" t="str">
            <v>N513-28B</v>
          </cell>
          <cell r="C30" t="str">
            <v>Neùo goùc</v>
          </cell>
          <cell r="D30" t="str">
            <v>3x4T38 - 40A</v>
          </cell>
          <cell r="E30">
            <v>2568.4</v>
          </cell>
          <cell r="F30" t="str">
            <v>3T-5</v>
          </cell>
          <cell r="G30">
            <v>25.022585220876667</v>
          </cell>
          <cell r="H30">
            <v>30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1</v>
          </cell>
          <cell r="AI30">
            <v>0</v>
          </cell>
          <cell r="AJ30">
            <v>0</v>
          </cell>
          <cell r="AK30">
            <v>0</v>
          </cell>
          <cell r="AL30">
            <v>0</v>
          </cell>
        </row>
        <row r="31">
          <cell r="A31" t="str">
            <v>0202</v>
          </cell>
          <cell r="B31" t="str">
            <v>Ñ51-38B</v>
          </cell>
          <cell r="C31" t="str">
            <v>Ñôõ thaúng</v>
          </cell>
          <cell r="D31" t="str">
            <v>4T34 - 30C</v>
          </cell>
          <cell r="E31">
            <v>565.20000000000005</v>
          </cell>
          <cell r="F31" t="str">
            <v>1TC-1</v>
          </cell>
          <cell r="G31">
            <v>16.778616321430068</v>
          </cell>
          <cell r="H31">
            <v>20</v>
          </cell>
          <cell r="K31">
            <v>0</v>
          </cell>
          <cell r="L31">
            <v>0</v>
          </cell>
          <cell r="M31">
            <v>0</v>
          </cell>
          <cell r="N31">
            <v>0</v>
          </cell>
          <cell r="O31">
            <v>0</v>
          </cell>
          <cell r="P31">
            <v>0</v>
          </cell>
          <cell r="Q31">
            <v>0</v>
          </cell>
          <cell r="R31">
            <v>0</v>
          </cell>
          <cell r="S31">
            <v>0</v>
          </cell>
          <cell r="T31">
            <v>0</v>
          </cell>
          <cell r="U31">
            <v>0</v>
          </cell>
          <cell r="V31">
            <v>0</v>
          </cell>
          <cell r="W31">
            <v>1</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row>
        <row r="32">
          <cell r="A32" t="str">
            <v>0203</v>
          </cell>
          <cell r="B32" t="str">
            <v>Ñ51-42B</v>
          </cell>
          <cell r="C32" t="str">
            <v>Ñôõ thaúng</v>
          </cell>
          <cell r="D32" t="str">
            <v>4T38 - 38D</v>
          </cell>
          <cell r="E32">
            <v>80.069999999999993</v>
          </cell>
          <cell r="F32" t="str">
            <v>1T-1</v>
          </cell>
          <cell r="G32">
            <v>2.6217052322740617</v>
          </cell>
          <cell r="H32">
            <v>10</v>
          </cell>
          <cell r="K32">
            <v>0</v>
          </cell>
          <cell r="L32">
            <v>1</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row>
        <row r="33">
          <cell r="A33" t="str">
            <v>0204</v>
          </cell>
          <cell r="B33" t="str">
            <v>Ñ51-42B</v>
          </cell>
          <cell r="C33" t="str">
            <v>Ñôõ thaúng</v>
          </cell>
          <cell r="D33" t="str">
            <v>4T38 - 38D</v>
          </cell>
          <cell r="E33">
            <v>183.69</v>
          </cell>
          <cell r="F33" t="str">
            <v>1TC-1</v>
          </cell>
          <cell r="G33">
            <v>5.4456912622185296</v>
          </cell>
          <cell r="H33">
            <v>15</v>
          </cell>
          <cell r="K33">
            <v>0</v>
          </cell>
          <cell r="L33">
            <v>0</v>
          </cell>
          <cell r="M33">
            <v>0</v>
          </cell>
          <cell r="N33">
            <v>0</v>
          </cell>
          <cell r="O33">
            <v>0</v>
          </cell>
          <cell r="P33">
            <v>0</v>
          </cell>
          <cell r="Q33">
            <v>0</v>
          </cell>
          <cell r="R33">
            <v>0</v>
          </cell>
          <cell r="S33">
            <v>0</v>
          </cell>
          <cell r="T33">
            <v>0</v>
          </cell>
          <cell r="U33">
            <v>0</v>
          </cell>
          <cell r="V33">
            <v>0</v>
          </cell>
          <cell r="W33">
            <v>1</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row>
        <row r="34">
          <cell r="A34" t="str">
            <v>0205</v>
          </cell>
          <cell r="B34" t="str">
            <v>N513-28B</v>
          </cell>
          <cell r="C34" t="str">
            <v>Neùo thaúng</v>
          </cell>
          <cell r="D34" t="str">
            <v>3x4T34 - 34A</v>
          </cell>
          <cell r="E34">
            <v>3956.4</v>
          </cell>
          <cell r="F34" t="str">
            <v>3T-7</v>
          </cell>
          <cell r="G34">
            <v>29.081057115687422</v>
          </cell>
          <cell r="H34">
            <v>30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1</v>
          </cell>
          <cell r="AK34">
            <v>0</v>
          </cell>
          <cell r="AL34">
            <v>0</v>
          </cell>
        </row>
        <row r="35">
          <cell r="A35" t="str">
            <v>0206</v>
          </cell>
          <cell r="B35" t="str">
            <v>Ñ51-28D</v>
          </cell>
          <cell r="C35" t="str">
            <v>Ñôõ thaúng</v>
          </cell>
          <cell r="D35" t="str">
            <v>4T34 - 36A</v>
          </cell>
          <cell r="E35">
            <v>2449.1999999999998</v>
          </cell>
          <cell r="F35" t="str">
            <v>1T-5</v>
          </cell>
          <cell r="G35">
            <v>27.940719924484885</v>
          </cell>
          <cell r="H35">
            <v>30</v>
          </cell>
          <cell r="K35">
            <v>0</v>
          </cell>
          <cell r="L35">
            <v>0</v>
          </cell>
          <cell r="M35">
            <v>0</v>
          </cell>
          <cell r="N35">
            <v>0</v>
          </cell>
          <cell r="O35">
            <v>0</v>
          </cell>
          <cell r="P35">
            <v>1</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row>
        <row r="36">
          <cell r="A36" t="str">
            <v>0207</v>
          </cell>
          <cell r="B36" t="str">
            <v>V51-60</v>
          </cell>
          <cell r="C36" t="str">
            <v>Coät vöôït</v>
          </cell>
          <cell r="D36" t="str">
            <v>4TV56-50A</v>
          </cell>
          <cell r="E36">
            <v>122.46</v>
          </cell>
          <cell r="F36" t="str">
            <v>1TC-1</v>
          </cell>
          <cell r="G36">
            <v>3.6795211231206295</v>
          </cell>
          <cell r="H36">
            <v>15</v>
          </cell>
          <cell r="K36">
            <v>0</v>
          </cell>
          <cell r="L36">
            <v>0</v>
          </cell>
          <cell r="M36">
            <v>0</v>
          </cell>
          <cell r="N36">
            <v>0</v>
          </cell>
          <cell r="O36">
            <v>0</v>
          </cell>
          <cell r="P36">
            <v>0</v>
          </cell>
          <cell r="Q36">
            <v>0</v>
          </cell>
          <cell r="R36">
            <v>0</v>
          </cell>
          <cell r="S36">
            <v>0</v>
          </cell>
          <cell r="T36">
            <v>0</v>
          </cell>
          <cell r="U36">
            <v>0</v>
          </cell>
          <cell r="V36">
            <v>0</v>
          </cell>
          <cell r="W36">
            <v>1</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row>
        <row r="37">
          <cell r="A37" t="str">
            <v>0208</v>
          </cell>
          <cell r="B37" t="str">
            <v>Ñ51-42C</v>
          </cell>
          <cell r="C37" t="str">
            <v>Ñôõ thaúng</v>
          </cell>
          <cell r="D37" t="str">
            <v>MB Đ42 -11x14</v>
          </cell>
          <cell r="E37">
            <v>8.48</v>
          </cell>
          <cell r="F37" t="str">
            <v>1T-MB</v>
          </cell>
          <cell r="G37">
            <v>0.29775813260012007</v>
          </cell>
          <cell r="H37">
            <v>10</v>
          </cell>
          <cell r="K37">
            <v>0</v>
          </cell>
          <cell r="L37">
            <v>0</v>
          </cell>
          <cell r="M37">
            <v>0</v>
          </cell>
          <cell r="N37">
            <v>0</v>
          </cell>
          <cell r="O37">
            <v>0</v>
          </cell>
          <cell r="P37">
            <v>0</v>
          </cell>
          <cell r="Q37">
            <v>0</v>
          </cell>
          <cell r="R37">
            <v>0</v>
          </cell>
          <cell r="S37">
            <v>0</v>
          </cell>
          <cell r="T37">
            <v>0</v>
          </cell>
          <cell r="U37">
            <v>0</v>
          </cell>
          <cell r="V37">
            <v>1</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row>
        <row r="38">
          <cell r="A38" t="str">
            <v>0209</v>
          </cell>
          <cell r="B38" t="str">
            <v>N513-28B</v>
          </cell>
          <cell r="C38" t="str">
            <v>Neùo thaúng</v>
          </cell>
          <cell r="D38" t="str">
            <v>3x4T38 - 40A</v>
          </cell>
          <cell r="E38">
            <v>63.11</v>
          </cell>
          <cell r="F38" t="str">
            <v>3T-1</v>
          </cell>
          <cell r="G38">
            <v>1.7533077871544058</v>
          </cell>
          <cell r="H38">
            <v>10</v>
          </cell>
          <cell r="I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1</v>
          </cell>
          <cell r="AE38">
            <v>0</v>
          </cell>
          <cell r="AF38">
            <v>0</v>
          </cell>
          <cell r="AG38">
            <v>0</v>
          </cell>
          <cell r="AH38">
            <v>0</v>
          </cell>
          <cell r="AI38">
            <v>0</v>
          </cell>
          <cell r="AJ38">
            <v>0</v>
          </cell>
          <cell r="AK38">
            <v>0</v>
          </cell>
          <cell r="AL38">
            <v>0</v>
          </cell>
        </row>
        <row r="39">
          <cell r="A39" t="str">
            <v>0210</v>
          </cell>
          <cell r="B39" t="str">
            <v>Ñ51-28B</v>
          </cell>
          <cell r="C39" t="str">
            <v>Ñôõ thaúng</v>
          </cell>
          <cell r="D39" t="str">
            <v>4T34 - 30A</v>
          </cell>
          <cell r="E39">
            <v>1884</v>
          </cell>
          <cell r="F39" t="str">
            <v>1T-4</v>
          </cell>
          <cell r="G39">
            <v>27.281442741522969</v>
          </cell>
          <cell r="H39">
            <v>30</v>
          </cell>
          <cell r="I39">
            <v>0</v>
          </cell>
          <cell r="K39">
            <v>0</v>
          </cell>
          <cell r="L39">
            <v>0</v>
          </cell>
          <cell r="M39">
            <v>0</v>
          </cell>
          <cell r="N39">
            <v>0</v>
          </cell>
          <cell r="O39">
            <v>1</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row>
        <row r="40">
          <cell r="A40" t="str">
            <v>0211</v>
          </cell>
          <cell r="B40" t="str">
            <v>N513-30D</v>
          </cell>
          <cell r="C40" t="str">
            <v>Neùo thaúng</v>
          </cell>
          <cell r="D40" t="str">
            <v>3x4T34 - 34B</v>
          </cell>
          <cell r="E40">
            <v>2731.5</v>
          </cell>
          <cell r="F40" t="str">
            <v>3T-5</v>
          </cell>
          <cell r="G40">
            <v>26.629093610543848</v>
          </cell>
          <cell r="H40">
            <v>30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1</v>
          </cell>
          <cell r="AI40">
            <v>0</v>
          </cell>
          <cell r="AJ40">
            <v>0</v>
          </cell>
          <cell r="AK40">
            <v>0</v>
          </cell>
          <cell r="AL40">
            <v>0</v>
          </cell>
        </row>
        <row r="41">
          <cell r="A41" t="str">
            <v>0212</v>
          </cell>
          <cell r="B41" t="str">
            <v>N513-30D</v>
          </cell>
          <cell r="C41" t="str">
            <v>Neùo thaúng</v>
          </cell>
          <cell r="D41" t="str">
            <v>3x4T38 - 40B</v>
          </cell>
          <cell r="E41">
            <v>1224.5999999999999</v>
          </cell>
          <cell r="F41" t="str">
            <v>3TC-2</v>
          </cell>
          <cell r="G41">
            <v>21.377190158344074</v>
          </cell>
          <cell r="H41">
            <v>30</v>
          </cell>
          <cell r="I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1</v>
          </cell>
          <cell r="AC41">
            <v>0</v>
          </cell>
          <cell r="AD41">
            <v>0</v>
          </cell>
          <cell r="AE41">
            <v>0</v>
          </cell>
          <cell r="AF41">
            <v>0</v>
          </cell>
          <cell r="AG41">
            <v>0</v>
          </cell>
          <cell r="AH41">
            <v>0</v>
          </cell>
          <cell r="AI41">
            <v>0</v>
          </cell>
          <cell r="AJ41">
            <v>0</v>
          </cell>
          <cell r="AK41">
            <v>0</v>
          </cell>
          <cell r="AL41">
            <v>0</v>
          </cell>
        </row>
        <row r="42">
          <cell r="A42" t="str">
            <v>0301</v>
          </cell>
          <cell r="B42" t="str">
            <v>N513-34B</v>
          </cell>
          <cell r="C42" t="str">
            <v>Neùo goùc</v>
          </cell>
          <cell r="D42" t="str">
            <v>3x4T34 - 36C</v>
          </cell>
          <cell r="E42">
            <v>1262.24</v>
          </cell>
          <cell r="F42" t="str">
            <v>3TC-2</v>
          </cell>
          <cell r="G42">
            <v>22.075220857392043</v>
          </cell>
          <cell r="H42">
            <v>30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1</v>
          </cell>
          <cell r="AC42">
            <v>0</v>
          </cell>
          <cell r="AD42">
            <v>0</v>
          </cell>
          <cell r="AE42">
            <v>0</v>
          </cell>
          <cell r="AF42">
            <v>0</v>
          </cell>
          <cell r="AG42">
            <v>0</v>
          </cell>
          <cell r="AH42">
            <v>0</v>
          </cell>
          <cell r="AI42">
            <v>0</v>
          </cell>
          <cell r="AJ42">
            <v>0</v>
          </cell>
          <cell r="AK42">
            <v>0</v>
          </cell>
          <cell r="AL42">
            <v>0</v>
          </cell>
        </row>
        <row r="43">
          <cell r="A43">
            <v>302</v>
          </cell>
          <cell r="B43" t="str">
            <v>Ñ51-28B</v>
          </cell>
          <cell r="C43" t="str">
            <v>Ñôõ thaúng</v>
          </cell>
          <cell r="D43" t="str">
            <v>4T28 - 34A</v>
          </cell>
          <cell r="E43">
            <v>3110.15</v>
          </cell>
          <cell r="F43" t="str">
            <v>1T-7</v>
          </cell>
          <cell r="G43">
            <v>25.970201794946533</v>
          </cell>
          <cell r="H43">
            <v>30</v>
          </cell>
          <cell r="K43">
            <v>0</v>
          </cell>
          <cell r="L43">
            <v>0</v>
          </cell>
          <cell r="M43">
            <v>0</v>
          </cell>
          <cell r="N43">
            <v>0</v>
          </cell>
          <cell r="O43">
            <v>0</v>
          </cell>
          <cell r="P43">
            <v>0</v>
          </cell>
          <cell r="Q43">
            <v>0</v>
          </cell>
          <cell r="R43">
            <v>1</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row>
        <row r="44">
          <cell r="A44">
            <v>303</v>
          </cell>
          <cell r="B44" t="str">
            <v>N513-28B</v>
          </cell>
          <cell r="C44" t="str">
            <v>Neùo thaúng</v>
          </cell>
          <cell r="D44" t="str">
            <v>3x4T34 - 34A</v>
          </cell>
          <cell r="E44">
            <v>2243.15</v>
          </cell>
          <cell r="F44" t="str">
            <v>3T-4</v>
          </cell>
          <cell r="G44">
            <v>26.055100681131918</v>
          </cell>
          <cell r="H44">
            <v>30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1</v>
          </cell>
          <cell r="AH44">
            <v>0</v>
          </cell>
          <cell r="AI44">
            <v>0</v>
          </cell>
          <cell r="AJ44">
            <v>0</v>
          </cell>
          <cell r="AK44">
            <v>0</v>
          </cell>
          <cell r="AL44">
            <v>0</v>
          </cell>
        </row>
        <row r="45">
          <cell r="A45">
            <v>304</v>
          </cell>
          <cell r="B45" t="str">
            <v>Ñ51-42C</v>
          </cell>
          <cell r="C45" t="str">
            <v>Ñôõ thaúng</v>
          </cell>
          <cell r="D45" t="str">
            <v>4T34 - 38D</v>
          </cell>
          <cell r="E45">
            <v>1734.2</v>
          </cell>
          <cell r="F45" t="str">
            <v>1T-4</v>
          </cell>
          <cell r="G45">
            <v>25.110505653338119</v>
          </cell>
          <cell r="H45">
            <v>30</v>
          </cell>
          <cell r="K45">
            <v>0</v>
          </cell>
          <cell r="L45">
            <v>0</v>
          </cell>
          <cell r="M45">
            <v>0</v>
          </cell>
          <cell r="N45">
            <v>0</v>
          </cell>
          <cell r="O45">
            <v>1</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row>
        <row r="46">
          <cell r="A46">
            <v>305</v>
          </cell>
          <cell r="B46" t="str">
            <v>Ñ51-42C</v>
          </cell>
          <cell r="C46" t="str">
            <v>Ñôõ thaúng</v>
          </cell>
          <cell r="D46" t="str">
            <v>4T38 - 42D</v>
          </cell>
          <cell r="F46" t="str">
            <v>1T-6</v>
          </cell>
          <cell r="G46" t="str">
            <v>1T-6</v>
          </cell>
          <cell r="H46">
            <v>10</v>
          </cell>
          <cell r="I46" t="str">
            <v>Chöa coù soá lieäu</v>
          </cell>
          <cell r="K46">
            <v>1</v>
          </cell>
          <cell r="L46">
            <v>0</v>
          </cell>
          <cell r="M46">
            <v>0</v>
          </cell>
          <cell r="N46">
            <v>0</v>
          </cell>
          <cell r="O46">
            <v>0</v>
          </cell>
          <cell r="P46">
            <v>0</v>
          </cell>
          <cell r="Q46">
            <v>1</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row>
        <row r="47">
          <cell r="A47">
            <v>401</v>
          </cell>
          <cell r="B47" t="str">
            <v>N513-30B</v>
          </cell>
          <cell r="C47" t="str">
            <v>Neùo goùc</v>
          </cell>
          <cell r="D47" t="str">
            <v>3x4T34 - 34B</v>
          </cell>
          <cell r="E47">
            <v>4995.1499999999996</v>
          </cell>
          <cell r="F47" t="str">
            <v>3T-9</v>
          </cell>
          <cell r="G47">
            <v>29.102280824215089</v>
          </cell>
          <cell r="H47">
            <v>30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1</v>
          </cell>
        </row>
        <row r="48">
          <cell r="A48">
            <v>402</v>
          </cell>
          <cell r="B48" t="str">
            <v>Ñ51-28C</v>
          </cell>
          <cell r="C48" t="str">
            <v>Ñôõ thaúng</v>
          </cell>
          <cell r="D48" t="str">
            <v>4T28 - 34A</v>
          </cell>
          <cell r="E48">
            <v>7351.35</v>
          </cell>
          <cell r="F48" t="str">
            <v>1T-10</v>
          </cell>
          <cell r="G48">
            <v>43.046586780087594</v>
          </cell>
          <cell r="H48">
            <v>44.108100000000007</v>
          </cell>
          <cell r="K48">
            <v>0</v>
          </cell>
          <cell r="L48">
            <v>0</v>
          </cell>
          <cell r="M48">
            <v>0</v>
          </cell>
          <cell r="N48">
            <v>0</v>
          </cell>
          <cell r="O48">
            <v>0</v>
          </cell>
          <cell r="P48">
            <v>0</v>
          </cell>
          <cell r="Q48">
            <v>0</v>
          </cell>
          <cell r="R48">
            <v>0</v>
          </cell>
          <cell r="S48">
            <v>0</v>
          </cell>
          <cell r="T48">
            <v>0</v>
          </cell>
          <cell r="U48">
            <v>1</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row>
        <row r="49">
          <cell r="A49">
            <v>403</v>
          </cell>
          <cell r="B49" t="str">
            <v>Boû</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row>
        <row r="50">
          <cell r="A50">
            <v>501</v>
          </cell>
          <cell r="B50" t="str">
            <v>N513-28B</v>
          </cell>
          <cell r="C50" t="str">
            <v>Neùo goùc</v>
          </cell>
          <cell r="D50" t="str">
            <v>3x4T34 - 36A</v>
          </cell>
          <cell r="E50">
            <v>7822.55</v>
          </cell>
          <cell r="F50" t="str">
            <v>3T-9</v>
          </cell>
          <cell r="G50">
            <v>45.545069489896605</v>
          </cell>
          <cell r="H50">
            <v>46.935300000000005</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1</v>
          </cell>
        </row>
        <row r="51">
          <cell r="A51">
            <v>502</v>
          </cell>
          <cell r="B51" t="str">
            <v>Ñ51-28B</v>
          </cell>
          <cell r="C51" t="str">
            <v>Ñôõ thaúng</v>
          </cell>
          <cell r="D51" t="str">
            <v>4T28 - 34A</v>
          </cell>
          <cell r="E51">
            <v>9236.2999999999993</v>
          </cell>
          <cell r="F51" t="str">
            <v>1T-10</v>
          </cell>
          <cell r="G51">
            <v>54.078920713529477</v>
          </cell>
          <cell r="H51">
            <v>55.4178</v>
          </cell>
          <cell r="K51">
            <v>0</v>
          </cell>
          <cell r="L51">
            <v>0</v>
          </cell>
          <cell r="M51">
            <v>0</v>
          </cell>
          <cell r="N51">
            <v>0</v>
          </cell>
          <cell r="O51">
            <v>0</v>
          </cell>
          <cell r="P51">
            <v>0</v>
          </cell>
          <cell r="Q51">
            <v>0</v>
          </cell>
          <cell r="R51">
            <v>0</v>
          </cell>
          <cell r="S51">
            <v>0</v>
          </cell>
          <cell r="T51">
            <v>0</v>
          </cell>
          <cell r="U51">
            <v>1</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row>
        <row r="52">
          <cell r="A52">
            <v>503</v>
          </cell>
          <cell r="B52" t="str">
            <v>Ñ51-38B</v>
          </cell>
          <cell r="C52" t="str">
            <v>Ñôõ thaúng</v>
          </cell>
          <cell r="D52" t="str">
            <v>4T28 - 36C</v>
          </cell>
          <cell r="E52">
            <v>5937.65</v>
          </cell>
          <cell r="F52" t="str">
            <v>1T-10</v>
          </cell>
          <cell r="G52">
            <v>34.765020458697521</v>
          </cell>
          <cell r="H52">
            <v>35.625900000000001</v>
          </cell>
          <cell r="K52">
            <v>0</v>
          </cell>
          <cell r="L52">
            <v>0</v>
          </cell>
          <cell r="M52">
            <v>0</v>
          </cell>
          <cell r="N52">
            <v>0</v>
          </cell>
          <cell r="O52">
            <v>0</v>
          </cell>
          <cell r="P52">
            <v>0</v>
          </cell>
          <cell r="Q52">
            <v>0</v>
          </cell>
          <cell r="R52">
            <v>0</v>
          </cell>
          <cell r="S52">
            <v>0</v>
          </cell>
          <cell r="T52">
            <v>0</v>
          </cell>
          <cell r="U52">
            <v>1</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row>
        <row r="53">
          <cell r="A53">
            <v>504</v>
          </cell>
          <cell r="B53" t="str">
            <v>Ñ51-34B</v>
          </cell>
          <cell r="C53" t="str">
            <v>Ñôõ thaúng</v>
          </cell>
          <cell r="D53" t="str">
            <v>4T28 - 34B</v>
          </cell>
          <cell r="E53">
            <v>4335.3999999999996</v>
          </cell>
          <cell r="F53" t="str">
            <v>1T-9</v>
          </cell>
          <cell r="G53">
            <v>27.687094338526432</v>
          </cell>
          <cell r="H53">
            <v>30</v>
          </cell>
          <cell r="K53">
            <v>0</v>
          </cell>
          <cell r="L53">
            <v>0</v>
          </cell>
          <cell r="M53">
            <v>0</v>
          </cell>
          <cell r="N53">
            <v>0</v>
          </cell>
          <cell r="O53">
            <v>0</v>
          </cell>
          <cell r="P53">
            <v>0</v>
          </cell>
          <cell r="Q53">
            <v>0</v>
          </cell>
          <cell r="R53">
            <v>0</v>
          </cell>
          <cell r="S53">
            <v>0</v>
          </cell>
          <cell r="T53">
            <v>1</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row>
        <row r="54">
          <cell r="A54">
            <v>601</v>
          </cell>
          <cell r="B54" t="str">
            <v>N513-30B</v>
          </cell>
          <cell r="C54" t="str">
            <v>Neùo goùc</v>
          </cell>
          <cell r="D54" t="str">
            <v>3x4T34 - 38B</v>
          </cell>
          <cell r="E54">
            <v>3864.15</v>
          </cell>
          <cell r="F54" t="str">
            <v>3T-7</v>
          </cell>
          <cell r="G54">
            <v>28.383405492962581</v>
          </cell>
          <cell r="H54">
            <v>30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1</v>
          </cell>
          <cell r="AK54">
            <v>0</v>
          </cell>
          <cell r="AL54">
            <v>0</v>
          </cell>
        </row>
        <row r="55">
          <cell r="A55">
            <v>602</v>
          </cell>
          <cell r="B55" t="str">
            <v>N513-34B</v>
          </cell>
          <cell r="C55" t="str">
            <v>Neùo thaúng</v>
          </cell>
          <cell r="D55" t="str">
            <v>3x4T34 - 38C</v>
          </cell>
          <cell r="E55">
            <v>1979.25</v>
          </cell>
          <cell r="F55" t="str">
            <v>3TC-3</v>
          </cell>
          <cell r="G55">
            <v>28.488855510064997</v>
          </cell>
          <cell r="H55">
            <v>30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1</v>
          </cell>
          <cell r="AD55">
            <v>0</v>
          </cell>
          <cell r="AE55">
            <v>0</v>
          </cell>
          <cell r="AF55">
            <v>0</v>
          </cell>
          <cell r="AG55">
            <v>0</v>
          </cell>
          <cell r="AH55">
            <v>0</v>
          </cell>
          <cell r="AI55">
            <v>0</v>
          </cell>
          <cell r="AJ55">
            <v>0</v>
          </cell>
          <cell r="AK55">
            <v>0</v>
          </cell>
          <cell r="AL55">
            <v>0</v>
          </cell>
        </row>
        <row r="56">
          <cell r="A56">
            <v>603</v>
          </cell>
          <cell r="B56" t="str">
            <v>Ñ51-28B</v>
          </cell>
          <cell r="C56" t="str">
            <v>Ñôõ thaúng</v>
          </cell>
          <cell r="D56" t="str">
            <v>4T28 - 34A</v>
          </cell>
          <cell r="E56">
            <v>6597.35</v>
          </cell>
          <cell r="F56" t="str">
            <v>1T-10</v>
          </cell>
          <cell r="G56">
            <v>38.627800509663913</v>
          </cell>
          <cell r="H56">
            <v>39.584100000000007</v>
          </cell>
          <cell r="K56">
            <v>0</v>
          </cell>
          <cell r="L56">
            <v>0</v>
          </cell>
          <cell r="M56">
            <v>0</v>
          </cell>
          <cell r="N56">
            <v>0</v>
          </cell>
          <cell r="O56">
            <v>0</v>
          </cell>
          <cell r="P56">
            <v>0</v>
          </cell>
          <cell r="Q56">
            <v>0</v>
          </cell>
          <cell r="R56">
            <v>0</v>
          </cell>
          <cell r="S56">
            <v>0</v>
          </cell>
          <cell r="T56">
            <v>0</v>
          </cell>
          <cell r="U56">
            <v>1</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row>
        <row r="57">
          <cell r="A57">
            <v>604</v>
          </cell>
          <cell r="B57" t="str">
            <v>N513-34B</v>
          </cell>
          <cell r="C57" t="str">
            <v>Neùo thaúng</v>
          </cell>
          <cell r="D57" t="str">
            <v>3x4T28 - 44C</v>
          </cell>
          <cell r="E57">
            <v>3581.4</v>
          </cell>
          <cell r="F57" t="str">
            <v>3T-7</v>
          </cell>
          <cell r="G57">
            <v>26.327169131247324</v>
          </cell>
          <cell r="H57">
            <v>30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1</v>
          </cell>
          <cell r="AK57">
            <v>0</v>
          </cell>
          <cell r="AL57">
            <v>0</v>
          </cell>
        </row>
        <row r="58">
          <cell r="A58">
            <v>605</v>
          </cell>
          <cell r="B58" t="str">
            <v>N513-28B</v>
          </cell>
          <cell r="C58" t="str">
            <v>Neùo thaúng</v>
          </cell>
          <cell r="D58" t="str">
            <v>3x4T28 - 42A</v>
          </cell>
          <cell r="E58">
            <v>5466.35</v>
          </cell>
          <cell r="F58" t="str">
            <v>3T-9</v>
          </cell>
          <cell r="G58">
            <v>31.837895221691308</v>
          </cell>
          <cell r="H58">
            <v>32.798100000000005</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1</v>
          </cell>
        </row>
        <row r="59">
          <cell r="A59">
            <v>606</v>
          </cell>
          <cell r="B59" t="str">
            <v>N513-34B</v>
          </cell>
          <cell r="C59" t="str">
            <v>Neùo thaúng</v>
          </cell>
          <cell r="D59" t="str">
            <v>3x4T28 - 42C</v>
          </cell>
          <cell r="E59">
            <v>5466.4</v>
          </cell>
          <cell r="F59" t="str">
            <v>3T-9</v>
          </cell>
          <cell r="G59">
            <v>31.837895221691308</v>
          </cell>
          <cell r="H59">
            <v>32.798400000000001</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1</v>
          </cell>
        </row>
        <row r="60">
          <cell r="A60">
            <v>607</v>
          </cell>
          <cell r="B60" t="str">
            <v>Ñ51-38C</v>
          </cell>
          <cell r="C60" t="str">
            <v>Ñôõ thaúng</v>
          </cell>
          <cell r="D60" t="str">
            <v>4T28 - 42C</v>
          </cell>
          <cell r="E60">
            <v>3581.4</v>
          </cell>
          <cell r="F60" t="str">
            <v>1T-8</v>
          </cell>
          <cell r="G60">
            <v>26.558145808546492</v>
          </cell>
          <cell r="H60">
            <v>30</v>
          </cell>
          <cell r="K60">
            <v>0</v>
          </cell>
          <cell r="L60">
            <v>0</v>
          </cell>
          <cell r="M60">
            <v>0</v>
          </cell>
          <cell r="N60">
            <v>0</v>
          </cell>
          <cell r="O60">
            <v>0</v>
          </cell>
          <cell r="P60">
            <v>0</v>
          </cell>
          <cell r="Q60">
            <v>0</v>
          </cell>
          <cell r="R60">
            <v>0</v>
          </cell>
          <cell r="S60">
            <v>1</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row>
        <row r="61">
          <cell r="A61">
            <v>701</v>
          </cell>
          <cell r="B61" t="str">
            <v>N513-30B</v>
          </cell>
          <cell r="C61" t="str">
            <v xml:space="preserve">Neùo goùc </v>
          </cell>
          <cell r="D61" t="str">
            <v>3x4T28 - 44B</v>
          </cell>
          <cell r="E61">
            <v>4052.65</v>
          </cell>
          <cell r="F61" t="str">
            <v>3T-8</v>
          </cell>
          <cell r="G61">
            <v>26.784417901027666</v>
          </cell>
          <cell r="H61">
            <v>30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1</v>
          </cell>
          <cell r="AL61">
            <v>0</v>
          </cell>
        </row>
        <row r="62">
          <cell r="A62">
            <v>801</v>
          </cell>
          <cell r="B62" t="str">
            <v>N513-28C</v>
          </cell>
          <cell r="C62" t="str">
            <v xml:space="preserve">Neùo goùc </v>
          </cell>
          <cell r="D62" t="str">
            <v>3x4T28 - 44A</v>
          </cell>
          <cell r="E62">
            <v>2978.2</v>
          </cell>
          <cell r="F62" t="str">
            <v>3T-5</v>
          </cell>
          <cell r="G62">
            <v>29.01451515883754</v>
          </cell>
          <cell r="H62">
            <v>30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1</v>
          </cell>
          <cell r="AI62">
            <v>0</v>
          </cell>
          <cell r="AJ62">
            <v>0</v>
          </cell>
          <cell r="AK62">
            <v>0</v>
          </cell>
          <cell r="AL62">
            <v>0</v>
          </cell>
        </row>
        <row r="63">
          <cell r="A63">
            <v>802</v>
          </cell>
          <cell r="B63" t="str">
            <v>N513-28B</v>
          </cell>
          <cell r="C63" t="str">
            <v xml:space="preserve">Neùo thaúng </v>
          </cell>
          <cell r="D63" t="str">
            <v>3x4T28 - 40A</v>
          </cell>
          <cell r="E63">
            <v>3392.9</v>
          </cell>
          <cell r="F63" t="str">
            <v>3T-6</v>
          </cell>
          <cell r="G63">
            <v>28.258614700469742</v>
          </cell>
          <cell r="H63">
            <v>30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1</v>
          </cell>
          <cell r="AJ63">
            <v>0</v>
          </cell>
          <cell r="AK63">
            <v>0</v>
          </cell>
          <cell r="AL63">
            <v>0</v>
          </cell>
        </row>
        <row r="64">
          <cell r="A64">
            <v>803</v>
          </cell>
          <cell r="B64" t="str">
            <v>N513-28C</v>
          </cell>
          <cell r="C64" t="str">
            <v>Neùo thaúng</v>
          </cell>
          <cell r="D64" t="str">
            <v>3x4T28 - 42A</v>
          </cell>
          <cell r="E64">
            <v>3769.9</v>
          </cell>
          <cell r="F64" t="str">
            <v>3T-7</v>
          </cell>
          <cell r="G64">
            <v>27.685753870237768</v>
          </cell>
          <cell r="H64">
            <v>30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1</v>
          </cell>
          <cell r="AK64">
            <v>0</v>
          </cell>
          <cell r="AL64">
            <v>0</v>
          </cell>
        </row>
        <row r="65">
          <cell r="A65">
            <v>804</v>
          </cell>
          <cell r="B65" t="str">
            <v>Ñ28</v>
          </cell>
          <cell r="C65" t="str">
            <v>Ñôõ thaúng</v>
          </cell>
          <cell r="E65">
            <v>3110.15</v>
          </cell>
          <cell r="F65" t="str">
            <v>1T-7</v>
          </cell>
          <cell r="G65">
            <v>25.970201794946533</v>
          </cell>
          <cell r="H65">
            <v>30</v>
          </cell>
          <cell r="K65">
            <v>0</v>
          </cell>
          <cell r="L65">
            <v>0</v>
          </cell>
          <cell r="M65">
            <v>0</v>
          </cell>
          <cell r="N65">
            <v>0</v>
          </cell>
          <cell r="O65">
            <v>0</v>
          </cell>
          <cell r="P65">
            <v>0</v>
          </cell>
          <cell r="Q65">
            <v>0</v>
          </cell>
          <cell r="R65">
            <v>1</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row>
        <row r="66">
          <cell r="A66">
            <v>805</v>
          </cell>
          <cell r="B66" t="str">
            <v>Ñ34</v>
          </cell>
          <cell r="C66" t="str">
            <v>Ñôõ thaúng</v>
          </cell>
          <cell r="E66">
            <v>3769.9</v>
          </cell>
          <cell r="F66" t="str">
            <v>1T-8</v>
          </cell>
          <cell r="G66">
            <v>27.92864984608654</v>
          </cell>
          <cell r="H66">
            <v>30</v>
          </cell>
          <cell r="K66">
            <v>0</v>
          </cell>
          <cell r="L66">
            <v>0</v>
          </cell>
          <cell r="M66">
            <v>0</v>
          </cell>
          <cell r="N66">
            <v>0</v>
          </cell>
          <cell r="O66">
            <v>0</v>
          </cell>
          <cell r="P66">
            <v>0</v>
          </cell>
          <cell r="Q66">
            <v>0</v>
          </cell>
          <cell r="R66">
            <v>0</v>
          </cell>
          <cell r="S66">
            <v>1</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row>
        <row r="67">
          <cell r="A67">
            <v>901</v>
          </cell>
          <cell r="B67" t="str">
            <v>N34</v>
          </cell>
          <cell r="C67" t="str">
            <v>Neùo goùc</v>
          </cell>
          <cell r="E67">
            <v>5560.65</v>
          </cell>
          <cell r="F67" t="str">
            <v>3T-9</v>
          </cell>
          <cell r="G67">
            <v>32.390838557351394</v>
          </cell>
          <cell r="H67">
            <v>33.363900000000001</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1</v>
          </cell>
        </row>
        <row r="68">
          <cell r="A68" t="str">
            <v>902'</v>
          </cell>
          <cell r="B68" t="str">
            <v>Boû</v>
          </cell>
          <cell r="E68">
            <v>1413.75</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row>
        <row r="69">
          <cell r="A69">
            <v>902</v>
          </cell>
          <cell r="B69" t="str">
            <v>N30</v>
          </cell>
          <cell r="C69" t="str">
            <v>Neùo thaûng</v>
          </cell>
          <cell r="E69">
            <v>5183.6499999999996</v>
          </cell>
          <cell r="F69" t="str">
            <v>3T-9</v>
          </cell>
          <cell r="G69">
            <v>30.179065214711045</v>
          </cell>
          <cell r="H69">
            <v>31.101900000000001</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1</v>
          </cell>
        </row>
        <row r="70">
          <cell r="A70">
            <v>903</v>
          </cell>
          <cell r="B70" t="str">
            <v>Ñ34</v>
          </cell>
          <cell r="C70" t="str">
            <v>Ñôõ thaúng</v>
          </cell>
          <cell r="E70">
            <v>1131</v>
          </cell>
          <cell r="F70" t="str">
            <v>1TC-2</v>
          </cell>
          <cell r="G70">
            <v>29.06514850766386</v>
          </cell>
          <cell r="H70">
            <v>30</v>
          </cell>
          <cell r="K70">
            <v>0</v>
          </cell>
          <cell r="L70">
            <v>0</v>
          </cell>
          <cell r="M70">
            <v>0</v>
          </cell>
          <cell r="N70">
            <v>0</v>
          </cell>
          <cell r="O70">
            <v>0</v>
          </cell>
          <cell r="P70">
            <v>0</v>
          </cell>
          <cell r="Q70">
            <v>0</v>
          </cell>
          <cell r="R70">
            <v>0</v>
          </cell>
          <cell r="S70">
            <v>0</v>
          </cell>
          <cell r="T70">
            <v>0</v>
          </cell>
          <cell r="U70">
            <v>0</v>
          </cell>
          <cell r="V70">
            <v>0</v>
          </cell>
          <cell r="W70">
            <v>0</v>
          </cell>
          <cell r="X70">
            <v>1</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row>
        <row r="71">
          <cell r="A71">
            <v>1001</v>
          </cell>
          <cell r="B71" t="str">
            <v>N513-30B</v>
          </cell>
          <cell r="C71" t="str">
            <v>Neùo goùc</v>
          </cell>
          <cell r="D71" t="str">
            <v>3x4T34 - 40B</v>
          </cell>
          <cell r="E71">
            <v>4146.8999999999996</v>
          </cell>
          <cell r="F71" t="str">
            <v>3T-8</v>
          </cell>
          <cell r="G71">
            <v>27.411919676760743</v>
          </cell>
          <cell r="H71">
            <v>30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1</v>
          </cell>
          <cell r="AL71">
            <v>0</v>
          </cell>
        </row>
        <row r="72">
          <cell r="A72">
            <v>1002</v>
          </cell>
          <cell r="B72" t="str">
            <v>Ñ42</v>
          </cell>
          <cell r="C72" t="str">
            <v>Ñôõ thaúng</v>
          </cell>
          <cell r="E72">
            <v>5466.4</v>
          </cell>
          <cell r="F72" t="str">
            <v>1T-10</v>
          </cell>
          <cell r="G72">
            <v>32.014252846645697</v>
          </cell>
          <cell r="H72">
            <v>32.798400000000001</v>
          </cell>
          <cell r="K72">
            <v>0</v>
          </cell>
          <cell r="L72">
            <v>0</v>
          </cell>
          <cell r="M72">
            <v>0</v>
          </cell>
          <cell r="N72">
            <v>0</v>
          </cell>
          <cell r="O72">
            <v>0</v>
          </cell>
          <cell r="P72">
            <v>0</v>
          </cell>
          <cell r="Q72">
            <v>0</v>
          </cell>
          <cell r="R72">
            <v>0</v>
          </cell>
          <cell r="S72">
            <v>0</v>
          </cell>
          <cell r="T72">
            <v>0</v>
          </cell>
          <cell r="U72">
            <v>1</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row>
        <row r="73">
          <cell r="A73">
            <v>1003</v>
          </cell>
          <cell r="B73" t="str">
            <v>N34</v>
          </cell>
          <cell r="C73" t="str">
            <v>Neùo thaúng</v>
          </cell>
          <cell r="E73">
            <v>301.60000000000002</v>
          </cell>
          <cell r="F73" t="str">
            <v>3T-1</v>
          </cell>
          <cell r="G73">
            <v>8.2270596166475976</v>
          </cell>
          <cell r="H73">
            <v>15</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1</v>
          </cell>
          <cell r="AE73">
            <v>0</v>
          </cell>
          <cell r="AF73">
            <v>0</v>
          </cell>
          <cell r="AG73">
            <v>0</v>
          </cell>
          <cell r="AH73">
            <v>0</v>
          </cell>
          <cell r="AI73">
            <v>0</v>
          </cell>
          <cell r="AJ73">
            <v>0</v>
          </cell>
          <cell r="AK73">
            <v>0</v>
          </cell>
          <cell r="AL73">
            <v>0</v>
          </cell>
        </row>
        <row r="74">
          <cell r="A74">
            <v>1004</v>
          </cell>
          <cell r="B74" t="str">
            <v>Ñ42</v>
          </cell>
          <cell r="C74" t="str">
            <v>Ñôõ thaúng</v>
          </cell>
          <cell r="E74">
            <v>3864.15</v>
          </cell>
          <cell r="F74" t="str">
            <v>1T-8</v>
          </cell>
          <cell r="G74">
            <v>28.632422189688189</v>
          </cell>
          <cell r="H74">
            <v>30</v>
          </cell>
          <cell r="K74">
            <v>0</v>
          </cell>
          <cell r="L74">
            <v>0</v>
          </cell>
          <cell r="M74">
            <v>0</v>
          </cell>
          <cell r="N74">
            <v>0</v>
          </cell>
          <cell r="O74">
            <v>0</v>
          </cell>
          <cell r="P74">
            <v>0</v>
          </cell>
          <cell r="Q74">
            <v>0</v>
          </cell>
          <cell r="R74">
            <v>0</v>
          </cell>
          <cell r="S74">
            <v>1</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row>
        <row r="75">
          <cell r="A75">
            <v>1005</v>
          </cell>
          <cell r="B75" t="str">
            <v>N513-28B</v>
          </cell>
          <cell r="C75" t="str">
            <v>Neùo thaúng</v>
          </cell>
          <cell r="D75" t="str">
            <v>3x4T34 - 36A</v>
          </cell>
          <cell r="E75">
            <v>3864.15</v>
          </cell>
          <cell r="F75" t="str">
            <v>3T-7</v>
          </cell>
          <cell r="G75">
            <v>28.383405492962581</v>
          </cell>
          <cell r="H75">
            <v>30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1</v>
          </cell>
          <cell r="AK75">
            <v>0</v>
          </cell>
          <cell r="AL75">
            <v>0</v>
          </cell>
        </row>
        <row r="76">
          <cell r="A76">
            <v>1006</v>
          </cell>
          <cell r="B76" t="str">
            <v>Ñ34</v>
          </cell>
          <cell r="C76" t="str">
            <v>Ñôõ thaúng</v>
          </cell>
          <cell r="E76">
            <v>4523.8999999999996</v>
          </cell>
          <cell r="F76" t="str">
            <v>1T-10</v>
          </cell>
          <cell r="G76">
            <v>26.483454137307461</v>
          </cell>
          <cell r="H76">
            <v>30</v>
          </cell>
          <cell r="K76">
            <v>0</v>
          </cell>
          <cell r="L76">
            <v>0</v>
          </cell>
          <cell r="M76">
            <v>0</v>
          </cell>
          <cell r="N76">
            <v>0</v>
          </cell>
          <cell r="O76">
            <v>0</v>
          </cell>
          <cell r="P76">
            <v>0</v>
          </cell>
          <cell r="Q76">
            <v>0</v>
          </cell>
          <cell r="R76">
            <v>0</v>
          </cell>
          <cell r="S76">
            <v>0</v>
          </cell>
          <cell r="T76">
            <v>0</v>
          </cell>
          <cell r="U76">
            <v>1</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row>
        <row r="77">
          <cell r="A77">
            <v>1007</v>
          </cell>
          <cell r="B77" t="str">
            <v>N513-30B</v>
          </cell>
          <cell r="C77" t="str">
            <v>Neùo thaúng</v>
          </cell>
          <cell r="D77" t="str">
            <v>3x4T34 - 36B</v>
          </cell>
          <cell r="E77">
            <v>4429.6499999999996</v>
          </cell>
          <cell r="F77" t="str">
            <v>3T-8</v>
          </cell>
          <cell r="G77">
            <v>29.261398594710858</v>
          </cell>
          <cell r="H77">
            <v>30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1</v>
          </cell>
          <cell r="AL77">
            <v>0</v>
          </cell>
        </row>
        <row r="78">
          <cell r="A78">
            <v>1101</v>
          </cell>
          <cell r="B78" t="str">
            <v>N513-34C</v>
          </cell>
          <cell r="C78" t="str">
            <v>Neùo goùc</v>
          </cell>
          <cell r="D78" t="str">
            <v>3x4T40 - 44C</v>
          </cell>
          <cell r="E78">
            <v>4146.8999999999996</v>
          </cell>
          <cell r="F78" t="str">
            <v>3T-8</v>
          </cell>
          <cell r="G78">
            <v>27.411919676760743</v>
          </cell>
          <cell r="H78">
            <v>30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1</v>
          </cell>
          <cell r="AL78">
            <v>0</v>
          </cell>
        </row>
        <row r="79">
          <cell r="A79">
            <v>1102</v>
          </cell>
          <cell r="B79" t="str">
            <v>N513-28C</v>
          </cell>
          <cell r="C79" t="str">
            <v>Neùo thaúng</v>
          </cell>
          <cell r="D79" t="str">
            <v>3x4T34 - 36A</v>
          </cell>
          <cell r="E79">
            <v>6031.9</v>
          </cell>
          <cell r="F79" t="str">
            <v>3T-9</v>
          </cell>
          <cell r="G79">
            <v>35.126452954827613</v>
          </cell>
          <cell r="H79">
            <v>36.191399999999994</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1</v>
          </cell>
        </row>
        <row r="80">
          <cell r="A80">
            <v>1201</v>
          </cell>
          <cell r="B80" t="str">
            <v>N513-28B</v>
          </cell>
          <cell r="C80" t="str">
            <v>Neùo goùc</v>
          </cell>
          <cell r="D80" t="str">
            <v>3x4T34 - 40A</v>
          </cell>
          <cell r="E80">
            <v>3958.4</v>
          </cell>
          <cell r="F80" t="str">
            <v>3T-7</v>
          </cell>
          <cell r="G80">
            <v>29.081057115687422</v>
          </cell>
          <cell r="H80">
            <v>30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1</v>
          </cell>
          <cell r="AK80">
            <v>0</v>
          </cell>
          <cell r="AL80">
            <v>0</v>
          </cell>
        </row>
        <row r="81">
          <cell r="A81">
            <v>1202</v>
          </cell>
          <cell r="B81" t="str">
            <v>Ñ42</v>
          </cell>
          <cell r="C81" t="str">
            <v>Ñôõ thaúng</v>
          </cell>
          <cell r="E81">
            <v>3958.4</v>
          </cell>
          <cell r="F81" t="str">
            <v>1T-8</v>
          </cell>
          <cell r="G81">
            <v>29.336194533289849</v>
          </cell>
          <cell r="H81">
            <v>30</v>
          </cell>
          <cell r="K81">
            <v>0</v>
          </cell>
          <cell r="L81">
            <v>0</v>
          </cell>
          <cell r="M81">
            <v>0</v>
          </cell>
          <cell r="N81">
            <v>0</v>
          </cell>
          <cell r="O81">
            <v>0</v>
          </cell>
          <cell r="P81">
            <v>0</v>
          </cell>
          <cell r="Q81">
            <v>0</v>
          </cell>
          <cell r="R81">
            <v>0</v>
          </cell>
          <cell r="S81">
            <v>1</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row>
        <row r="82">
          <cell r="A82">
            <v>1301</v>
          </cell>
          <cell r="B82" t="str">
            <v>N513-38B</v>
          </cell>
          <cell r="C82" t="str">
            <v>Neùo goùc</v>
          </cell>
          <cell r="D82" t="str">
            <v>3x4T38 - 38D</v>
          </cell>
          <cell r="E82">
            <v>4335.3999999999996</v>
          </cell>
          <cell r="F82" t="str">
            <v>3T-8</v>
          </cell>
          <cell r="G82">
            <v>28.666923228226899</v>
          </cell>
          <cell r="H82">
            <v>30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1</v>
          </cell>
          <cell r="AL82">
            <v>0</v>
          </cell>
        </row>
        <row r="83">
          <cell r="A83">
            <v>1311</v>
          </cell>
          <cell r="B83" t="str">
            <v>N513-28C</v>
          </cell>
          <cell r="C83" t="str">
            <v>Neùo thaúng</v>
          </cell>
          <cell r="D83" t="str">
            <v>3x4T34 - 36A</v>
          </cell>
          <cell r="E83">
            <v>2752</v>
          </cell>
          <cell r="F83" t="str">
            <v>3T-5</v>
          </cell>
          <cell r="G83">
            <v>26.823821900200475</v>
          </cell>
          <cell r="H83">
            <v>30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1</v>
          </cell>
          <cell r="AI83">
            <v>0</v>
          </cell>
          <cell r="AJ83">
            <v>0</v>
          </cell>
          <cell r="AK83">
            <v>0</v>
          </cell>
          <cell r="AL83">
            <v>0</v>
          </cell>
        </row>
        <row r="84">
          <cell r="A84">
            <v>1312</v>
          </cell>
          <cell r="B84" t="str">
            <v>Ñ38</v>
          </cell>
          <cell r="C84" t="str">
            <v>Ñôõ thaúng</v>
          </cell>
          <cell r="D84" t="str">
            <v>4T34 - 30B</v>
          </cell>
          <cell r="E84">
            <v>4335.3999999999996</v>
          </cell>
          <cell r="F84" t="str">
            <v>1T-9</v>
          </cell>
          <cell r="G84">
            <v>27.687094338526432</v>
          </cell>
          <cell r="H84">
            <v>30</v>
          </cell>
          <cell r="K84">
            <v>0</v>
          </cell>
          <cell r="L84">
            <v>0</v>
          </cell>
          <cell r="M84">
            <v>0</v>
          </cell>
          <cell r="N84">
            <v>0</v>
          </cell>
          <cell r="O84">
            <v>0</v>
          </cell>
          <cell r="P84">
            <v>0</v>
          </cell>
          <cell r="Q84">
            <v>0</v>
          </cell>
          <cell r="R84">
            <v>0</v>
          </cell>
          <cell r="S84">
            <v>0</v>
          </cell>
          <cell r="T84">
            <v>1</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row>
        <row r="85">
          <cell r="A85">
            <v>1304</v>
          </cell>
          <cell r="B85" t="str">
            <v>Boû</v>
          </cell>
          <cell r="E85">
            <v>5089.3999999999996</v>
          </cell>
          <cell r="K85">
            <v>0</v>
          </cell>
          <cell r="L85">
            <v>0</v>
          </cell>
          <cell r="M85">
            <v>0</v>
          </cell>
          <cell r="N85">
            <v>0</v>
          </cell>
          <cell r="O85">
            <v>0</v>
          </cell>
          <cell r="P85">
            <v>0</v>
          </cell>
          <cell r="Q85">
            <v>0</v>
          </cell>
          <cell r="R85">
            <v>0</v>
          </cell>
          <cell r="S85">
            <v>0</v>
          </cell>
          <cell r="T85">
            <v>0</v>
          </cell>
          <cell r="U85">
            <v>1</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row>
        <row r="86">
          <cell r="A86">
            <v>1401</v>
          </cell>
          <cell r="B86" t="str">
            <v>N34</v>
          </cell>
          <cell r="C86" t="str">
            <v>Neùo goùc</v>
          </cell>
          <cell r="D86" t="str">
            <v>3x4T38 - 38A</v>
          </cell>
          <cell r="E86">
            <v>4052.65</v>
          </cell>
          <cell r="F86" t="str">
            <v>3T-8</v>
          </cell>
          <cell r="G86">
            <v>26.784417901027666</v>
          </cell>
          <cell r="H86">
            <v>30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1</v>
          </cell>
          <cell r="AL86">
            <v>0</v>
          </cell>
        </row>
        <row r="87">
          <cell r="A87">
            <v>1402</v>
          </cell>
          <cell r="B87" t="str">
            <v>Ñ38</v>
          </cell>
          <cell r="C87" t="str">
            <v>Ñôõ thaúng</v>
          </cell>
          <cell r="D87" t="str">
            <v>4T28 - 40B</v>
          </cell>
          <cell r="E87">
            <v>4241.1499999999996</v>
          </cell>
          <cell r="F87" t="str">
            <v>1T-9</v>
          </cell>
          <cell r="G87">
            <v>27.081040430194623</v>
          </cell>
          <cell r="H87">
            <v>30</v>
          </cell>
          <cell r="K87">
            <v>0</v>
          </cell>
          <cell r="L87">
            <v>0</v>
          </cell>
          <cell r="M87">
            <v>0</v>
          </cell>
          <cell r="N87">
            <v>0</v>
          </cell>
          <cell r="O87">
            <v>0</v>
          </cell>
          <cell r="P87">
            <v>0</v>
          </cell>
          <cell r="Q87">
            <v>0</v>
          </cell>
          <cell r="R87">
            <v>0</v>
          </cell>
          <cell r="S87">
            <v>0</v>
          </cell>
          <cell r="T87">
            <v>1</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row>
        <row r="88">
          <cell r="A88">
            <v>1403</v>
          </cell>
          <cell r="B88" t="str">
            <v>N34</v>
          </cell>
          <cell r="C88" t="str">
            <v>Neùo thaúng</v>
          </cell>
          <cell r="D88" t="str">
            <v>4T40 - 42E</v>
          </cell>
          <cell r="E88">
            <v>603.20000000000005</v>
          </cell>
          <cell r="F88" t="str">
            <v>3T-1</v>
          </cell>
          <cell r="G88">
            <v>16.319249403514085</v>
          </cell>
          <cell r="H88">
            <v>20</v>
          </cell>
          <cell r="K88">
            <v>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1</v>
          </cell>
          <cell r="AE88">
            <v>0</v>
          </cell>
          <cell r="AF88">
            <v>0</v>
          </cell>
          <cell r="AG88">
            <v>0</v>
          </cell>
          <cell r="AH88">
            <v>0</v>
          </cell>
          <cell r="AI88">
            <v>0</v>
          </cell>
          <cell r="AJ88">
            <v>0</v>
          </cell>
          <cell r="AK88">
            <v>0</v>
          </cell>
          <cell r="AL88">
            <v>0</v>
          </cell>
        </row>
        <row r="89">
          <cell r="A89">
            <v>1404</v>
          </cell>
          <cell r="B89" t="str">
            <v>Ñ51-38B</v>
          </cell>
          <cell r="C89" t="str">
            <v>Ñôõ thaúng</v>
          </cell>
          <cell r="D89" t="str">
            <v>4T28 - 34C</v>
          </cell>
          <cell r="E89">
            <v>433.55</v>
          </cell>
          <cell r="F89" t="str">
            <v>1T-1</v>
          </cell>
          <cell r="G89">
            <v>13.41696207104961</v>
          </cell>
          <cell r="H89">
            <v>15</v>
          </cell>
          <cell r="K89">
            <v>0</v>
          </cell>
          <cell r="L89">
            <v>1</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row>
        <row r="90">
          <cell r="A90">
            <v>1405</v>
          </cell>
          <cell r="B90" t="str">
            <v>Ñ51-38B</v>
          </cell>
          <cell r="C90" t="str">
            <v>Ñôõ thaúng</v>
          </cell>
          <cell r="D90" t="str">
            <v>4T38 - 34C</v>
          </cell>
          <cell r="E90">
            <v>433.55</v>
          </cell>
          <cell r="F90" t="str">
            <v>1T-1</v>
          </cell>
          <cell r="G90">
            <v>13.41696207104961</v>
          </cell>
          <cell r="H90">
            <v>15</v>
          </cell>
          <cell r="K90">
            <v>0</v>
          </cell>
          <cell r="L90">
            <v>1</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row>
        <row r="91">
          <cell r="A91">
            <v>1406</v>
          </cell>
          <cell r="B91" t="str">
            <v>Ñ51-38B</v>
          </cell>
          <cell r="C91" t="str">
            <v>Ñôõ thaúng</v>
          </cell>
          <cell r="D91" t="str">
            <v>4T34 - 36C</v>
          </cell>
          <cell r="E91">
            <v>278.05</v>
          </cell>
          <cell r="F91" t="str">
            <v>1T-1</v>
          </cell>
          <cell r="G91">
            <v>8.6362054710204372</v>
          </cell>
          <cell r="H91">
            <v>15</v>
          </cell>
          <cell r="K91">
            <v>0</v>
          </cell>
          <cell r="L91">
            <v>1</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row>
        <row r="92">
          <cell r="A92">
            <v>1407</v>
          </cell>
          <cell r="B92" t="str">
            <v>Ñ51-42C</v>
          </cell>
          <cell r="C92" t="str">
            <v>Ñôõ thaúng</v>
          </cell>
          <cell r="D92" t="str">
            <v>4T38 - 42D</v>
          </cell>
          <cell r="E92">
            <v>315.75</v>
          </cell>
          <cell r="F92" t="str">
            <v>1TC-1</v>
          </cell>
          <cell r="G92">
            <v>9.4195740751888088</v>
          </cell>
          <cell r="H92">
            <v>15</v>
          </cell>
          <cell r="K92">
            <v>0</v>
          </cell>
          <cell r="L92">
            <v>0</v>
          </cell>
          <cell r="M92">
            <v>0</v>
          </cell>
          <cell r="N92">
            <v>0</v>
          </cell>
          <cell r="O92">
            <v>0</v>
          </cell>
          <cell r="P92">
            <v>0</v>
          </cell>
          <cell r="Q92">
            <v>0</v>
          </cell>
          <cell r="R92">
            <v>0</v>
          </cell>
          <cell r="S92">
            <v>0</v>
          </cell>
          <cell r="T92">
            <v>0</v>
          </cell>
          <cell r="U92">
            <v>0</v>
          </cell>
          <cell r="V92">
            <v>0</v>
          </cell>
          <cell r="W92">
            <v>1</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row>
        <row r="93">
          <cell r="A93">
            <v>1408</v>
          </cell>
          <cell r="B93" t="str">
            <v>Ñ51-42B</v>
          </cell>
          <cell r="C93" t="str">
            <v>Ñôõ thaúng</v>
          </cell>
          <cell r="D93" t="str">
            <v>4T38 - 42D</v>
          </cell>
          <cell r="E93">
            <v>1055.5999999999999</v>
          </cell>
          <cell r="F93" t="str">
            <v>1TC-2</v>
          </cell>
          <cell r="G93">
            <v>27.144543980725715</v>
          </cell>
          <cell r="H93">
            <v>30</v>
          </cell>
          <cell r="K93">
            <v>0</v>
          </cell>
          <cell r="L93">
            <v>0</v>
          </cell>
          <cell r="M93">
            <v>0</v>
          </cell>
          <cell r="N93">
            <v>0</v>
          </cell>
          <cell r="O93">
            <v>0</v>
          </cell>
          <cell r="P93">
            <v>0</v>
          </cell>
          <cell r="Q93">
            <v>0</v>
          </cell>
          <cell r="R93">
            <v>0</v>
          </cell>
          <cell r="S93">
            <v>0</v>
          </cell>
          <cell r="T93">
            <v>0</v>
          </cell>
          <cell r="U93">
            <v>0</v>
          </cell>
          <cell r="V93">
            <v>0</v>
          </cell>
          <cell r="W93">
            <v>0</v>
          </cell>
          <cell r="X93">
            <v>1</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row>
        <row r="94">
          <cell r="A94">
            <v>1501</v>
          </cell>
          <cell r="B94" t="str">
            <v>N513-30B</v>
          </cell>
          <cell r="C94" t="str">
            <v>Neùo goùc</v>
          </cell>
          <cell r="D94" t="str">
            <v>3x4T40 - 44B</v>
          </cell>
          <cell r="E94">
            <v>772.85</v>
          </cell>
          <cell r="F94" t="str">
            <v>3T-2</v>
          </cell>
          <cell r="G94">
            <v>14.056703243455285</v>
          </cell>
          <cell r="H94">
            <v>20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1</v>
          </cell>
          <cell r="AF94">
            <v>0</v>
          </cell>
          <cell r="AG94">
            <v>0</v>
          </cell>
          <cell r="AH94">
            <v>0</v>
          </cell>
          <cell r="AI94">
            <v>0</v>
          </cell>
          <cell r="AJ94">
            <v>0</v>
          </cell>
          <cell r="AK94">
            <v>0</v>
          </cell>
          <cell r="AL94">
            <v>0</v>
          </cell>
        </row>
        <row r="95">
          <cell r="A95">
            <v>1502</v>
          </cell>
          <cell r="B95" t="str">
            <v>Ñ51-42B</v>
          </cell>
          <cell r="C95" t="str">
            <v>Ñôõ thaúng</v>
          </cell>
          <cell r="D95" t="str">
            <v>4T40 - 44D</v>
          </cell>
          <cell r="E95">
            <v>867.1</v>
          </cell>
          <cell r="F95" t="str">
            <v>1T-3</v>
          </cell>
          <cell r="G95">
            <v>16.771202588812013</v>
          </cell>
          <cell r="H95">
            <v>20</v>
          </cell>
          <cell r="K95">
            <v>0</v>
          </cell>
          <cell r="L95">
            <v>0</v>
          </cell>
          <cell r="M95">
            <v>0</v>
          </cell>
          <cell r="N95">
            <v>1</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row>
        <row r="96">
          <cell r="A96">
            <v>1503</v>
          </cell>
          <cell r="B96" t="str">
            <v>Ñ51-42B</v>
          </cell>
          <cell r="C96" t="str">
            <v>Ñôõ thaúng</v>
          </cell>
          <cell r="D96" t="str">
            <v>4T40 - 42D</v>
          </cell>
          <cell r="E96">
            <v>772.85</v>
          </cell>
          <cell r="F96" t="str">
            <v>1T-3</v>
          </cell>
          <cell r="G96">
            <v>14.939864375091162</v>
          </cell>
          <cell r="H96">
            <v>20</v>
          </cell>
          <cell r="K96">
            <v>0</v>
          </cell>
          <cell r="L96">
            <v>0</v>
          </cell>
          <cell r="M96">
            <v>0</v>
          </cell>
          <cell r="N96">
            <v>1</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row>
        <row r="97">
          <cell r="A97">
            <v>1601</v>
          </cell>
          <cell r="B97" t="str">
            <v>N513-28B</v>
          </cell>
          <cell r="C97" t="str">
            <v>Neùo goùc</v>
          </cell>
          <cell r="D97" t="str">
            <v>3x4T40 - 44A</v>
          </cell>
          <cell r="E97">
            <v>508.95</v>
          </cell>
          <cell r="F97" t="str">
            <v>3T-1</v>
          </cell>
          <cell r="G97">
            <v>13.756722637673034</v>
          </cell>
          <cell r="H97">
            <v>20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1</v>
          </cell>
          <cell r="AE97">
            <v>0</v>
          </cell>
          <cell r="AF97">
            <v>0</v>
          </cell>
          <cell r="AG97">
            <v>0</v>
          </cell>
          <cell r="AH97">
            <v>0</v>
          </cell>
          <cell r="AI97">
            <v>0</v>
          </cell>
          <cell r="AJ97">
            <v>0</v>
          </cell>
          <cell r="AK97">
            <v>0</v>
          </cell>
          <cell r="AL97">
            <v>0</v>
          </cell>
        </row>
        <row r="98">
          <cell r="A98">
            <v>1602</v>
          </cell>
          <cell r="B98" t="str">
            <v>Ñ51-38B</v>
          </cell>
          <cell r="C98" t="str">
            <v>Ñôõ thaúng</v>
          </cell>
          <cell r="D98" t="str">
            <v>4T38 - 40C</v>
          </cell>
          <cell r="E98">
            <v>3958.4</v>
          </cell>
          <cell r="F98" t="str">
            <v>1T-8</v>
          </cell>
          <cell r="G98">
            <v>29.336194533289849</v>
          </cell>
          <cell r="H98">
            <v>30</v>
          </cell>
          <cell r="K98">
            <v>0</v>
          </cell>
          <cell r="L98">
            <v>0</v>
          </cell>
          <cell r="M98">
            <v>0</v>
          </cell>
          <cell r="N98">
            <v>0</v>
          </cell>
          <cell r="O98">
            <v>0</v>
          </cell>
          <cell r="P98">
            <v>0</v>
          </cell>
          <cell r="Q98">
            <v>0</v>
          </cell>
          <cell r="R98">
            <v>0</v>
          </cell>
          <cell r="S98">
            <v>1</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row>
        <row r="99">
          <cell r="A99">
            <v>1603</v>
          </cell>
          <cell r="B99" t="str">
            <v>Ñ51-42B</v>
          </cell>
          <cell r="C99" t="str">
            <v>Ñôõ thaúng</v>
          </cell>
          <cell r="D99" t="str">
            <v>4T38 - 40D</v>
          </cell>
          <cell r="E99">
            <v>640.9</v>
          </cell>
          <cell r="F99" t="str">
            <v>1TC-1</v>
          </cell>
          <cell r="G99">
            <v>18.986328995302447</v>
          </cell>
          <cell r="H99">
            <v>20</v>
          </cell>
          <cell r="K99">
            <v>0</v>
          </cell>
          <cell r="L99">
            <v>0</v>
          </cell>
          <cell r="M99">
            <v>0</v>
          </cell>
          <cell r="N99">
            <v>0</v>
          </cell>
          <cell r="O99">
            <v>0</v>
          </cell>
          <cell r="P99">
            <v>0</v>
          </cell>
          <cell r="Q99">
            <v>0</v>
          </cell>
          <cell r="R99">
            <v>0</v>
          </cell>
          <cell r="S99">
            <v>0</v>
          </cell>
          <cell r="T99">
            <v>0</v>
          </cell>
          <cell r="U99">
            <v>0</v>
          </cell>
          <cell r="V99">
            <v>0</v>
          </cell>
          <cell r="W99">
            <v>1</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row>
        <row r="100">
          <cell r="A100">
            <v>1604</v>
          </cell>
          <cell r="B100" t="str">
            <v>Ñ51-38B</v>
          </cell>
          <cell r="C100" t="str">
            <v>Ñôõ thaúng</v>
          </cell>
          <cell r="D100" t="str">
            <v>4T38 - 40C</v>
          </cell>
          <cell r="E100">
            <v>1187.55</v>
          </cell>
          <cell r="F100" t="str">
            <v>1T-3</v>
          </cell>
          <cell r="G100">
            <v>22.93992078239804</v>
          </cell>
          <cell r="H100">
            <v>30</v>
          </cell>
          <cell r="K100">
            <v>0</v>
          </cell>
          <cell r="L100">
            <v>0</v>
          </cell>
          <cell r="M100">
            <v>0</v>
          </cell>
          <cell r="N100">
            <v>1</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v>0</v>
          </cell>
          <cell r="AF100">
            <v>0</v>
          </cell>
          <cell r="AG100">
            <v>0</v>
          </cell>
          <cell r="AH100">
            <v>0</v>
          </cell>
          <cell r="AI100">
            <v>0</v>
          </cell>
          <cell r="AJ100">
            <v>0</v>
          </cell>
          <cell r="AK100">
            <v>0</v>
          </cell>
          <cell r="AL100">
            <v>0</v>
          </cell>
        </row>
        <row r="101">
          <cell r="A101">
            <v>1605</v>
          </cell>
          <cell r="B101" t="str">
            <v>Ñ51-42B</v>
          </cell>
          <cell r="C101" t="str">
            <v>Ñôõ thaúng</v>
          </cell>
          <cell r="D101" t="str">
            <v>4T40 - 42D</v>
          </cell>
          <cell r="E101">
            <v>254.45</v>
          </cell>
          <cell r="F101" t="str">
            <v>1T-1</v>
          </cell>
          <cell r="G101">
            <v>7.8651156968221869</v>
          </cell>
          <cell r="H101">
            <v>15</v>
          </cell>
          <cell r="K101">
            <v>0</v>
          </cell>
          <cell r="L101">
            <v>1</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v>0</v>
          </cell>
          <cell r="AF101">
            <v>0</v>
          </cell>
          <cell r="AG101">
            <v>0</v>
          </cell>
          <cell r="AH101">
            <v>0</v>
          </cell>
          <cell r="AI101">
            <v>0</v>
          </cell>
          <cell r="AJ101">
            <v>0</v>
          </cell>
          <cell r="AK101">
            <v>0</v>
          </cell>
          <cell r="AL101">
            <v>0</v>
          </cell>
        </row>
        <row r="102">
          <cell r="A102">
            <v>1606</v>
          </cell>
          <cell r="B102" t="str">
            <v>Ñ51-38B</v>
          </cell>
          <cell r="C102" t="str">
            <v>Ñôõ thaúng</v>
          </cell>
          <cell r="D102" t="str">
            <v>4T40 - 42C</v>
          </cell>
          <cell r="E102">
            <v>301.60000000000002</v>
          </cell>
          <cell r="F102" t="str">
            <v>1T-1</v>
          </cell>
          <cell r="G102">
            <v>9.4072952452186929</v>
          </cell>
          <cell r="H102">
            <v>15</v>
          </cell>
          <cell r="K102">
            <v>0</v>
          </cell>
          <cell r="L102">
            <v>1</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row>
        <row r="103">
          <cell r="A103">
            <v>1607</v>
          </cell>
          <cell r="B103" t="str">
            <v>Ñ51-42B</v>
          </cell>
          <cell r="C103" t="str">
            <v>Ñôõ thaúng</v>
          </cell>
          <cell r="D103" t="str">
            <v>4T40 - 42D</v>
          </cell>
          <cell r="E103">
            <v>395.85</v>
          </cell>
          <cell r="F103" t="str">
            <v>1TC-1</v>
          </cell>
          <cell r="G103">
            <v>11.774467593986012</v>
          </cell>
          <cell r="H103">
            <v>15</v>
          </cell>
          <cell r="K103">
            <v>0</v>
          </cell>
          <cell r="L103">
            <v>0</v>
          </cell>
          <cell r="M103">
            <v>0</v>
          </cell>
          <cell r="N103">
            <v>0</v>
          </cell>
          <cell r="O103">
            <v>0</v>
          </cell>
          <cell r="P103">
            <v>0</v>
          </cell>
          <cell r="Q103">
            <v>0</v>
          </cell>
          <cell r="R103">
            <v>0</v>
          </cell>
          <cell r="S103">
            <v>0</v>
          </cell>
          <cell r="T103">
            <v>0</v>
          </cell>
          <cell r="U103">
            <v>0</v>
          </cell>
          <cell r="V103">
            <v>0</v>
          </cell>
          <cell r="W103">
            <v>1</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row>
        <row r="104">
          <cell r="A104">
            <v>1701</v>
          </cell>
          <cell r="B104" t="str">
            <v>N513-28B</v>
          </cell>
          <cell r="C104" t="str">
            <v>Neùo goùc</v>
          </cell>
          <cell r="D104" t="str">
            <v>3x4T40 - 42A</v>
          </cell>
          <cell r="E104">
            <v>1508</v>
          </cell>
          <cell r="F104" t="str">
            <v>3TC-2</v>
          </cell>
          <cell r="G104">
            <v>26.35065888906086</v>
          </cell>
          <cell r="H104">
            <v>30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1</v>
          </cell>
          <cell r="AC104">
            <v>0</v>
          </cell>
          <cell r="AD104">
            <v>0</v>
          </cell>
          <cell r="AE104">
            <v>0</v>
          </cell>
          <cell r="AF104">
            <v>0</v>
          </cell>
          <cell r="AG104">
            <v>0</v>
          </cell>
          <cell r="AH104">
            <v>0</v>
          </cell>
          <cell r="AI104">
            <v>0</v>
          </cell>
          <cell r="AJ104">
            <v>0</v>
          </cell>
          <cell r="AK104">
            <v>0</v>
          </cell>
          <cell r="AL104">
            <v>0</v>
          </cell>
        </row>
        <row r="105">
          <cell r="A105">
            <v>1702</v>
          </cell>
          <cell r="B105" t="str">
            <v>Ñ51-28B</v>
          </cell>
          <cell r="C105" t="str">
            <v>Ñôõ thaúng</v>
          </cell>
          <cell r="D105" t="str">
            <v>4T28 - 34A</v>
          </cell>
          <cell r="E105">
            <v>6785.85</v>
          </cell>
          <cell r="F105" t="str">
            <v>1T-10</v>
          </cell>
          <cell r="G105">
            <v>39.739812948578489</v>
          </cell>
          <cell r="H105">
            <v>40.7151</v>
          </cell>
          <cell r="K105">
            <v>0</v>
          </cell>
          <cell r="L105">
            <v>0</v>
          </cell>
          <cell r="M105">
            <v>0</v>
          </cell>
          <cell r="N105">
            <v>0</v>
          </cell>
          <cell r="O105">
            <v>0</v>
          </cell>
          <cell r="P105">
            <v>0</v>
          </cell>
          <cell r="Q105">
            <v>0</v>
          </cell>
          <cell r="R105">
            <v>0</v>
          </cell>
          <cell r="S105">
            <v>0</v>
          </cell>
          <cell r="T105">
            <v>0</v>
          </cell>
          <cell r="U105">
            <v>1</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row>
        <row r="106">
          <cell r="A106">
            <v>1703</v>
          </cell>
          <cell r="B106" t="str">
            <v>N513-28B</v>
          </cell>
          <cell r="C106" t="str">
            <v>Neùo thaúng</v>
          </cell>
          <cell r="D106" t="str">
            <v>3x4T34 - 36A</v>
          </cell>
          <cell r="E106">
            <v>6597.35</v>
          </cell>
          <cell r="F106" t="str">
            <v>3T-9</v>
          </cell>
          <cell r="G106">
            <v>38.415010687963921</v>
          </cell>
          <cell r="H106">
            <v>39.584099999999999</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1</v>
          </cell>
        </row>
        <row r="107">
          <cell r="A107">
            <v>1704</v>
          </cell>
          <cell r="B107" t="str">
            <v>N513-28B</v>
          </cell>
          <cell r="C107" t="str">
            <v>Neùo thaúng</v>
          </cell>
          <cell r="D107" t="str">
            <v>3x4T34 - 36A</v>
          </cell>
          <cell r="E107">
            <v>9519.0499999999993</v>
          </cell>
          <cell r="F107" t="str">
            <v>3T-9</v>
          </cell>
          <cell r="G107">
            <v>55.410742689305536</v>
          </cell>
          <cell r="H107">
            <v>57.1143</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1</v>
          </cell>
        </row>
        <row r="108">
          <cell r="A108">
            <v>1705</v>
          </cell>
          <cell r="B108" t="str">
            <v>Ñ51-28C</v>
          </cell>
          <cell r="C108" t="str">
            <v>Ñôõ thaúng</v>
          </cell>
          <cell r="D108" t="str">
            <v>4T28 - 34A</v>
          </cell>
          <cell r="E108">
            <v>6220.35</v>
          </cell>
          <cell r="F108" t="str">
            <v>1T-10</v>
          </cell>
          <cell r="G108">
            <v>36.433039117069384</v>
          </cell>
          <cell r="H108">
            <v>37.322099999999999</v>
          </cell>
          <cell r="K108">
            <v>0</v>
          </cell>
          <cell r="L108">
            <v>0</v>
          </cell>
          <cell r="M108">
            <v>0</v>
          </cell>
          <cell r="N108">
            <v>0</v>
          </cell>
          <cell r="O108">
            <v>0</v>
          </cell>
          <cell r="P108">
            <v>0</v>
          </cell>
          <cell r="Q108">
            <v>0</v>
          </cell>
          <cell r="R108">
            <v>0</v>
          </cell>
          <cell r="S108">
            <v>0</v>
          </cell>
          <cell r="T108">
            <v>0</v>
          </cell>
          <cell r="U108">
            <v>1</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row>
        <row r="109">
          <cell r="A109">
            <v>1706</v>
          </cell>
          <cell r="B109" t="str">
            <v>N513-28B</v>
          </cell>
          <cell r="C109" t="str">
            <v>Neùo thaúng</v>
          </cell>
          <cell r="D109" t="str">
            <v>3x4T34 - 36A</v>
          </cell>
          <cell r="E109">
            <v>1168.7</v>
          </cell>
          <cell r="F109" t="str">
            <v>3T-2</v>
          </cell>
          <cell r="G109">
            <v>21.221087477216365</v>
          </cell>
          <cell r="H109">
            <v>30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1</v>
          </cell>
          <cell r="AF109">
            <v>0</v>
          </cell>
          <cell r="AG109">
            <v>0</v>
          </cell>
          <cell r="AH109">
            <v>0</v>
          </cell>
          <cell r="AI109">
            <v>0</v>
          </cell>
          <cell r="AJ109">
            <v>0</v>
          </cell>
          <cell r="AK109">
            <v>0</v>
          </cell>
          <cell r="AL109">
            <v>0</v>
          </cell>
        </row>
        <row r="110">
          <cell r="A110">
            <v>1707</v>
          </cell>
          <cell r="B110" t="str">
            <v>Ñ42</v>
          </cell>
          <cell r="C110" t="str">
            <v>Ñôõ thaúng</v>
          </cell>
          <cell r="E110">
            <v>885.95</v>
          </cell>
          <cell r="F110" t="str">
            <v>1TC-2</v>
          </cell>
          <cell r="G110">
            <v>22.791173719665935</v>
          </cell>
          <cell r="H110">
            <v>20</v>
          </cell>
          <cell r="K110">
            <v>1</v>
          </cell>
          <cell r="L110">
            <v>0</v>
          </cell>
          <cell r="M110">
            <v>0</v>
          </cell>
          <cell r="N110">
            <v>0</v>
          </cell>
          <cell r="O110">
            <v>0</v>
          </cell>
          <cell r="P110">
            <v>0</v>
          </cell>
          <cell r="Q110">
            <v>0</v>
          </cell>
          <cell r="R110">
            <v>0</v>
          </cell>
          <cell r="S110">
            <v>0</v>
          </cell>
          <cell r="T110">
            <v>0</v>
          </cell>
          <cell r="U110">
            <v>0</v>
          </cell>
          <cell r="V110">
            <v>0</v>
          </cell>
          <cell r="W110">
            <v>0</v>
          </cell>
          <cell r="X110">
            <v>1</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row>
        <row r="111">
          <cell r="A111">
            <v>1708</v>
          </cell>
          <cell r="B111" t="str">
            <v>Ñ51-34C</v>
          </cell>
          <cell r="C111" t="str">
            <v>Ñôõ thaúng</v>
          </cell>
          <cell r="D111" t="str">
            <v>4T34 - 34B</v>
          </cell>
          <cell r="E111">
            <v>754</v>
          </cell>
          <cell r="F111" t="str">
            <v>1T-2</v>
          </cell>
          <cell r="G111">
            <v>20.639983353224128</v>
          </cell>
          <cell r="H111">
            <v>20</v>
          </cell>
          <cell r="K111">
            <v>1</v>
          </cell>
          <cell r="L111">
            <v>0</v>
          </cell>
          <cell r="M111">
            <v>1</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row>
        <row r="112">
          <cell r="A112">
            <v>1709</v>
          </cell>
          <cell r="B112" t="str">
            <v>Ñ51-34B</v>
          </cell>
          <cell r="C112" t="str">
            <v>Ñôõ thaúng</v>
          </cell>
          <cell r="D112" t="str">
            <v>4T34 - 34B</v>
          </cell>
          <cell r="E112">
            <v>1885</v>
          </cell>
          <cell r="F112" t="str">
            <v>1T-4</v>
          </cell>
          <cell r="G112">
            <v>27.353807311129135</v>
          </cell>
          <cell r="H112">
            <v>30</v>
          </cell>
          <cell r="K112">
            <v>0</v>
          </cell>
          <cell r="L112">
            <v>0</v>
          </cell>
          <cell r="M112">
            <v>0</v>
          </cell>
          <cell r="N112">
            <v>0</v>
          </cell>
          <cell r="O112">
            <v>1</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row>
        <row r="113">
          <cell r="A113">
            <v>1710</v>
          </cell>
          <cell r="B113" t="str">
            <v>Ñ51-34B</v>
          </cell>
          <cell r="C113" t="str">
            <v>Ñôõ thaúng</v>
          </cell>
          <cell r="D113" t="str">
            <v>4T34 - 30B</v>
          </cell>
          <cell r="E113">
            <v>1508</v>
          </cell>
          <cell r="F113" t="str">
            <v>1T-4</v>
          </cell>
          <cell r="G113">
            <v>21.854100021060841</v>
          </cell>
          <cell r="H113">
            <v>30</v>
          </cell>
          <cell r="K113">
            <v>0</v>
          </cell>
          <cell r="L113">
            <v>0</v>
          </cell>
          <cell r="M113">
            <v>0</v>
          </cell>
          <cell r="N113">
            <v>0</v>
          </cell>
          <cell r="O113">
            <v>1</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row>
        <row r="114">
          <cell r="A114">
            <v>1711</v>
          </cell>
          <cell r="B114" t="str">
            <v>Ñ51-28C</v>
          </cell>
          <cell r="C114" t="str">
            <v>Ñôõ thaúng</v>
          </cell>
          <cell r="D114" t="str">
            <v>4T34 - 30A</v>
          </cell>
          <cell r="E114">
            <v>2450.4499999999998</v>
          </cell>
          <cell r="F114" t="str">
            <v>1T-5</v>
          </cell>
          <cell r="G114">
            <v>27.997741801881798</v>
          </cell>
          <cell r="H114">
            <v>30</v>
          </cell>
          <cell r="K114">
            <v>0</v>
          </cell>
          <cell r="L114">
            <v>0</v>
          </cell>
          <cell r="M114">
            <v>0</v>
          </cell>
          <cell r="N114">
            <v>0</v>
          </cell>
          <cell r="O114">
            <v>0</v>
          </cell>
          <cell r="P114">
            <v>1</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row>
        <row r="115">
          <cell r="A115">
            <v>1712</v>
          </cell>
          <cell r="B115" t="str">
            <v>Ñ51-42B</v>
          </cell>
          <cell r="C115" t="str">
            <v>Ñôõ thaúng</v>
          </cell>
          <cell r="D115" t="str">
            <v>4T34 - 34D</v>
          </cell>
          <cell r="E115">
            <v>1790.75</v>
          </cell>
          <cell r="F115" t="str">
            <v>1T-4</v>
          </cell>
          <cell r="G115">
            <v>25.978880488612059</v>
          </cell>
          <cell r="H115">
            <v>30</v>
          </cell>
          <cell r="K115">
            <v>0</v>
          </cell>
          <cell r="L115">
            <v>0</v>
          </cell>
          <cell r="M115">
            <v>0</v>
          </cell>
          <cell r="N115">
            <v>0</v>
          </cell>
          <cell r="O115">
            <v>1</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row>
        <row r="116">
          <cell r="A116">
            <v>1801</v>
          </cell>
          <cell r="B116" t="str">
            <v>N513-28C</v>
          </cell>
          <cell r="C116" t="str">
            <v>Neùo goùc</v>
          </cell>
          <cell r="D116" t="str">
            <v>3x4T34 - 38A</v>
          </cell>
          <cell r="E116">
            <v>1413.75</v>
          </cell>
          <cell r="F116" t="str">
            <v>3T-2</v>
          </cell>
          <cell r="G116">
            <v>25.664819470308679</v>
          </cell>
          <cell r="H116">
            <v>30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1</v>
          </cell>
          <cell r="AF116">
            <v>0</v>
          </cell>
          <cell r="AG116">
            <v>0</v>
          </cell>
          <cell r="AH116">
            <v>0</v>
          </cell>
          <cell r="AI116">
            <v>0</v>
          </cell>
          <cell r="AJ116">
            <v>0</v>
          </cell>
          <cell r="AK116">
            <v>0</v>
          </cell>
          <cell r="AL116">
            <v>0</v>
          </cell>
        </row>
        <row r="117">
          <cell r="A117">
            <v>1901</v>
          </cell>
          <cell r="B117" t="str">
            <v>N51I-62</v>
          </cell>
          <cell r="C117" t="str">
            <v>Neùo goùc</v>
          </cell>
          <cell r="D117" t="str">
            <v>4TN45-48D</v>
          </cell>
          <cell r="E117">
            <v>4335.3999999999996</v>
          </cell>
          <cell r="F117" t="str">
            <v>1T-9</v>
          </cell>
          <cell r="G117">
            <v>27.687094338526432</v>
          </cell>
          <cell r="H117">
            <v>30</v>
          </cell>
          <cell r="K117">
            <v>0</v>
          </cell>
          <cell r="L117">
            <v>0</v>
          </cell>
          <cell r="M117">
            <v>0</v>
          </cell>
          <cell r="N117">
            <v>0</v>
          </cell>
          <cell r="O117">
            <v>0</v>
          </cell>
          <cell r="P117">
            <v>0</v>
          </cell>
          <cell r="Q117">
            <v>0</v>
          </cell>
          <cell r="R117">
            <v>0</v>
          </cell>
          <cell r="S117">
            <v>0</v>
          </cell>
          <cell r="T117">
            <v>1</v>
          </cell>
          <cell r="U117">
            <v>0</v>
          </cell>
          <cell r="V117">
            <v>0</v>
          </cell>
          <cell r="W117">
            <v>0</v>
          </cell>
          <cell r="X117">
            <v>0</v>
          </cell>
          <cell r="Y117">
            <v>0</v>
          </cell>
          <cell r="Z117">
            <v>0</v>
          </cell>
          <cell r="AA117">
            <v>0</v>
          </cell>
          <cell r="AB117">
            <v>0</v>
          </cell>
          <cell r="AC117">
            <v>0</v>
          </cell>
          <cell r="AD117">
            <v>0</v>
          </cell>
          <cell r="AE117">
            <v>0</v>
          </cell>
          <cell r="AF117">
            <v>0</v>
          </cell>
          <cell r="AG117">
            <v>0</v>
          </cell>
          <cell r="AH117">
            <v>0</v>
          </cell>
          <cell r="AI117">
            <v>0</v>
          </cell>
          <cell r="AJ117">
            <v>0</v>
          </cell>
          <cell r="AK117">
            <v>0</v>
          </cell>
          <cell r="AL117">
            <v>0</v>
          </cell>
        </row>
        <row r="118">
          <cell r="A118">
            <v>1902</v>
          </cell>
          <cell r="B118" t="str">
            <v>N51I-58</v>
          </cell>
          <cell r="C118" t="str">
            <v>Neùo thaúng</v>
          </cell>
          <cell r="D118" t="str">
            <v>4TN45-48C</v>
          </cell>
          <cell r="E118">
            <v>2450.4499999999998</v>
          </cell>
          <cell r="F118" t="str">
            <v>3T-4</v>
          </cell>
          <cell r="G118">
            <v>28.492326134600823</v>
          </cell>
          <cell r="H118">
            <v>30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1</v>
          </cell>
          <cell r="AH118">
            <v>0</v>
          </cell>
          <cell r="AI118">
            <v>0</v>
          </cell>
          <cell r="AJ118">
            <v>0</v>
          </cell>
          <cell r="AK118">
            <v>0</v>
          </cell>
          <cell r="AL118">
            <v>0</v>
          </cell>
        </row>
        <row r="119">
          <cell r="A119">
            <v>2001</v>
          </cell>
          <cell r="B119" t="str">
            <v>N513-28C</v>
          </cell>
          <cell r="C119" t="str">
            <v>Neùo goùc</v>
          </cell>
          <cell r="D119" t="str">
            <v>3x4T34 - 36A</v>
          </cell>
          <cell r="E119">
            <v>4052.65</v>
          </cell>
          <cell r="F119" t="str">
            <v>3T-8</v>
          </cell>
          <cell r="G119">
            <v>26.784417901027666</v>
          </cell>
          <cell r="H119">
            <v>30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1</v>
          </cell>
          <cell r="AL119">
            <v>0</v>
          </cell>
        </row>
        <row r="120">
          <cell r="A120">
            <v>2002</v>
          </cell>
          <cell r="B120" t="str">
            <v>Ñ51-28B</v>
          </cell>
          <cell r="C120" t="str">
            <v>Ñôõ thaúng</v>
          </cell>
          <cell r="D120" t="str">
            <v>4T28 - 34A</v>
          </cell>
          <cell r="E120">
            <v>3204.45</v>
          </cell>
          <cell r="F120" t="str">
            <v>1T-7</v>
          </cell>
          <cell r="G120">
            <v>26.720544703949809</v>
          </cell>
          <cell r="H120">
            <v>30</v>
          </cell>
          <cell r="K120">
            <v>0</v>
          </cell>
          <cell r="L120">
            <v>0</v>
          </cell>
          <cell r="M120">
            <v>0</v>
          </cell>
          <cell r="N120">
            <v>0</v>
          </cell>
          <cell r="O120">
            <v>0</v>
          </cell>
          <cell r="P120">
            <v>0</v>
          </cell>
          <cell r="Q120">
            <v>0</v>
          </cell>
          <cell r="R120">
            <v>1</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0</v>
          </cell>
          <cell r="AH120">
            <v>0</v>
          </cell>
          <cell r="AI120">
            <v>0</v>
          </cell>
          <cell r="AJ120">
            <v>0</v>
          </cell>
          <cell r="AK120">
            <v>0</v>
          </cell>
          <cell r="AL120">
            <v>0</v>
          </cell>
        </row>
        <row r="121">
          <cell r="A121">
            <v>2003</v>
          </cell>
          <cell r="B121" t="str">
            <v>Ñ51-38B</v>
          </cell>
          <cell r="C121" t="str">
            <v>Ñôõ thaúng</v>
          </cell>
          <cell r="D121" t="str">
            <v>4T34 - 34C</v>
          </cell>
          <cell r="E121">
            <v>3110.15</v>
          </cell>
          <cell r="F121" t="str">
            <v>1T-7</v>
          </cell>
          <cell r="G121">
            <v>25.970201794946533</v>
          </cell>
          <cell r="H121">
            <v>30</v>
          </cell>
          <cell r="K121">
            <v>0</v>
          </cell>
          <cell r="L121">
            <v>0</v>
          </cell>
          <cell r="M121">
            <v>0</v>
          </cell>
          <cell r="N121">
            <v>0</v>
          </cell>
          <cell r="O121">
            <v>0</v>
          </cell>
          <cell r="P121">
            <v>0</v>
          </cell>
          <cell r="Q121">
            <v>0</v>
          </cell>
          <cell r="R121">
            <v>1</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row>
        <row r="122">
          <cell r="A122">
            <v>2004</v>
          </cell>
          <cell r="B122" t="str">
            <v>Ñ51-34B</v>
          </cell>
          <cell r="C122" t="str">
            <v>Ñôõ thaúng</v>
          </cell>
          <cell r="D122" t="str">
            <v>4T34 - 30B</v>
          </cell>
          <cell r="E122">
            <v>2167.6999999999998</v>
          </cell>
          <cell r="F122" t="str">
            <v>1T-5</v>
          </cell>
          <cell r="G122">
            <v>24.747494790258049</v>
          </cell>
          <cell r="H122">
            <v>30</v>
          </cell>
          <cell r="K122">
            <v>0</v>
          </cell>
          <cell r="L122">
            <v>0</v>
          </cell>
          <cell r="M122">
            <v>0</v>
          </cell>
          <cell r="N122">
            <v>0</v>
          </cell>
          <cell r="O122">
            <v>0</v>
          </cell>
          <cell r="P122">
            <v>1</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row>
        <row r="123">
          <cell r="A123">
            <v>2005</v>
          </cell>
          <cell r="B123" t="str">
            <v>Ñ51-28B</v>
          </cell>
          <cell r="C123" t="str">
            <v>Ñôõ thaúng</v>
          </cell>
          <cell r="D123" t="str">
            <v>4T34 - 28A</v>
          </cell>
          <cell r="E123">
            <v>2016.95</v>
          </cell>
          <cell r="F123" t="str">
            <v>1T-5</v>
          </cell>
          <cell r="G123">
            <v>23.036838468350805</v>
          </cell>
          <cell r="H123">
            <v>30</v>
          </cell>
          <cell r="K123">
            <v>0</v>
          </cell>
          <cell r="L123">
            <v>0</v>
          </cell>
          <cell r="M123">
            <v>0</v>
          </cell>
          <cell r="N123">
            <v>0</v>
          </cell>
          <cell r="O123">
            <v>0</v>
          </cell>
          <cell r="P123">
            <v>1</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row>
        <row r="124">
          <cell r="A124">
            <v>2006</v>
          </cell>
          <cell r="B124" t="str">
            <v>Ñ51-34B</v>
          </cell>
          <cell r="C124" t="str">
            <v>Ñôõ thaúng</v>
          </cell>
          <cell r="D124" t="str">
            <v>4T34 - 34B</v>
          </cell>
          <cell r="E124">
            <v>867.1</v>
          </cell>
          <cell r="F124" t="str">
            <v>1TC-2</v>
          </cell>
          <cell r="G124">
            <v>22.279012512482424</v>
          </cell>
          <cell r="H124">
            <v>20</v>
          </cell>
          <cell r="K124">
            <v>1</v>
          </cell>
          <cell r="L124">
            <v>0</v>
          </cell>
          <cell r="M124">
            <v>0</v>
          </cell>
          <cell r="N124">
            <v>0</v>
          </cell>
          <cell r="O124">
            <v>0</v>
          </cell>
          <cell r="P124">
            <v>0</v>
          </cell>
          <cell r="Q124">
            <v>0</v>
          </cell>
          <cell r="R124">
            <v>0</v>
          </cell>
          <cell r="S124">
            <v>0</v>
          </cell>
          <cell r="T124">
            <v>0</v>
          </cell>
          <cell r="U124">
            <v>0</v>
          </cell>
          <cell r="V124">
            <v>0</v>
          </cell>
          <cell r="W124">
            <v>0</v>
          </cell>
          <cell r="X124">
            <v>1</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row>
        <row r="125">
          <cell r="A125">
            <v>2007</v>
          </cell>
          <cell r="B125" t="str">
            <v>Ñ51-34B</v>
          </cell>
          <cell r="C125" t="str">
            <v>Ñôõ thaúng</v>
          </cell>
          <cell r="D125" t="str">
            <v>4T34 - 30B</v>
          </cell>
          <cell r="E125">
            <v>829.4</v>
          </cell>
          <cell r="F125" t="str">
            <v>1TC-2</v>
          </cell>
          <cell r="G125">
            <v>21.254690098115425</v>
          </cell>
          <cell r="H125">
            <v>20</v>
          </cell>
          <cell r="K125">
            <v>1</v>
          </cell>
          <cell r="L125">
            <v>0</v>
          </cell>
          <cell r="M125">
            <v>0</v>
          </cell>
          <cell r="N125">
            <v>0</v>
          </cell>
          <cell r="O125">
            <v>0</v>
          </cell>
          <cell r="P125">
            <v>0</v>
          </cell>
          <cell r="Q125">
            <v>0</v>
          </cell>
          <cell r="R125">
            <v>0</v>
          </cell>
          <cell r="S125">
            <v>0</v>
          </cell>
          <cell r="T125">
            <v>0</v>
          </cell>
          <cell r="U125">
            <v>0</v>
          </cell>
          <cell r="V125">
            <v>0</v>
          </cell>
          <cell r="W125">
            <v>0</v>
          </cell>
          <cell r="X125">
            <v>1</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row>
        <row r="126">
          <cell r="A126">
            <v>2201</v>
          </cell>
          <cell r="B126" t="str">
            <v>N513-38B</v>
          </cell>
          <cell r="C126" t="str">
            <v>Neùo goùc</v>
          </cell>
          <cell r="D126" t="str">
            <v>3x4T38 - 42D</v>
          </cell>
          <cell r="E126">
            <v>1602.25</v>
          </cell>
          <cell r="F126" t="str">
            <v>3T-4</v>
          </cell>
          <cell r="G126">
            <v>18.627365965798091</v>
          </cell>
          <cell r="H126">
            <v>30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1</v>
          </cell>
          <cell r="AH126">
            <v>0</v>
          </cell>
          <cell r="AI126">
            <v>0</v>
          </cell>
          <cell r="AJ126">
            <v>0</v>
          </cell>
          <cell r="AK126">
            <v>0</v>
          </cell>
          <cell r="AL126">
            <v>0</v>
          </cell>
        </row>
        <row r="127">
          <cell r="A127">
            <v>2202</v>
          </cell>
          <cell r="B127" t="str">
            <v>N513-34B</v>
          </cell>
          <cell r="C127" t="str">
            <v>Neùo thaúng</v>
          </cell>
          <cell r="D127" t="str">
            <v>3x4T38 - 36C</v>
          </cell>
          <cell r="E127">
            <v>2827.4</v>
          </cell>
          <cell r="F127" t="str">
            <v>3T-5</v>
          </cell>
          <cell r="G127">
            <v>27.554052986412831</v>
          </cell>
          <cell r="H127">
            <v>30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1</v>
          </cell>
          <cell r="AI127">
            <v>0</v>
          </cell>
          <cell r="AJ127">
            <v>0</v>
          </cell>
          <cell r="AK127">
            <v>0</v>
          </cell>
          <cell r="AL127">
            <v>0</v>
          </cell>
        </row>
        <row r="128">
          <cell r="A128">
            <v>2203</v>
          </cell>
          <cell r="B128" t="str">
            <v>N513-38B</v>
          </cell>
          <cell r="C128" t="str">
            <v>Neùo thaúng</v>
          </cell>
          <cell r="D128" t="str">
            <v>3x4T38 - 36D</v>
          </cell>
          <cell r="E128">
            <v>3015.9</v>
          </cell>
          <cell r="F128" t="str">
            <v>3T-6</v>
          </cell>
          <cell r="G128">
            <v>25.137265506750698</v>
          </cell>
          <cell r="H128">
            <v>30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1</v>
          </cell>
          <cell r="AJ128">
            <v>0</v>
          </cell>
          <cell r="AK128">
            <v>0</v>
          </cell>
          <cell r="AL128">
            <v>0</v>
          </cell>
        </row>
        <row r="129">
          <cell r="A129">
            <v>2301</v>
          </cell>
          <cell r="B129" t="str">
            <v>N513-34D</v>
          </cell>
          <cell r="C129" t="str">
            <v>Neùo goùc</v>
          </cell>
          <cell r="D129" t="str">
            <v>3x4T38 - 36C</v>
          </cell>
          <cell r="E129">
            <v>1225.25</v>
          </cell>
          <cell r="F129" t="str">
            <v>3T-3</v>
          </cell>
          <cell r="G129">
            <v>18.437859600160326</v>
          </cell>
          <cell r="H129">
            <v>30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1</v>
          </cell>
          <cell r="AG129">
            <v>0</v>
          </cell>
          <cell r="AH129">
            <v>0</v>
          </cell>
          <cell r="AI129">
            <v>0</v>
          </cell>
          <cell r="AJ129">
            <v>0</v>
          </cell>
          <cell r="AK129">
            <v>0</v>
          </cell>
          <cell r="AL129">
            <v>0</v>
          </cell>
        </row>
        <row r="130">
          <cell r="A130">
            <v>2302</v>
          </cell>
          <cell r="B130" t="str">
            <v>Ñ51-42D</v>
          </cell>
          <cell r="C130" t="str">
            <v>Ñôõ thaúng</v>
          </cell>
          <cell r="D130" t="str">
            <v>4T38 - 36D</v>
          </cell>
          <cell r="E130">
            <v>4900.8999999999996</v>
          </cell>
          <cell r="F130" t="str">
            <v>1T-10</v>
          </cell>
          <cell r="G130">
            <v>28.707479015136592</v>
          </cell>
          <cell r="H130">
            <v>30</v>
          </cell>
          <cell r="K130">
            <v>0</v>
          </cell>
          <cell r="L130">
            <v>0</v>
          </cell>
          <cell r="M130">
            <v>0</v>
          </cell>
          <cell r="N130">
            <v>0</v>
          </cell>
          <cell r="O130">
            <v>0</v>
          </cell>
          <cell r="P130">
            <v>0</v>
          </cell>
          <cell r="Q130">
            <v>0</v>
          </cell>
          <cell r="R130">
            <v>0</v>
          </cell>
          <cell r="S130">
            <v>0</v>
          </cell>
          <cell r="T130">
            <v>0</v>
          </cell>
          <cell r="U130">
            <v>1</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row>
        <row r="131">
          <cell r="A131">
            <v>2303</v>
          </cell>
          <cell r="B131" t="str">
            <v>Ñ51-42B</v>
          </cell>
          <cell r="C131" t="str">
            <v>Ñôõ thaúng</v>
          </cell>
          <cell r="D131" t="str">
            <v>4T38 - 34D</v>
          </cell>
          <cell r="E131">
            <v>3562.6</v>
          </cell>
          <cell r="F131" t="str">
            <v>1T-8</v>
          </cell>
          <cell r="G131">
            <v>26.409983209893515</v>
          </cell>
          <cell r="H131">
            <v>30</v>
          </cell>
          <cell r="K131">
            <v>0</v>
          </cell>
          <cell r="L131">
            <v>0</v>
          </cell>
          <cell r="M131">
            <v>0</v>
          </cell>
          <cell r="N131">
            <v>0</v>
          </cell>
          <cell r="O131">
            <v>0</v>
          </cell>
          <cell r="P131">
            <v>0</v>
          </cell>
          <cell r="Q131">
            <v>0</v>
          </cell>
          <cell r="R131">
            <v>0</v>
          </cell>
          <cell r="S131">
            <v>1</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row>
        <row r="132">
          <cell r="A132">
            <v>2304</v>
          </cell>
          <cell r="B132" t="str">
            <v>Ñ28</v>
          </cell>
          <cell r="C132" t="str">
            <v>Ñôõ thaúng</v>
          </cell>
          <cell r="E132">
            <v>4712.3999999999996</v>
          </cell>
          <cell r="F132" t="str">
            <v>1T-10</v>
          </cell>
          <cell r="G132">
            <v>27.595466576222019</v>
          </cell>
          <cell r="H132">
            <v>30</v>
          </cell>
          <cell r="K132">
            <v>0</v>
          </cell>
          <cell r="L132">
            <v>0</v>
          </cell>
          <cell r="M132">
            <v>0</v>
          </cell>
          <cell r="N132">
            <v>0</v>
          </cell>
          <cell r="O132">
            <v>0</v>
          </cell>
          <cell r="P132">
            <v>0</v>
          </cell>
          <cell r="Q132">
            <v>0</v>
          </cell>
          <cell r="R132">
            <v>0</v>
          </cell>
          <cell r="S132">
            <v>0</v>
          </cell>
          <cell r="T132">
            <v>0</v>
          </cell>
          <cell r="U132">
            <v>1</v>
          </cell>
          <cell r="V132">
            <v>0</v>
          </cell>
          <cell r="W132">
            <v>0</v>
          </cell>
          <cell r="X132">
            <v>0</v>
          </cell>
          <cell r="Y132">
            <v>0</v>
          </cell>
          <cell r="Z132">
            <v>0</v>
          </cell>
          <cell r="AA132">
            <v>0</v>
          </cell>
          <cell r="AB132">
            <v>0</v>
          </cell>
          <cell r="AC132">
            <v>0</v>
          </cell>
          <cell r="AD132">
            <v>0</v>
          </cell>
          <cell r="AE132">
            <v>0</v>
          </cell>
          <cell r="AF132">
            <v>0</v>
          </cell>
          <cell r="AG132">
            <v>0</v>
          </cell>
          <cell r="AH132">
            <v>0</v>
          </cell>
          <cell r="AI132">
            <v>0</v>
          </cell>
          <cell r="AJ132">
            <v>0</v>
          </cell>
          <cell r="AK132">
            <v>0</v>
          </cell>
          <cell r="AL132">
            <v>0</v>
          </cell>
        </row>
        <row r="133">
          <cell r="A133">
            <v>2305</v>
          </cell>
          <cell r="B133" t="str">
            <v>Ñ51-42B</v>
          </cell>
          <cell r="C133" t="str">
            <v>Ñôõ thaúng</v>
          </cell>
          <cell r="D133" t="str">
            <v>4T38 - 34D</v>
          </cell>
          <cell r="E133">
            <v>3487.15</v>
          </cell>
          <cell r="F133" t="str">
            <v>3T-7</v>
          </cell>
          <cell r="G133">
            <v>25.629517508522493</v>
          </cell>
          <cell r="H133">
            <v>30</v>
          </cell>
          <cell r="K133">
            <v>0</v>
          </cell>
          <cell r="L133">
            <v>0</v>
          </cell>
          <cell r="M133">
            <v>0</v>
          </cell>
          <cell r="N133">
            <v>0</v>
          </cell>
          <cell r="O133">
            <v>0</v>
          </cell>
          <cell r="P133">
            <v>0</v>
          </cell>
          <cell r="Q133">
            <v>0</v>
          </cell>
          <cell r="R133">
            <v>0</v>
          </cell>
          <cell r="S133">
            <v>0</v>
          </cell>
          <cell r="T133">
            <v>0</v>
          </cell>
          <cell r="U133">
            <v>0</v>
          </cell>
          <cell r="V133">
            <v>0</v>
          </cell>
          <cell r="W133">
            <v>0</v>
          </cell>
          <cell r="X133">
            <v>0</v>
          </cell>
          <cell r="Y133">
            <v>0</v>
          </cell>
          <cell r="Z133">
            <v>0</v>
          </cell>
          <cell r="AA133">
            <v>0</v>
          </cell>
          <cell r="AB133">
            <v>0</v>
          </cell>
          <cell r="AC133">
            <v>0</v>
          </cell>
          <cell r="AD133">
            <v>0</v>
          </cell>
          <cell r="AE133">
            <v>0</v>
          </cell>
          <cell r="AF133">
            <v>0</v>
          </cell>
          <cell r="AG133">
            <v>0</v>
          </cell>
          <cell r="AH133">
            <v>0</v>
          </cell>
          <cell r="AI133">
            <v>0</v>
          </cell>
          <cell r="AJ133">
            <v>1</v>
          </cell>
          <cell r="AK133">
            <v>0</v>
          </cell>
          <cell r="AL133">
            <v>0</v>
          </cell>
        </row>
        <row r="134">
          <cell r="A134">
            <v>2306</v>
          </cell>
          <cell r="B134" t="str">
            <v>Ñ51-28B</v>
          </cell>
          <cell r="C134" t="str">
            <v>Ñôõ thaúng</v>
          </cell>
          <cell r="D134" t="str">
            <v>4T34 - 30A</v>
          </cell>
          <cell r="E134">
            <v>2167.75</v>
          </cell>
          <cell r="F134" t="str">
            <v>1T-5</v>
          </cell>
          <cell r="G134">
            <v>24.747494790258049</v>
          </cell>
          <cell r="H134">
            <v>30</v>
          </cell>
          <cell r="K134">
            <v>0</v>
          </cell>
          <cell r="L134">
            <v>0</v>
          </cell>
          <cell r="M134">
            <v>0</v>
          </cell>
          <cell r="N134">
            <v>0</v>
          </cell>
          <cell r="O134">
            <v>0</v>
          </cell>
          <cell r="P134">
            <v>1</v>
          </cell>
          <cell r="Q134">
            <v>0</v>
          </cell>
          <cell r="R134">
            <v>0</v>
          </cell>
          <cell r="S134">
            <v>0</v>
          </cell>
          <cell r="T134">
            <v>0</v>
          </cell>
          <cell r="U134">
            <v>0</v>
          </cell>
          <cell r="V134">
            <v>0</v>
          </cell>
          <cell r="W134">
            <v>0</v>
          </cell>
          <cell r="X134">
            <v>0</v>
          </cell>
          <cell r="Y134">
            <v>0</v>
          </cell>
          <cell r="Z134">
            <v>0</v>
          </cell>
          <cell r="AA134">
            <v>0</v>
          </cell>
          <cell r="AB134">
            <v>0</v>
          </cell>
          <cell r="AC134">
            <v>0</v>
          </cell>
          <cell r="AD134">
            <v>0</v>
          </cell>
          <cell r="AE134">
            <v>0</v>
          </cell>
          <cell r="AF134">
            <v>0</v>
          </cell>
          <cell r="AG134">
            <v>0</v>
          </cell>
          <cell r="AH134">
            <v>0</v>
          </cell>
          <cell r="AI134">
            <v>0</v>
          </cell>
          <cell r="AJ134">
            <v>0</v>
          </cell>
          <cell r="AK134">
            <v>0</v>
          </cell>
          <cell r="AL134">
            <v>0</v>
          </cell>
        </row>
        <row r="135">
          <cell r="A135">
            <v>2307</v>
          </cell>
          <cell r="B135" t="str">
            <v>Ñ51-34B</v>
          </cell>
          <cell r="C135" t="str">
            <v>Ñôõ thaúng</v>
          </cell>
          <cell r="D135" t="str">
            <v>4T34 - 30B</v>
          </cell>
          <cell r="E135">
            <v>2921.65</v>
          </cell>
          <cell r="F135" t="str">
            <v>1T-6</v>
          </cell>
          <cell r="G135">
            <v>28.046259773817933</v>
          </cell>
          <cell r="H135">
            <v>30</v>
          </cell>
          <cell r="K135">
            <v>0</v>
          </cell>
          <cell r="L135">
            <v>0</v>
          </cell>
          <cell r="M135">
            <v>0</v>
          </cell>
          <cell r="N135">
            <v>0</v>
          </cell>
          <cell r="O135">
            <v>0</v>
          </cell>
          <cell r="P135">
            <v>0</v>
          </cell>
          <cell r="Q135">
            <v>1</v>
          </cell>
          <cell r="R135">
            <v>0</v>
          </cell>
          <cell r="S135">
            <v>0</v>
          </cell>
          <cell r="T135">
            <v>0</v>
          </cell>
          <cell r="U135">
            <v>0</v>
          </cell>
          <cell r="V135">
            <v>0</v>
          </cell>
          <cell r="W135">
            <v>0</v>
          </cell>
          <cell r="X135">
            <v>0</v>
          </cell>
          <cell r="Y135">
            <v>0</v>
          </cell>
          <cell r="Z135">
            <v>0</v>
          </cell>
          <cell r="AA135">
            <v>0</v>
          </cell>
          <cell r="AB135">
            <v>0</v>
          </cell>
          <cell r="AC135">
            <v>0</v>
          </cell>
          <cell r="AD135">
            <v>0</v>
          </cell>
          <cell r="AE135">
            <v>0</v>
          </cell>
          <cell r="AF135">
            <v>0</v>
          </cell>
          <cell r="AG135">
            <v>0</v>
          </cell>
          <cell r="AH135">
            <v>0</v>
          </cell>
          <cell r="AI135">
            <v>0</v>
          </cell>
          <cell r="AJ135">
            <v>0</v>
          </cell>
          <cell r="AK135">
            <v>0</v>
          </cell>
          <cell r="AL135">
            <v>0</v>
          </cell>
        </row>
        <row r="136">
          <cell r="A136">
            <v>2308</v>
          </cell>
          <cell r="B136" t="str">
            <v>Ñ51-38B</v>
          </cell>
          <cell r="C136" t="str">
            <v>Ñôõ thaúng</v>
          </cell>
          <cell r="D136" t="str">
            <v>4T34 - 34C</v>
          </cell>
          <cell r="E136">
            <v>164.9</v>
          </cell>
          <cell r="F136" t="str">
            <v>1TC-2</v>
          </cell>
          <cell r="G136">
            <v>4.2253299592639086</v>
          </cell>
          <cell r="H136">
            <v>15</v>
          </cell>
          <cell r="K136">
            <v>0</v>
          </cell>
          <cell r="L136">
            <v>0</v>
          </cell>
          <cell r="M136">
            <v>0</v>
          </cell>
          <cell r="N136">
            <v>0</v>
          </cell>
          <cell r="O136">
            <v>0</v>
          </cell>
          <cell r="P136">
            <v>0</v>
          </cell>
          <cell r="Q136">
            <v>0</v>
          </cell>
          <cell r="R136">
            <v>0</v>
          </cell>
          <cell r="S136">
            <v>0</v>
          </cell>
          <cell r="T136">
            <v>0</v>
          </cell>
          <cell r="U136">
            <v>0</v>
          </cell>
          <cell r="V136">
            <v>0</v>
          </cell>
          <cell r="W136">
            <v>0</v>
          </cell>
          <cell r="X136">
            <v>1</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row>
        <row r="137">
          <cell r="A137">
            <v>2401</v>
          </cell>
          <cell r="B137" t="str">
            <v>N513-38B</v>
          </cell>
          <cell r="C137" t="str">
            <v>Neùo goùc</v>
          </cell>
          <cell r="D137" t="str">
            <v>3x4T34 - 38D</v>
          </cell>
          <cell r="E137">
            <v>409.95</v>
          </cell>
          <cell r="F137" t="str">
            <v>3TC-1</v>
          </cell>
          <cell r="G137">
            <v>10.701351989133304</v>
          </cell>
          <cell r="H137">
            <v>15</v>
          </cell>
          <cell r="K137">
            <v>0</v>
          </cell>
          <cell r="L137">
            <v>0</v>
          </cell>
          <cell r="M137">
            <v>0</v>
          </cell>
          <cell r="N137">
            <v>0</v>
          </cell>
          <cell r="O137">
            <v>0</v>
          </cell>
          <cell r="P137">
            <v>0</v>
          </cell>
          <cell r="Q137">
            <v>0</v>
          </cell>
          <cell r="R137">
            <v>0</v>
          </cell>
          <cell r="S137">
            <v>0</v>
          </cell>
          <cell r="T137">
            <v>0</v>
          </cell>
          <cell r="U137">
            <v>0</v>
          </cell>
          <cell r="V137">
            <v>0</v>
          </cell>
          <cell r="W137">
            <v>0</v>
          </cell>
          <cell r="X137">
            <v>0</v>
          </cell>
          <cell r="Y137">
            <v>0</v>
          </cell>
          <cell r="Z137">
            <v>0</v>
          </cell>
          <cell r="AA137">
            <v>1</v>
          </cell>
          <cell r="AB137">
            <v>0</v>
          </cell>
          <cell r="AC137">
            <v>0</v>
          </cell>
          <cell r="AD137">
            <v>0</v>
          </cell>
          <cell r="AE137">
            <v>0</v>
          </cell>
          <cell r="AF137">
            <v>0</v>
          </cell>
          <cell r="AG137">
            <v>0</v>
          </cell>
          <cell r="AH137">
            <v>0</v>
          </cell>
          <cell r="AI137">
            <v>0</v>
          </cell>
          <cell r="AJ137">
            <v>0</v>
          </cell>
          <cell r="AK137">
            <v>0</v>
          </cell>
          <cell r="AL137">
            <v>0</v>
          </cell>
        </row>
        <row r="138">
          <cell r="A138">
            <v>2501</v>
          </cell>
          <cell r="B138" t="str">
            <v>N513-30B</v>
          </cell>
          <cell r="C138" t="str">
            <v>Neùo goùc</v>
          </cell>
          <cell r="D138" t="str">
            <v>3x4T38 - 36B</v>
          </cell>
          <cell r="E138">
            <v>3862.2</v>
          </cell>
          <cell r="F138" t="str">
            <v>3T-7</v>
          </cell>
          <cell r="G138">
            <v>28.383405492962581</v>
          </cell>
          <cell r="H138">
            <v>30</v>
          </cell>
          <cell r="K138">
            <v>0</v>
          </cell>
          <cell r="L138">
            <v>0</v>
          </cell>
          <cell r="M138">
            <v>0</v>
          </cell>
          <cell r="N138">
            <v>0</v>
          </cell>
          <cell r="O138">
            <v>0</v>
          </cell>
          <cell r="P138">
            <v>0</v>
          </cell>
          <cell r="Q138">
            <v>0</v>
          </cell>
          <cell r="R138">
            <v>0</v>
          </cell>
          <cell r="S138">
            <v>0</v>
          </cell>
          <cell r="T138">
            <v>0</v>
          </cell>
          <cell r="U138">
            <v>0</v>
          </cell>
          <cell r="V138">
            <v>0</v>
          </cell>
          <cell r="W138">
            <v>0</v>
          </cell>
          <cell r="X138">
            <v>0</v>
          </cell>
          <cell r="Y138">
            <v>0</v>
          </cell>
          <cell r="Z138">
            <v>0</v>
          </cell>
          <cell r="AA138">
            <v>0</v>
          </cell>
          <cell r="AB138">
            <v>0</v>
          </cell>
          <cell r="AC138">
            <v>0</v>
          </cell>
          <cell r="AD138">
            <v>0</v>
          </cell>
          <cell r="AE138">
            <v>0</v>
          </cell>
          <cell r="AF138">
            <v>0</v>
          </cell>
          <cell r="AG138">
            <v>0</v>
          </cell>
          <cell r="AH138">
            <v>0</v>
          </cell>
          <cell r="AI138">
            <v>0</v>
          </cell>
          <cell r="AJ138">
            <v>1</v>
          </cell>
          <cell r="AK138">
            <v>0</v>
          </cell>
          <cell r="AL138">
            <v>0</v>
          </cell>
        </row>
        <row r="139">
          <cell r="A139" t="str">
            <v>2502</v>
          </cell>
          <cell r="B139" t="str">
            <v>Ñ51-34B</v>
          </cell>
          <cell r="C139" t="str">
            <v>Neùo goùc</v>
          </cell>
          <cell r="D139" t="str">
            <v>4T38 - 36B</v>
          </cell>
          <cell r="E139">
            <v>4427.3999999999996</v>
          </cell>
          <cell r="F139" t="str">
            <v>1T-9</v>
          </cell>
          <cell r="G139">
            <v>28.2612506727355</v>
          </cell>
          <cell r="H139">
            <v>30</v>
          </cell>
          <cell r="K139">
            <v>0</v>
          </cell>
          <cell r="L139">
            <v>0</v>
          </cell>
          <cell r="M139">
            <v>0</v>
          </cell>
          <cell r="N139">
            <v>0</v>
          </cell>
          <cell r="O139">
            <v>0</v>
          </cell>
          <cell r="P139">
            <v>0</v>
          </cell>
          <cell r="Q139">
            <v>0</v>
          </cell>
          <cell r="R139">
            <v>0</v>
          </cell>
          <cell r="S139">
            <v>0</v>
          </cell>
          <cell r="T139">
            <v>1</v>
          </cell>
          <cell r="U139">
            <v>0</v>
          </cell>
          <cell r="V139">
            <v>0</v>
          </cell>
          <cell r="W139">
            <v>0</v>
          </cell>
          <cell r="X139">
            <v>0</v>
          </cell>
          <cell r="Y139">
            <v>0</v>
          </cell>
          <cell r="Z139">
            <v>0</v>
          </cell>
          <cell r="AA139">
            <v>0</v>
          </cell>
          <cell r="AB139">
            <v>0</v>
          </cell>
          <cell r="AC139">
            <v>0</v>
          </cell>
          <cell r="AD139">
            <v>0</v>
          </cell>
          <cell r="AE139">
            <v>0</v>
          </cell>
          <cell r="AF139">
            <v>0</v>
          </cell>
          <cell r="AG139">
            <v>0</v>
          </cell>
          <cell r="AH139">
            <v>0</v>
          </cell>
          <cell r="AI139">
            <v>0</v>
          </cell>
          <cell r="AJ139">
            <v>0</v>
          </cell>
          <cell r="AK139">
            <v>0</v>
          </cell>
          <cell r="AL139">
            <v>0</v>
          </cell>
        </row>
        <row r="140">
          <cell r="A140" t="str">
            <v>2503</v>
          </cell>
          <cell r="B140" t="str">
            <v>Ñ51-34B</v>
          </cell>
          <cell r="C140" t="str">
            <v>Ñôõ thaúng</v>
          </cell>
          <cell r="D140" t="str">
            <v>4T38 - 36B</v>
          </cell>
          <cell r="E140">
            <v>1036.2</v>
          </cell>
          <cell r="F140" t="str">
            <v>1T-3</v>
          </cell>
          <cell r="G140">
            <v>20.048334129154586</v>
          </cell>
          <cell r="H140">
            <v>30</v>
          </cell>
          <cell r="K140">
            <v>0</v>
          </cell>
          <cell r="L140">
            <v>0</v>
          </cell>
          <cell r="M140">
            <v>0</v>
          </cell>
          <cell r="N140">
            <v>1</v>
          </cell>
          <cell r="O140">
            <v>0</v>
          </cell>
          <cell r="P140">
            <v>0</v>
          </cell>
          <cell r="Q140">
            <v>0</v>
          </cell>
          <cell r="R140">
            <v>0</v>
          </cell>
          <cell r="S140">
            <v>0</v>
          </cell>
          <cell r="T140">
            <v>0</v>
          </cell>
          <cell r="U140">
            <v>0</v>
          </cell>
          <cell r="V140">
            <v>0</v>
          </cell>
          <cell r="W140">
            <v>0</v>
          </cell>
          <cell r="X140">
            <v>0</v>
          </cell>
          <cell r="Y140">
            <v>0</v>
          </cell>
          <cell r="Z140">
            <v>0</v>
          </cell>
          <cell r="AA140">
            <v>0</v>
          </cell>
          <cell r="AB140">
            <v>0</v>
          </cell>
          <cell r="AC140">
            <v>0</v>
          </cell>
          <cell r="AD140">
            <v>0</v>
          </cell>
          <cell r="AE140">
            <v>0</v>
          </cell>
          <cell r="AF140">
            <v>0</v>
          </cell>
          <cell r="AG140">
            <v>0</v>
          </cell>
          <cell r="AH140">
            <v>0</v>
          </cell>
          <cell r="AI140">
            <v>0</v>
          </cell>
          <cell r="AJ140">
            <v>0</v>
          </cell>
          <cell r="AK140">
            <v>0</v>
          </cell>
          <cell r="AL140">
            <v>0</v>
          </cell>
        </row>
        <row r="141">
          <cell r="A141" t="str">
            <v>2504</v>
          </cell>
          <cell r="B141" t="str">
            <v>Ñ51-34B</v>
          </cell>
          <cell r="C141" t="str">
            <v>Ñôõ thaúng</v>
          </cell>
          <cell r="D141" t="str">
            <v>4T38 - 36B</v>
          </cell>
          <cell r="E141">
            <v>753.6</v>
          </cell>
          <cell r="F141" t="str">
            <v>1TC-3</v>
          </cell>
          <cell r="G141">
            <v>13.07312210802859</v>
          </cell>
          <cell r="H141">
            <v>20</v>
          </cell>
          <cell r="I141">
            <v>0</v>
          </cell>
          <cell r="K141">
            <v>0</v>
          </cell>
          <cell r="L141">
            <v>0</v>
          </cell>
          <cell r="M141">
            <v>0</v>
          </cell>
          <cell r="N141">
            <v>0</v>
          </cell>
          <cell r="O141">
            <v>0</v>
          </cell>
          <cell r="P141">
            <v>0</v>
          </cell>
          <cell r="Q141">
            <v>0</v>
          </cell>
          <cell r="R141">
            <v>0</v>
          </cell>
          <cell r="S141">
            <v>0</v>
          </cell>
          <cell r="T141">
            <v>0</v>
          </cell>
          <cell r="U141">
            <v>0</v>
          </cell>
          <cell r="V141">
            <v>0</v>
          </cell>
          <cell r="W141">
            <v>0</v>
          </cell>
          <cell r="X141">
            <v>0</v>
          </cell>
          <cell r="Y141">
            <v>1</v>
          </cell>
          <cell r="Z141">
            <v>0</v>
          </cell>
          <cell r="AA141">
            <v>0</v>
          </cell>
          <cell r="AB141">
            <v>0</v>
          </cell>
          <cell r="AC141">
            <v>0</v>
          </cell>
          <cell r="AD141">
            <v>0</v>
          </cell>
          <cell r="AE141">
            <v>0</v>
          </cell>
          <cell r="AF141">
            <v>0</v>
          </cell>
          <cell r="AG141">
            <v>0</v>
          </cell>
          <cell r="AH141">
            <v>0</v>
          </cell>
          <cell r="AI141">
            <v>0</v>
          </cell>
          <cell r="AJ141">
            <v>0</v>
          </cell>
          <cell r="AK141">
            <v>0</v>
          </cell>
          <cell r="AL141">
            <v>0</v>
          </cell>
        </row>
        <row r="142">
          <cell r="A142" t="str">
            <v>2601</v>
          </cell>
          <cell r="B142" t="str">
            <v>N513-28B</v>
          </cell>
          <cell r="C142" t="str">
            <v>Neùo goùc</v>
          </cell>
          <cell r="D142" t="str">
            <v>3x4T38 - 34A</v>
          </cell>
          <cell r="E142">
            <v>1092.9000000000001</v>
          </cell>
          <cell r="F142" t="str">
            <v>3T-3</v>
          </cell>
          <cell r="G142">
            <v>16.414192083069562</v>
          </cell>
          <cell r="H142">
            <v>30</v>
          </cell>
          <cell r="I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0</v>
          </cell>
          <cell r="AD142">
            <v>0</v>
          </cell>
          <cell r="AE142">
            <v>0</v>
          </cell>
          <cell r="AF142">
            <v>1</v>
          </cell>
          <cell r="AG142">
            <v>0</v>
          </cell>
          <cell r="AH142">
            <v>0</v>
          </cell>
          <cell r="AI142">
            <v>0</v>
          </cell>
          <cell r="AJ142">
            <v>0</v>
          </cell>
          <cell r="AK142">
            <v>0</v>
          </cell>
          <cell r="AL142">
            <v>0</v>
          </cell>
        </row>
        <row r="143">
          <cell r="A143" t="str">
            <v>2602</v>
          </cell>
          <cell r="B143" t="str">
            <v>Ñ51-28B</v>
          </cell>
          <cell r="C143" t="str">
            <v>Ñôõ thaúng</v>
          </cell>
          <cell r="D143" t="str">
            <v>4T34 - 30A</v>
          </cell>
          <cell r="E143">
            <v>1356.48</v>
          </cell>
          <cell r="F143" t="str">
            <v>1T-3</v>
          </cell>
          <cell r="G143">
            <v>26.217052322740617</v>
          </cell>
          <cell r="H143">
            <v>30</v>
          </cell>
          <cell r="I143">
            <v>0</v>
          </cell>
          <cell r="K143">
            <v>0</v>
          </cell>
          <cell r="L143">
            <v>0</v>
          </cell>
          <cell r="M143">
            <v>0</v>
          </cell>
          <cell r="N143">
            <v>1</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row>
        <row r="144">
          <cell r="A144" t="str">
            <v>2603</v>
          </cell>
          <cell r="B144" t="str">
            <v>Ñ51-28B</v>
          </cell>
          <cell r="C144" t="str">
            <v>Ñôõ thaúng</v>
          </cell>
          <cell r="D144" t="str">
            <v>4T34 - 30A</v>
          </cell>
          <cell r="E144">
            <v>2355</v>
          </cell>
          <cell r="F144" t="str">
            <v>1T-5</v>
          </cell>
          <cell r="G144">
            <v>26.914326131340548</v>
          </cell>
          <cell r="H144">
            <v>30</v>
          </cell>
          <cell r="K144">
            <v>0</v>
          </cell>
          <cell r="L144">
            <v>0</v>
          </cell>
          <cell r="M144">
            <v>0</v>
          </cell>
          <cell r="N144">
            <v>0</v>
          </cell>
          <cell r="O144">
            <v>0</v>
          </cell>
          <cell r="P144">
            <v>1</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row>
        <row r="145">
          <cell r="A145" t="str">
            <v>2604</v>
          </cell>
          <cell r="B145" t="str">
            <v>Ñ51-28B</v>
          </cell>
          <cell r="C145" t="str">
            <v>Ñôõ thaúng</v>
          </cell>
          <cell r="D145" t="str">
            <v>4T34 - 30A</v>
          </cell>
          <cell r="E145">
            <v>2260.8000000000002</v>
          </cell>
          <cell r="F145" t="str">
            <v>1T-5</v>
          </cell>
          <cell r="G145">
            <v>25.830910460799299</v>
          </cell>
          <cell r="H145">
            <v>30</v>
          </cell>
          <cell r="K145">
            <v>0</v>
          </cell>
          <cell r="L145">
            <v>0</v>
          </cell>
          <cell r="M145">
            <v>0</v>
          </cell>
          <cell r="N145">
            <v>0</v>
          </cell>
          <cell r="O145">
            <v>0</v>
          </cell>
          <cell r="P145">
            <v>1</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row>
        <row r="146">
          <cell r="A146" t="str">
            <v>2605</v>
          </cell>
          <cell r="B146" t="str">
            <v>Ñ51-38B</v>
          </cell>
          <cell r="C146" t="str">
            <v>Ñôõ thaúng</v>
          </cell>
          <cell r="D146" t="str">
            <v>4T38 - 38C</v>
          </cell>
          <cell r="E146">
            <v>3014.4</v>
          </cell>
          <cell r="F146" t="str">
            <v>1T-7</v>
          </cell>
          <cell r="G146">
            <v>25.136487451609568</v>
          </cell>
          <cell r="H146">
            <v>30</v>
          </cell>
          <cell r="K146">
            <v>0</v>
          </cell>
          <cell r="L146">
            <v>0</v>
          </cell>
          <cell r="M146">
            <v>0</v>
          </cell>
          <cell r="N146">
            <v>0</v>
          </cell>
          <cell r="O146">
            <v>0</v>
          </cell>
          <cell r="P146">
            <v>0</v>
          </cell>
          <cell r="Q146">
            <v>0</v>
          </cell>
          <cell r="R146">
            <v>1</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row>
        <row r="147">
          <cell r="A147" t="str">
            <v>2606</v>
          </cell>
          <cell r="B147" t="str">
            <v>Ñ51-38B</v>
          </cell>
          <cell r="C147" t="str">
            <v>Ñôõ thaúng</v>
          </cell>
          <cell r="D147" t="str">
            <v>4T38 - 38C</v>
          </cell>
          <cell r="E147">
            <v>2543.8000000000002</v>
          </cell>
          <cell r="F147" t="str">
            <v>1T-6</v>
          </cell>
          <cell r="G147">
            <v>24.402643119441588</v>
          </cell>
          <cell r="H147">
            <v>30</v>
          </cell>
          <cell r="K147">
            <v>0</v>
          </cell>
          <cell r="L147">
            <v>0</v>
          </cell>
          <cell r="M147">
            <v>0</v>
          </cell>
          <cell r="N147">
            <v>0</v>
          </cell>
          <cell r="O147">
            <v>0</v>
          </cell>
          <cell r="P147">
            <v>0</v>
          </cell>
          <cell r="Q147">
            <v>1</v>
          </cell>
          <cell r="R147">
            <v>0</v>
          </cell>
          <cell r="S147">
            <v>0</v>
          </cell>
          <cell r="T147">
            <v>0</v>
          </cell>
          <cell r="U147">
            <v>0</v>
          </cell>
          <cell r="V147">
            <v>0</v>
          </cell>
          <cell r="W147">
            <v>0</v>
          </cell>
          <cell r="X147">
            <v>0</v>
          </cell>
          <cell r="Y147">
            <v>0</v>
          </cell>
          <cell r="Z147">
            <v>0</v>
          </cell>
          <cell r="AA147">
            <v>0</v>
          </cell>
          <cell r="AB147">
            <v>0</v>
          </cell>
          <cell r="AC147">
            <v>0</v>
          </cell>
          <cell r="AD147">
            <v>0</v>
          </cell>
          <cell r="AE147">
            <v>0</v>
          </cell>
          <cell r="AF147">
            <v>0</v>
          </cell>
          <cell r="AG147">
            <v>0</v>
          </cell>
          <cell r="AH147">
            <v>0</v>
          </cell>
          <cell r="AI147">
            <v>0</v>
          </cell>
          <cell r="AJ147">
            <v>0</v>
          </cell>
          <cell r="AK147">
            <v>0</v>
          </cell>
          <cell r="AL147">
            <v>0</v>
          </cell>
        </row>
        <row r="148">
          <cell r="A148" t="str">
            <v>2607</v>
          </cell>
          <cell r="B148" t="str">
            <v>Ñ51-34B</v>
          </cell>
          <cell r="C148" t="str">
            <v>Ñôõ thaúng</v>
          </cell>
          <cell r="D148" t="str">
            <v>4T38 - 30B</v>
          </cell>
          <cell r="E148">
            <v>2467.1999999999998</v>
          </cell>
          <cell r="F148" t="str">
            <v>1T-5</v>
          </cell>
          <cell r="G148">
            <v>28.168807434072519</v>
          </cell>
          <cell r="H148">
            <v>30</v>
          </cell>
          <cell r="K148">
            <v>0</v>
          </cell>
          <cell r="L148">
            <v>0</v>
          </cell>
          <cell r="M148">
            <v>0</v>
          </cell>
          <cell r="N148">
            <v>0</v>
          </cell>
          <cell r="O148">
            <v>0</v>
          </cell>
          <cell r="P148">
            <v>1</v>
          </cell>
          <cell r="Q148">
            <v>0</v>
          </cell>
          <cell r="R148">
            <v>0</v>
          </cell>
          <cell r="S148">
            <v>0</v>
          </cell>
          <cell r="T148">
            <v>0</v>
          </cell>
          <cell r="U148">
            <v>0</v>
          </cell>
          <cell r="V148">
            <v>0</v>
          </cell>
          <cell r="W148">
            <v>0</v>
          </cell>
          <cell r="X148">
            <v>0</v>
          </cell>
          <cell r="Y148">
            <v>0</v>
          </cell>
          <cell r="Z148">
            <v>0</v>
          </cell>
          <cell r="AA148">
            <v>0</v>
          </cell>
          <cell r="AB148">
            <v>0</v>
          </cell>
          <cell r="AC148">
            <v>0</v>
          </cell>
          <cell r="AD148">
            <v>0</v>
          </cell>
          <cell r="AE148">
            <v>0</v>
          </cell>
          <cell r="AF148">
            <v>0</v>
          </cell>
          <cell r="AG148">
            <v>0</v>
          </cell>
          <cell r="AH148">
            <v>0</v>
          </cell>
          <cell r="AI148">
            <v>0</v>
          </cell>
          <cell r="AJ148">
            <v>0</v>
          </cell>
          <cell r="AK148">
            <v>0</v>
          </cell>
          <cell r="AL148">
            <v>0</v>
          </cell>
        </row>
        <row r="149">
          <cell r="A149" t="str">
            <v>2608</v>
          </cell>
          <cell r="B149" t="str">
            <v>Ñ51-38B</v>
          </cell>
          <cell r="C149" t="str">
            <v>Ñôõ thaúng</v>
          </cell>
          <cell r="D149" t="str">
            <v>4T38 - 30C</v>
          </cell>
          <cell r="E149">
            <v>3108.6</v>
          </cell>
          <cell r="F149" t="str">
            <v>1T-7</v>
          </cell>
          <cell r="G149">
            <v>25.928516077779683</v>
          </cell>
          <cell r="H149">
            <v>30</v>
          </cell>
          <cell r="K149">
            <v>0</v>
          </cell>
          <cell r="L149">
            <v>0</v>
          </cell>
          <cell r="M149">
            <v>0</v>
          </cell>
          <cell r="N149">
            <v>0</v>
          </cell>
          <cell r="O149">
            <v>0</v>
          </cell>
          <cell r="P149">
            <v>0</v>
          </cell>
          <cell r="Q149">
            <v>0</v>
          </cell>
          <cell r="R149">
            <v>1</v>
          </cell>
          <cell r="S149">
            <v>0</v>
          </cell>
          <cell r="T149">
            <v>0</v>
          </cell>
          <cell r="U149">
            <v>0</v>
          </cell>
          <cell r="V149">
            <v>0</v>
          </cell>
          <cell r="W149">
            <v>0</v>
          </cell>
          <cell r="X149">
            <v>0</v>
          </cell>
          <cell r="Y149">
            <v>0</v>
          </cell>
          <cell r="Z149">
            <v>0</v>
          </cell>
          <cell r="AA149">
            <v>0</v>
          </cell>
          <cell r="AB149">
            <v>0</v>
          </cell>
          <cell r="AC149">
            <v>0</v>
          </cell>
          <cell r="AD149">
            <v>0</v>
          </cell>
          <cell r="AE149">
            <v>0</v>
          </cell>
          <cell r="AF149">
            <v>0</v>
          </cell>
          <cell r="AG149">
            <v>0</v>
          </cell>
          <cell r="AH149">
            <v>0</v>
          </cell>
          <cell r="AI149">
            <v>0</v>
          </cell>
          <cell r="AJ149">
            <v>0</v>
          </cell>
          <cell r="AK149">
            <v>0</v>
          </cell>
          <cell r="AL149">
            <v>0</v>
          </cell>
        </row>
        <row r="150">
          <cell r="A150" t="str">
            <v>2609</v>
          </cell>
          <cell r="B150" t="str">
            <v>Ñ51-38B</v>
          </cell>
          <cell r="C150" t="str">
            <v>Ñôõ thaúng</v>
          </cell>
          <cell r="D150" t="str">
            <v>4T38 - 34C</v>
          </cell>
          <cell r="E150">
            <v>2166.6</v>
          </cell>
          <cell r="F150" t="str">
            <v>1T-5</v>
          </cell>
          <cell r="G150">
            <v>24.747494790258049</v>
          </cell>
          <cell r="H150">
            <v>30</v>
          </cell>
          <cell r="K150">
            <v>0</v>
          </cell>
          <cell r="L150">
            <v>0</v>
          </cell>
          <cell r="M150">
            <v>0</v>
          </cell>
          <cell r="N150">
            <v>0</v>
          </cell>
          <cell r="O150">
            <v>0</v>
          </cell>
          <cell r="P150">
            <v>1</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row>
        <row r="151">
          <cell r="A151" t="str">
            <v>2610</v>
          </cell>
          <cell r="B151" t="str">
            <v>Ñ51-38B</v>
          </cell>
          <cell r="C151" t="str">
            <v>Ñôõ thaúng</v>
          </cell>
          <cell r="D151" t="str">
            <v>4T38 - 38C</v>
          </cell>
          <cell r="E151">
            <v>753.6</v>
          </cell>
          <cell r="F151" t="str">
            <v>1TC-3</v>
          </cell>
          <cell r="G151">
            <v>13.07312210802859</v>
          </cell>
          <cell r="H151">
            <v>20</v>
          </cell>
          <cell r="K151">
            <v>0</v>
          </cell>
          <cell r="L151">
            <v>0</v>
          </cell>
          <cell r="M151">
            <v>0</v>
          </cell>
          <cell r="N151">
            <v>0</v>
          </cell>
          <cell r="O151">
            <v>0</v>
          </cell>
          <cell r="P151">
            <v>0</v>
          </cell>
          <cell r="Q151">
            <v>0</v>
          </cell>
          <cell r="R151">
            <v>0</v>
          </cell>
          <cell r="S151">
            <v>0</v>
          </cell>
          <cell r="T151">
            <v>0</v>
          </cell>
          <cell r="U151">
            <v>0</v>
          </cell>
          <cell r="V151">
            <v>0</v>
          </cell>
          <cell r="W151">
            <v>0</v>
          </cell>
          <cell r="X151">
            <v>0</v>
          </cell>
          <cell r="Y151">
            <v>1</v>
          </cell>
          <cell r="Z151">
            <v>0</v>
          </cell>
          <cell r="AA151">
            <v>0</v>
          </cell>
          <cell r="AB151">
            <v>0</v>
          </cell>
          <cell r="AC151">
            <v>0</v>
          </cell>
          <cell r="AD151">
            <v>0</v>
          </cell>
          <cell r="AE151">
            <v>0</v>
          </cell>
          <cell r="AF151">
            <v>0</v>
          </cell>
          <cell r="AG151">
            <v>0</v>
          </cell>
          <cell r="AH151">
            <v>0</v>
          </cell>
          <cell r="AI151">
            <v>0</v>
          </cell>
          <cell r="AJ151">
            <v>0</v>
          </cell>
          <cell r="AK151">
            <v>0</v>
          </cell>
          <cell r="AL151">
            <v>0</v>
          </cell>
        </row>
        <row r="152">
          <cell r="A152" t="str">
            <v>2611</v>
          </cell>
          <cell r="B152" t="str">
            <v>Ñ51-28B</v>
          </cell>
          <cell r="C152" t="str">
            <v>Ñôõ thaúng</v>
          </cell>
          <cell r="D152" t="str">
            <v>4T34 - 30A</v>
          </cell>
          <cell r="E152">
            <v>6405.6</v>
          </cell>
          <cell r="F152" t="str">
            <v>1T-10</v>
          </cell>
          <cell r="G152">
            <v>37.515788070749352</v>
          </cell>
          <cell r="H152">
            <v>38.433600000000006</v>
          </cell>
          <cell r="K152">
            <v>0</v>
          </cell>
          <cell r="L152">
            <v>0</v>
          </cell>
          <cell r="M152">
            <v>0</v>
          </cell>
          <cell r="N152">
            <v>0</v>
          </cell>
          <cell r="O152">
            <v>0</v>
          </cell>
          <cell r="P152">
            <v>0</v>
          </cell>
          <cell r="Q152">
            <v>0</v>
          </cell>
          <cell r="R152">
            <v>0</v>
          </cell>
          <cell r="S152">
            <v>0</v>
          </cell>
          <cell r="T152">
            <v>0</v>
          </cell>
          <cell r="U152">
            <v>1</v>
          </cell>
          <cell r="V152">
            <v>0</v>
          </cell>
          <cell r="W152">
            <v>0</v>
          </cell>
          <cell r="X152">
            <v>0</v>
          </cell>
          <cell r="Y152">
            <v>0</v>
          </cell>
          <cell r="Z152">
            <v>0</v>
          </cell>
          <cell r="AA152">
            <v>0</v>
          </cell>
          <cell r="AB152">
            <v>0</v>
          </cell>
          <cell r="AC152">
            <v>0</v>
          </cell>
          <cell r="AD152">
            <v>0</v>
          </cell>
          <cell r="AE152">
            <v>0</v>
          </cell>
          <cell r="AF152">
            <v>0</v>
          </cell>
          <cell r="AG152">
            <v>0</v>
          </cell>
          <cell r="AH152">
            <v>0</v>
          </cell>
          <cell r="AI152">
            <v>0</v>
          </cell>
          <cell r="AJ152">
            <v>0</v>
          </cell>
          <cell r="AK152">
            <v>0</v>
          </cell>
          <cell r="AL152">
            <v>0</v>
          </cell>
        </row>
        <row r="153">
          <cell r="A153" t="str">
            <v>2612</v>
          </cell>
          <cell r="B153" t="str">
            <v>Ñ51-38B</v>
          </cell>
          <cell r="C153" t="str">
            <v>Ñôõ thaúng</v>
          </cell>
          <cell r="D153" t="str">
            <v>4T38 - 36C</v>
          </cell>
          <cell r="E153">
            <v>1036.2</v>
          </cell>
          <cell r="F153" t="str">
            <v>1T-3</v>
          </cell>
          <cell r="G153">
            <v>20.048334129154586</v>
          </cell>
          <cell r="H153">
            <v>30</v>
          </cell>
          <cell r="K153">
            <v>0</v>
          </cell>
          <cell r="L153">
            <v>0</v>
          </cell>
          <cell r="M153">
            <v>0</v>
          </cell>
          <cell r="N153">
            <v>1</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cell r="AH153">
            <v>0</v>
          </cell>
          <cell r="AI153">
            <v>0</v>
          </cell>
          <cell r="AJ153">
            <v>0</v>
          </cell>
          <cell r="AK153">
            <v>0</v>
          </cell>
          <cell r="AL153">
            <v>0</v>
          </cell>
        </row>
        <row r="154">
          <cell r="A154" t="str">
            <v>2613</v>
          </cell>
          <cell r="B154" t="str">
            <v>Ñ51-34B</v>
          </cell>
          <cell r="C154" t="str">
            <v>Ñôõ thaúng</v>
          </cell>
          <cell r="D154" t="str">
            <v>4T38 - 34B</v>
          </cell>
          <cell r="E154">
            <v>3768</v>
          </cell>
          <cell r="F154" t="str">
            <v>1T-8</v>
          </cell>
          <cell r="G154">
            <v>27.92864984608654</v>
          </cell>
          <cell r="H154">
            <v>30</v>
          </cell>
          <cell r="K154">
            <v>0</v>
          </cell>
          <cell r="L154">
            <v>0</v>
          </cell>
          <cell r="M154">
            <v>0</v>
          </cell>
          <cell r="N154">
            <v>0</v>
          </cell>
          <cell r="O154">
            <v>0</v>
          </cell>
          <cell r="P154">
            <v>0</v>
          </cell>
          <cell r="Q154">
            <v>0</v>
          </cell>
          <cell r="R154">
            <v>0</v>
          </cell>
          <cell r="S154">
            <v>1</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row>
        <row r="155">
          <cell r="A155" t="str">
            <v>2614</v>
          </cell>
          <cell r="B155" t="str">
            <v>Ñ51-34B</v>
          </cell>
          <cell r="C155" t="str">
            <v>Ñôõ thaúng</v>
          </cell>
          <cell r="D155" t="str">
            <v>4T38 - 40B</v>
          </cell>
          <cell r="E155">
            <v>10173.6</v>
          </cell>
          <cell r="F155" t="str">
            <v>1T-10</v>
          </cell>
          <cell r="G155">
            <v>59.551192452398524</v>
          </cell>
          <cell r="H155">
            <v>61.041600000000003</v>
          </cell>
          <cell r="K155">
            <v>0</v>
          </cell>
          <cell r="L155">
            <v>0</v>
          </cell>
          <cell r="M155">
            <v>0</v>
          </cell>
          <cell r="N155">
            <v>0</v>
          </cell>
          <cell r="O155">
            <v>0</v>
          </cell>
          <cell r="P155">
            <v>0</v>
          </cell>
          <cell r="Q155">
            <v>0</v>
          </cell>
          <cell r="R155">
            <v>0</v>
          </cell>
          <cell r="S155">
            <v>0</v>
          </cell>
          <cell r="T155">
            <v>0</v>
          </cell>
          <cell r="U155">
            <v>1</v>
          </cell>
          <cell r="V155">
            <v>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row>
        <row r="156">
          <cell r="A156" t="str">
            <v>2615</v>
          </cell>
          <cell r="B156" t="str">
            <v>Ñ51-34B</v>
          </cell>
          <cell r="C156" t="str">
            <v>Ñôõ thaúng</v>
          </cell>
          <cell r="D156" t="str">
            <v>4T38 - 40B</v>
          </cell>
          <cell r="E156">
            <v>3014.4</v>
          </cell>
          <cell r="F156" t="str">
            <v>1T-7</v>
          </cell>
          <cell r="G156">
            <v>25.136487451609568</v>
          </cell>
          <cell r="H156">
            <v>30</v>
          </cell>
          <cell r="K156">
            <v>0</v>
          </cell>
          <cell r="L156">
            <v>0</v>
          </cell>
          <cell r="M156">
            <v>0</v>
          </cell>
          <cell r="N156">
            <v>0</v>
          </cell>
          <cell r="O156">
            <v>0</v>
          </cell>
          <cell r="P156">
            <v>0</v>
          </cell>
          <cell r="Q156">
            <v>0</v>
          </cell>
          <cell r="R156">
            <v>1</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cell r="AI156">
            <v>0</v>
          </cell>
          <cell r="AJ156">
            <v>0</v>
          </cell>
          <cell r="AK156">
            <v>0</v>
          </cell>
          <cell r="AL156">
            <v>0</v>
          </cell>
        </row>
        <row r="157">
          <cell r="A157" t="str">
            <v>2616</v>
          </cell>
          <cell r="B157" t="str">
            <v>Ñ51-28B</v>
          </cell>
          <cell r="C157" t="str">
            <v>Ñôõ thaúng</v>
          </cell>
          <cell r="D157" t="str">
            <v>4T38 - 30A</v>
          </cell>
          <cell r="E157">
            <v>3768</v>
          </cell>
          <cell r="F157" t="str">
            <v>1T-8</v>
          </cell>
          <cell r="G157">
            <v>27.92864984608654</v>
          </cell>
          <cell r="H157">
            <v>30</v>
          </cell>
          <cell r="K157">
            <v>0</v>
          </cell>
          <cell r="L157">
            <v>0</v>
          </cell>
          <cell r="M157">
            <v>0</v>
          </cell>
          <cell r="N157">
            <v>0</v>
          </cell>
          <cell r="O157">
            <v>0</v>
          </cell>
          <cell r="P157">
            <v>0</v>
          </cell>
          <cell r="Q157">
            <v>0</v>
          </cell>
          <cell r="R157">
            <v>0</v>
          </cell>
          <cell r="S157">
            <v>1</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row>
        <row r="158">
          <cell r="A158" t="str">
            <v>2701</v>
          </cell>
          <cell r="B158" t="str">
            <v>N513-28B</v>
          </cell>
          <cell r="C158" t="str">
            <v>Neùo goùc</v>
          </cell>
          <cell r="D158" t="str">
            <v>3x4T38 - 42AÑP</v>
          </cell>
          <cell r="E158">
            <v>5652</v>
          </cell>
          <cell r="F158" t="str">
            <v>3T-9</v>
          </cell>
          <cell r="G158">
            <v>32.914679612187264</v>
          </cell>
          <cell r="H158">
            <v>33.911999999999999</v>
          </cell>
          <cell r="K158">
            <v>0</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1</v>
          </cell>
        </row>
        <row r="159">
          <cell r="A159">
            <v>2702</v>
          </cell>
          <cell r="B159" t="str">
            <v>Ñ51-28B</v>
          </cell>
          <cell r="C159" t="str">
            <v>Ñôõ thaúng</v>
          </cell>
          <cell r="D159" t="str">
            <v>4T34 - 28A</v>
          </cell>
          <cell r="E159">
            <v>5282.4</v>
          </cell>
          <cell r="F159" t="str">
            <v>1T-10</v>
          </cell>
          <cell r="G159">
            <v>30.931503892965726</v>
          </cell>
          <cell r="H159">
            <v>31.694400000000002</v>
          </cell>
          <cell r="K159">
            <v>0</v>
          </cell>
          <cell r="L159">
            <v>0</v>
          </cell>
          <cell r="M159">
            <v>0</v>
          </cell>
          <cell r="N159">
            <v>0</v>
          </cell>
          <cell r="O159">
            <v>0</v>
          </cell>
          <cell r="P159">
            <v>0</v>
          </cell>
          <cell r="Q159">
            <v>0</v>
          </cell>
          <cell r="R159">
            <v>0</v>
          </cell>
          <cell r="S159">
            <v>0</v>
          </cell>
          <cell r="T159">
            <v>0</v>
          </cell>
          <cell r="U159">
            <v>1</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row>
        <row r="160">
          <cell r="A160">
            <v>2703</v>
          </cell>
          <cell r="B160" t="str">
            <v>Ñ51-28B</v>
          </cell>
          <cell r="C160" t="str">
            <v>Ñôõ thaúng</v>
          </cell>
          <cell r="D160" t="str">
            <v>4T28 - 34A</v>
          </cell>
          <cell r="E160">
            <v>4900.8999999999996</v>
          </cell>
          <cell r="F160" t="str">
            <v>1T-10</v>
          </cell>
          <cell r="G160">
            <v>28.707479015136592</v>
          </cell>
          <cell r="H160">
            <v>30</v>
          </cell>
          <cell r="K160">
            <v>0</v>
          </cell>
          <cell r="L160">
            <v>0</v>
          </cell>
          <cell r="M160">
            <v>0</v>
          </cell>
          <cell r="N160">
            <v>0</v>
          </cell>
          <cell r="O160">
            <v>0</v>
          </cell>
          <cell r="P160">
            <v>0</v>
          </cell>
          <cell r="Q160">
            <v>0</v>
          </cell>
          <cell r="R160">
            <v>0</v>
          </cell>
          <cell r="S160">
            <v>0</v>
          </cell>
          <cell r="T160">
            <v>0</v>
          </cell>
          <cell r="U160">
            <v>1</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row>
        <row r="161">
          <cell r="A161">
            <v>2704</v>
          </cell>
          <cell r="B161" t="str">
            <v>Ñ51-34B</v>
          </cell>
          <cell r="C161" t="str">
            <v>Ñôõ thaúng</v>
          </cell>
          <cell r="D161" t="str">
            <v>4T28 - 34B</v>
          </cell>
          <cell r="E161">
            <v>5372.15</v>
          </cell>
          <cell r="F161" t="str">
            <v>1T-10</v>
          </cell>
          <cell r="G161">
            <v>31.458246627188412</v>
          </cell>
          <cell r="H161">
            <v>32.232900000000001</v>
          </cell>
          <cell r="K161">
            <v>0</v>
          </cell>
          <cell r="L161">
            <v>0</v>
          </cell>
          <cell r="M161">
            <v>0</v>
          </cell>
          <cell r="N161">
            <v>0</v>
          </cell>
          <cell r="O161">
            <v>0</v>
          </cell>
          <cell r="P161">
            <v>0</v>
          </cell>
          <cell r="Q161">
            <v>0</v>
          </cell>
          <cell r="R161">
            <v>0</v>
          </cell>
          <cell r="S161">
            <v>0</v>
          </cell>
          <cell r="T161">
            <v>0</v>
          </cell>
          <cell r="U161">
            <v>1</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row>
        <row r="162">
          <cell r="A162">
            <v>2705</v>
          </cell>
          <cell r="B162" t="str">
            <v>Ñ42</v>
          </cell>
          <cell r="C162" t="str">
            <v>Ñôõ thaúng</v>
          </cell>
          <cell r="E162">
            <v>42.4</v>
          </cell>
          <cell r="F162" t="str">
            <v>1T-1</v>
          </cell>
          <cell r="G162">
            <v>1.3879615935568566</v>
          </cell>
          <cell r="H162">
            <v>10</v>
          </cell>
          <cell r="K162">
            <v>0</v>
          </cell>
          <cell r="L162">
            <v>1</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v>0</v>
          </cell>
          <cell r="AG162">
            <v>0</v>
          </cell>
          <cell r="AH162">
            <v>0</v>
          </cell>
          <cell r="AI162">
            <v>0</v>
          </cell>
          <cell r="AJ162">
            <v>0</v>
          </cell>
          <cell r="AK162">
            <v>0</v>
          </cell>
          <cell r="AL162">
            <v>0</v>
          </cell>
        </row>
        <row r="163">
          <cell r="A163">
            <v>2706</v>
          </cell>
          <cell r="B163" t="str">
            <v>Ñ51-34B</v>
          </cell>
          <cell r="C163" t="str">
            <v>Ñôõ thaúng</v>
          </cell>
          <cell r="D163" t="str">
            <v>4T38 - 38B</v>
          </cell>
          <cell r="E163">
            <v>5372.15</v>
          </cell>
          <cell r="F163" t="str">
            <v>1T-10</v>
          </cell>
          <cell r="G163">
            <v>31.458246627188412</v>
          </cell>
          <cell r="H163">
            <v>32.232900000000001</v>
          </cell>
          <cell r="K163">
            <v>0</v>
          </cell>
          <cell r="L163">
            <v>0</v>
          </cell>
          <cell r="M163">
            <v>0</v>
          </cell>
          <cell r="N163">
            <v>0</v>
          </cell>
          <cell r="O163">
            <v>0</v>
          </cell>
          <cell r="P163">
            <v>0</v>
          </cell>
          <cell r="Q163">
            <v>0</v>
          </cell>
          <cell r="R163">
            <v>0</v>
          </cell>
          <cell r="S163">
            <v>0</v>
          </cell>
          <cell r="T163">
            <v>0</v>
          </cell>
          <cell r="U163">
            <v>1</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row>
        <row r="164">
          <cell r="A164">
            <v>2707</v>
          </cell>
          <cell r="B164" t="str">
            <v>Ñ51-38B</v>
          </cell>
          <cell r="C164" t="str">
            <v>Ñôõ thaúng</v>
          </cell>
          <cell r="D164" t="str">
            <v>4T34 - 30C</v>
          </cell>
          <cell r="E164">
            <v>2073.5</v>
          </cell>
          <cell r="F164" t="str">
            <v>1T-5</v>
          </cell>
          <cell r="G164">
            <v>23.664079119716796</v>
          </cell>
          <cell r="H164">
            <v>30</v>
          </cell>
          <cell r="K164">
            <v>0</v>
          </cell>
          <cell r="L164">
            <v>0</v>
          </cell>
          <cell r="M164">
            <v>0</v>
          </cell>
          <cell r="N164">
            <v>0</v>
          </cell>
          <cell r="O164">
            <v>0</v>
          </cell>
          <cell r="P164">
            <v>1</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v>0</v>
          </cell>
          <cell r="AG164">
            <v>0</v>
          </cell>
          <cell r="AH164">
            <v>0</v>
          </cell>
          <cell r="AI164">
            <v>0</v>
          </cell>
          <cell r="AJ164">
            <v>0</v>
          </cell>
          <cell r="AK164">
            <v>0</v>
          </cell>
          <cell r="AL164">
            <v>0</v>
          </cell>
        </row>
        <row r="165">
          <cell r="A165">
            <v>2708</v>
          </cell>
          <cell r="B165" t="str">
            <v>Ñ51-42C</v>
          </cell>
          <cell r="C165" t="str">
            <v>Ñôõ thaúng</v>
          </cell>
          <cell r="D165" t="str">
            <v>4T34 - 34D</v>
          </cell>
          <cell r="E165">
            <v>4429.6499999999996</v>
          </cell>
          <cell r="F165" t="str">
            <v>1T-9</v>
          </cell>
          <cell r="G165">
            <v>28.2612506727355</v>
          </cell>
          <cell r="H165">
            <v>30</v>
          </cell>
          <cell r="K165">
            <v>0</v>
          </cell>
          <cell r="L165">
            <v>0</v>
          </cell>
          <cell r="M165">
            <v>0</v>
          </cell>
          <cell r="N165">
            <v>0</v>
          </cell>
          <cell r="O165">
            <v>0</v>
          </cell>
          <cell r="P165">
            <v>0</v>
          </cell>
          <cell r="Q165">
            <v>0</v>
          </cell>
          <cell r="R165">
            <v>0</v>
          </cell>
          <cell r="S165">
            <v>0</v>
          </cell>
          <cell r="T165">
            <v>1</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row>
        <row r="166">
          <cell r="A166">
            <v>2709</v>
          </cell>
          <cell r="B166" t="str">
            <v>Ñ51-42C</v>
          </cell>
          <cell r="C166" t="str">
            <v>Ñôõ thaúng</v>
          </cell>
          <cell r="D166" t="str">
            <v>4T34 - 34D</v>
          </cell>
          <cell r="E166">
            <v>7351.3</v>
          </cell>
          <cell r="F166" t="str">
            <v>1T-10</v>
          </cell>
          <cell r="G166">
            <v>43.046586780087594</v>
          </cell>
          <cell r="H166">
            <v>44.107799999999997</v>
          </cell>
          <cell r="K166">
            <v>0</v>
          </cell>
          <cell r="L166">
            <v>0</v>
          </cell>
          <cell r="M166">
            <v>0</v>
          </cell>
          <cell r="N166">
            <v>0</v>
          </cell>
          <cell r="O166">
            <v>0</v>
          </cell>
          <cell r="P166">
            <v>0</v>
          </cell>
          <cell r="Q166">
            <v>0</v>
          </cell>
          <cell r="R166">
            <v>0</v>
          </cell>
          <cell r="S166">
            <v>0</v>
          </cell>
          <cell r="T166">
            <v>0</v>
          </cell>
          <cell r="U166">
            <v>1</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row>
        <row r="167">
          <cell r="A167">
            <v>2710</v>
          </cell>
          <cell r="B167" t="str">
            <v>Ñ51-38B</v>
          </cell>
          <cell r="C167" t="str">
            <v>Ñôõ thaúng</v>
          </cell>
          <cell r="D167" t="str">
            <v>4T34 - 34C</v>
          </cell>
          <cell r="E167">
            <v>716.3</v>
          </cell>
          <cell r="F167" t="str">
            <v>1TC-2</v>
          </cell>
          <cell r="G167">
            <v>18.437803458606151</v>
          </cell>
          <cell r="H167">
            <v>20</v>
          </cell>
          <cell r="K167">
            <v>0</v>
          </cell>
          <cell r="L167">
            <v>0</v>
          </cell>
          <cell r="M167">
            <v>0</v>
          </cell>
          <cell r="N167">
            <v>0</v>
          </cell>
          <cell r="O167">
            <v>0</v>
          </cell>
          <cell r="P167">
            <v>0</v>
          </cell>
          <cell r="Q167">
            <v>0</v>
          </cell>
          <cell r="R167">
            <v>0</v>
          </cell>
          <cell r="S167">
            <v>0</v>
          </cell>
          <cell r="T167">
            <v>0</v>
          </cell>
          <cell r="U167">
            <v>0</v>
          </cell>
          <cell r="V167">
            <v>0</v>
          </cell>
          <cell r="W167">
            <v>0</v>
          </cell>
          <cell r="X167">
            <v>1</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row>
        <row r="168">
          <cell r="A168">
            <v>2711</v>
          </cell>
          <cell r="B168" t="str">
            <v>Ñ51-42B</v>
          </cell>
          <cell r="C168" t="str">
            <v>Ñôõ thaúng</v>
          </cell>
          <cell r="D168" t="str">
            <v>4T34 - 34D</v>
          </cell>
          <cell r="E168">
            <v>4622.6499999999996</v>
          </cell>
          <cell r="F168" t="str">
            <v>1T-10</v>
          </cell>
          <cell r="G168">
            <v>27.068723841999329</v>
          </cell>
          <cell r="H168">
            <v>30</v>
          </cell>
          <cell r="K168">
            <v>0</v>
          </cell>
          <cell r="L168">
            <v>0</v>
          </cell>
          <cell r="M168">
            <v>0</v>
          </cell>
          <cell r="N168">
            <v>0</v>
          </cell>
          <cell r="O168">
            <v>0</v>
          </cell>
          <cell r="P168">
            <v>0</v>
          </cell>
          <cell r="Q168">
            <v>0</v>
          </cell>
          <cell r="R168">
            <v>0</v>
          </cell>
          <cell r="S168">
            <v>0</v>
          </cell>
          <cell r="T168">
            <v>0</v>
          </cell>
          <cell r="U168">
            <v>1</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row>
        <row r="169">
          <cell r="A169">
            <v>2712</v>
          </cell>
          <cell r="B169" t="str">
            <v>Ñ38</v>
          </cell>
          <cell r="C169" t="str">
            <v>Ñôõ thaúng</v>
          </cell>
          <cell r="E169">
            <v>1602.25</v>
          </cell>
          <cell r="F169" t="str">
            <v>1T-4</v>
          </cell>
          <cell r="G169">
            <v>23.229026843577916</v>
          </cell>
          <cell r="H169">
            <v>30</v>
          </cell>
          <cell r="K169">
            <v>0</v>
          </cell>
          <cell r="L169">
            <v>0</v>
          </cell>
          <cell r="M169">
            <v>0</v>
          </cell>
          <cell r="N169">
            <v>0</v>
          </cell>
          <cell r="O169">
            <v>1</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row>
        <row r="170">
          <cell r="A170">
            <v>2713</v>
          </cell>
          <cell r="B170" t="str">
            <v>Ñ51-34B</v>
          </cell>
          <cell r="C170" t="str">
            <v>Ñôõ thaúng</v>
          </cell>
          <cell r="D170" t="str">
            <v>4T28 - 34B</v>
          </cell>
          <cell r="E170">
            <v>2261.9499999999998</v>
          </cell>
          <cell r="F170" t="str">
            <v>1T-5</v>
          </cell>
          <cell r="G170">
            <v>25.830910460799299</v>
          </cell>
          <cell r="H170">
            <v>30</v>
          </cell>
          <cell r="K170">
            <v>0</v>
          </cell>
          <cell r="L170">
            <v>0</v>
          </cell>
          <cell r="M170">
            <v>0</v>
          </cell>
          <cell r="N170">
            <v>0</v>
          </cell>
          <cell r="O170">
            <v>0</v>
          </cell>
          <cell r="P170">
            <v>1</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row>
        <row r="171">
          <cell r="A171">
            <v>2714</v>
          </cell>
          <cell r="B171" t="str">
            <v>Ñ34</v>
          </cell>
          <cell r="C171" t="str">
            <v>Ñôõ thaúng</v>
          </cell>
          <cell r="E171">
            <v>4241.1499999999996</v>
          </cell>
          <cell r="F171" t="str">
            <v>1T-9</v>
          </cell>
          <cell r="G171">
            <v>27.081040430194623</v>
          </cell>
          <cell r="H171">
            <v>30</v>
          </cell>
          <cell r="K171">
            <v>0</v>
          </cell>
          <cell r="L171">
            <v>0</v>
          </cell>
          <cell r="M171">
            <v>0</v>
          </cell>
          <cell r="N171">
            <v>0</v>
          </cell>
          <cell r="O171">
            <v>0</v>
          </cell>
          <cell r="P171">
            <v>0</v>
          </cell>
          <cell r="Q171">
            <v>0</v>
          </cell>
          <cell r="R171">
            <v>0</v>
          </cell>
          <cell r="S171">
            <v>0</v>
          </cell>
          <cell r="T171">
            <v>1</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row>
        <row r="172">
          <cell r="A172">
            <v>2715</v>
          </cell>
          <cell r="B172" t="str">
            <v>Ñ51-38B</v>
          </cell>
          <cell r="C172" t="str">
            <v>Ñôõ thaúng</v>
          </cell>
          <cell r="D172" t="str">
            <v>4T34 - 30C</v>
          </cell>
          <cell r="E172">
            <v>3015.9</v>
          </cell>
          <cell r="F172" t="str">
            <v>1T-7</v>
          </cell>
          <cell r="G172">
            <v>25.178173168776418</v>
          </cell>
          <cell r="H172">
            <v>30</v>
          </cell>
          <cell r="K172">
            <v>0</v>
          </cell>
          <cell r="L172">
            <v>0</v>
          </cell>
          <cell r="M172">
            <v>0</v>
          </cell>
          <cell r="N172">
            <v>0</v>
          </cell>
          <cell r="O172">
            <v>0</v>
          </cell>
          <cell r="P172">
            <v>0</v>
          </cell>
          <cell r="Q172">
            <v>0</v>
          </cell>
          <cell r="R172">
            <v>1</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row>
        <row r="173">
          <cell r="A173">
            <v>2716</v>
          </cell>
          <cell r="B173" t="str">
            <v>Ñ51-38B</v>
          </cell>
          <cell r="C173" t="str">
            <v>Ñôõ thaúng</v>
          </cell>
          <cell r="D173" t="str">
            <v>4T24 - 40C</v>
          </cell>
          <cell r="E173">
            <v>5843.4</v>
          </cell>
          <cell r="F173" t="str">
            <v>1T-10</v>
          </cell>
          <cell r="G173">
            <v>34.20901423924024</v>
          </cell>
          <cell r="H173">
            <v>35.060400000000001</v>
          </cell>
          <cell r="K173">
            <v>0</v>
          </cell>
          <cell r="L173">
            <v>0</v>
          </cell>
          <cell r="M173">
            <v>0</v>
          </cell>
          <cell r="N173">
            <v>0</v>
          </cell>
          <cell r="O173">
            <v>0</v>
          </cell>
          <cell r="P173">
            <v>0</v>
          </cell>
          <cell r="Q173">
            <v>0</v>
          </cell>
          <cell r="R173">
            <v>0</v>
          </cell>
          <cell r="S173">
            <v>0</v>
          </cell>
          <cell r="T173">
            <v>0</v>
          </cell>
          <cell r="U173">
            <v>1</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row>
        <row r="174">
          <cell r="A174">
            <v>2717</v>
          </cell>
          <cell r="B174" t="str">
            <v>Ñ51-42C</v>
          </cell>
          <cell r="C174" t="str">
            <v>Ñôõ thaúng</v>
          </cell>
          <cell r="D174" t="str">
            <v>4T34 - 34D</v>
          </cell>
          <cell r="E174">
            <v>2167.6999999999998</v>
          </cell>
          <cell r="F174" t="str">
            <v>1T-5</v>
          </cell>
          <cell r="G174">
            <v>24.747494790258049</v>
          </cell>
          <cell r="H174">
            <v>30</v>
          </cell>
          <cell r="K174">
            <v>0</v>
          </cell>
          <cell r="L174">
            <v>0</v>
          </cell>
          <cell r="M174">
            <v>0</v>
          </cell>
          <cell r="N174">
            <v>0</v>
          </cell>
          <cell r="O174">
            <v>0</v>
          </cell>
          <cell r="P174">
            <v>1</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row>
        <row r="175">
          <cell r="A175">
            <v>2718</v>
          </cell>
          <cell r="B175" t="str">
            <v>Ñ42</v>
          </cell>
          <cell r="C175" t="str">
            <v>Ñôõ thaúng</v>
          </cell>
          <cell r="E175">
            <v>2356.1999999999998</v>
          </cell>
          <cell r="F175" t="str">
            <v>1T-5</v>
          </cell>
          <cell r="G175">
            <v>26.914326131340548</v>
          </cell>
          <cell r="H175">
            <v>30</v>
          </cell>
          <cell r="K175">
            <v>0</v>
          </cell>
          <cell r="L175">
            <v>0</v>
          </cell>
          <cell r="M175">
            <v>0</v>
          </cell>
          <cell r="N175">
            <v>0</v>
          </cell>
          <cell r="O175">
            <v>0</v>
          </cell>
          <cell r="P175">
            <v>1</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row>
        <row r="176">
          <cell r="A176">
            <v>2719</v>
          </cell>
          <cell r="B176" t="str">
            <v>N513-28B</v>
          </cell>
          <cell r="C176" t="str">
            <v>Neùo thaúng</v>
          </cell>
          <cell r="D176" t="str">
            <v>3x4T24 - 40A</v>
          </cell>
          <cell r="E176">
            <v>3769.9</v>
          </cell>
          <cell r="F176" t="str">
            <v>3T-7</v>
          </cell>
          <cell r="G176">
            <v>27.685753870237768</v>
          </cell>
          <cell r="H176">
            <v>30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1</v>
          </cell>
          <cell r="AK176">
            <v>0</v>
          </cell>
          <cell r="AL176">
            <v>0</v>
          </cell>
        </row>
        <row r="177">
          <cell r="A177">
            <v>2720</v>
          </cell>
          <cell r="B177" t="str">
            <v>Ñ51-34B</v>
          </cell>
          <cell r="C177" t="str">
            <v>Ñôõ thaúng</v>
          </cell>
          <cell r="D177" t="str">
            <v>4T24 - 40B</v>
          </cell>
          <cell r="E177">
            <v>3769.9</v>
          </cell>
          <cell r="F177" t="str">
            <v>1T-8</v>
          </cell>
          <cell r="G177">
            <v>27.92864984608654</v>
          </cell>
          <cell r="H177">
            <v>30</v>
          </cell>
          <cell r="K177">
            <v>0</v>
          </cell>
          <cell r="L177">
            <v>0</v>
          </cell>
          <cell r="M177">
            <v>0</v>
          </cell>
          <cell r="N177">
            <v>0</v>
          </cell>
          <cell r="O177">
            <v>0</v>
          </cell>
          <cell r="P177">
            <v>0</v>
          </cell>
          <cell r="Q177">
            <v>0</v>
          </cell>
          <cell r="R177">
            <v>0</v>
          </cell>
          <cell r="S177">
            <v>1</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cell r="AK177">
            <v>0</v>
          </cell>
          <cell r="AL177">
            <v>0</v>
          </cell>
        </row>
        <row r="178">
          <cell r="A178">
            <v>2721</v>
          </cell>
          <cell r="B178" t="str">
            <v>Ñ51-28B</v>
          </cell>
          <cell r="C178" t="str">
            <v>Ñôõ thaúng</v>
          </cell>
          <cell r="D178" t="str">
            <v>4T24 - 40A</v>
          </cell>
          <cell r="E178">
            <v>1885</v>
          </cell>
          <cell r="F178" t="str">
            <v>1T-4</v>
          </cell>
          <cell r="G178">
            <v>27.353807311129135</v>
          </cell>
          <cell r="H178">
            <v>30</v>
          </cell>
          <cell r="K178">
            <v>0</v>
          </cell>
          <cell r="L178">
            <v>0</v>
          </cell>
          <cell r="M178">
            <v>0</v>
          </cell>
          <cell r="N178">
            <v>0</v>
          </cell>
          <cell r="O178">
            <v>1</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0</v>
          </cell>
          <cell r="AG178">
            <v>0</v>
          </cell>
          <cell r="AH178">
            <v>0</v>
          </cell>
          <cell r="AI178">
            <v>0</v>
          </cell>
          <cell r="AJ178">
            <v>0</v>
          </cell>
          <cell r="AK178">
            <v>0</v>
          </cell>
          <cell r="AL178">
            <v>0</v>
          </cell>
        </row>
        <row r="179">
          <cell r="A179">
            <v>2722</v>
          </cell>
          <cell r="B179" t="str">
            <v>N513-28B</v>
          </cell>
          <cell r="C179" t="str">
            <v>Neùo thaúng</v>
          </cell>
          <cell r="D179" t="str">
            <v>3x4T38 - 42A</v>
          </cell>
          <cell r="E179">
            <v>754</v>
          </cell>
          <cell r="F179" t="str">
            <v>3T-2</v>
          </cell>
          <cell r="G179">
            <v>13.693949611366111</v>
          </cell>
          <cell r="H179">
            <v>20</v>
          </cell>
          <cell r="K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1</v>
          </cell>
          <cell r="AF179">
            <v>0</v>
          </cell>
          <cell r="AG179">
            <v>0</v>
          </cell>
          <cell r="AH179">
            <v>0</v>
          </cell>
          <cell r="AI179">
            <v>0</v>
          </cell>
          <cell r="AJ179">
            <v>0</v>
          </cell>
          <cell r="AK179">
            <v>0</v>
          </cell>
          <cell r="AL179">
            <v>0</v>
          </cell>
        </row>
        <row r="180">
          <cell r="A180">
            <v>2723</v>
          </cell>
          <cell r="B180" t="str">
            <v>Ñ51-34B</v>
          </cell>
          <cell r="C180" t="str">
            <v>Ñôõ thaúng</v>
          </cell>
          <cell r="D180" t="str">
            <v>4T28 - 34B</v>
          </cell>
          <cell r="E180">
            <v>1394.9</v>
          </cell>
          <cell r="F180" t="str">
            <v>1T-3</v>
          </cell>
          <cell r="G180">
            <v>26.891755875164094</v>
          </cell>
          <cell r="H180">
            <v>30</v>
          </cell>
          <cell r="K180">
            <v>0</v>
          </cell>
          <cell r="L180">
            <v>0</v>
          </cell>
          <cell r="M180">
            <v>0</v>
          </cell>
          <cell r="N180">
            <v>1</v>
          </cell>
          <cell r="O180">
            <v>0</v>
          </cell>
          <cell r="P180">
            <v>0</v>
          </cell>
          <cell r="Q180">
            <v>0</v>
          </cell>
          <cell r="R180">
            <v>0</v>
          </cell>
          <cell r="S180">
            <v>0</v>
          </cell>
          <cell r="T180">
            <v>0</v>
          </cell>
          <cell r="U180">
            <v>0</v>
          </cell>
          <cell r="V180">
            <v>0</v>
          </cell>
          <cell r="W180">
            <v>0</v>
          </cell>
          <cell r="X180">
            <v>0</v>
          </cell>
          <cell r="Y180">
            <v>0</v>
          </cell>
          <cell r="Z180">
            <v>0</v>
          </cell>
          <cell r="AA180">
            <v>0</v>
          </cell>
          <cell r="AB180">
            <v>0</v>
          </cell>
          <cell r="AC180">
            <v>0</v>
          </cell>
          <cell r="AD180">
            <v>0</v>
          </cell>
          <cell r="AE180">
            <v>0</v>
          </cell>
          <cell r="AF180">
            <v>0</v>
          </cell>
          <cell r="AG180">
            <v>0</v>
          </cell>
          <cell r="AH180">
            <v>0</v>
          </cell>
          <cell r="AI180">
            <v>0</v>
          </cell>
          <cell r="AJ180">
            <v>0</v>
          </cell>
          <cell r="AK180">
            <v>0</v>
          </cell>
          <cell r="AL180">
            <v>0</v>
          </cell>
        </row>
        <row r="181">
          <cell r="A181">
            <v>2724</v>
          </cell>
          <cell r="B181" t="str">
            <v>Ñ51-28B</v>
          </cell>
          <cell r="C181" t="str">
            <v>Ñôõ thaúng</v>
          </cell>
          <cell r="D181" t="str">
            <v>4T24 - 40A</v>
          </cell>
          <cell r="E181">
            <v>5843.4</v>
          </cell>
          <cell r="F181" t="str">
            <v>1T-10</v>
          </cell>
          <cell r="G181">
            <v>34.20901423924024</v>
          </cell>
          <cell r="H181">
            <v>35.060400000000001</v>
          </cell>
          <cell r="K181">
            <v>0</v>
          </cell>
          <cell r="L181">
            <v>0</v>
          </cell>
          <cell r="M181">
            <v>0</v>
          </cell>
          <cell r="N181">
            <v>0</v>
          </cell>
          <cell r="O181">
            <v>0</v>
          </cell>
          <cell r="P181">
            <v>0</v>
          </cell>
          <cell r="Q181">
            <v>0</v>
          </cell>
          <cell r="R181">
            <v>0</v>
          </cell>
          <cell r="S181">
            <v>0</v>
          </cell>
          <cell r="T181">
            <v>0</v>
          </cell>
          <cell r="U181">
            <v>1</v>
          </cell>
          <cell r="V181">
            <v>0</v>
          </cell>
          <cell r="W181">
            <v>0</v>
          </cell>
          <cell r="X181">
            <v>0</v>
          </cell>
          <cell r="Y181">
            <v>0</v>
          </cell>
          <cell r="Z181">
            <v>0</v>
          </cell>
          <cell r="AA181">
            <v>0</v>
          </cell>
          <cell r="AB181">
            <v>0</v>
          </cell>
          <cell r="AC181">
            <v>0</v>
          </cell>
          <cell r="AD181">
            <v>0</v>
          </cell>
          <cell r="AE181">
            <v>0</v>
          </cell>
          <cell r="AF181">
            <v>0</v>
          </cell>
          <cell r="AG181">
            <v>0</v>
          </cell>
          <cell r="AH181">
            <v>0</v>
          </cell>
          <cell r="AI181">
            <v>0</v>
          </cell>
          <cell r="AJ181">
            <v>0</v>
          </cell>
          <cell r="AK181">
            <v>0</v>
          </cell>
          <cell r="AL181">
            <v>0</v>
          </cell>
        </row>
        <row r="182">
          <cell r="A182">
            <v>2725</v>
          </cell>
          <cell r="B182" t="str">
            <v>Ñ51-28B</v>
          </cell>
          <cell r="C182" t="str">
            <v>Ñôõ thaúng</v>
          </cell>
          <cell r="D182" t="str">
            <v>4T28 - 34A</v>
          </cell>
          <cell r="E182">
            <v>1847.3</v>
          </cell>
          <cell r="F182" t="str">
            <v>1T-4</v>
          </cell>
          <cell r="G182">
            <v>26.774890754279841</v>
          </cell>
          <cell r="H182">
            <v>30</v>
          </cell>
          <cell r="K182">
            <v>0</v>
          </cell>
          <cell r="L182">
            <v>0</v>
          </cell>
          <cell r="M182">
            <v>0</v>
          </cell>
          <cell r="N182">
            <v>0</v>
          </cell>
          <cell r="O182">
            <v>1</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row>
        <row r="183">
          <cell r="A183">
            <v>2726</v>
          </cell>
          <cell r="B183" t="str">
            <v>Ñ51-34C</v>
          </cell>
          <cell r="C183" t="str">
            <v>Ñôõ thaúng</v>
          </cell>
          <cell r="D183" t="str">
            <v>4T28 - 34B</v>
          </cell>
          <cell r="E183">
            <v>5654.9</v>
          </cell>
          <cell r="F183" t="str">
            <v>1T-10</v>
          </cell>
          <cell r="G183">
            <v>33.097001800325671</v>
          </cell>
          <cell r="H183">
            <v>33.929400000000001</v>
          </cell>
          <cell r="K183">
            <v>0</v>
          </cell>
          <cell r="L183">
            <v>0</v>
          </cell>
          <cell r="M183">
            <v>0</v>
          </cell>
          <cell r="N183">
            <v>0</v>
          </cell>
          <cell r="O183">
            <v>0</v>
          </cell>
          <cell r="P183">
            <v>0</v>
          </cell>
          <cell r="Q183">
            <v>0</v>
          </cell>
          <cell r="R183">
            <v>0</v>
          </cell>
          <cell r="S183">
            <v>0</v>
          </cell>
          <cell r="T183">
            <v>0</v>
          </cell>
          <cell r="U183">
            <v>1</v>
          </cell>
          <cell r="V183">
            <v>0</v>
          </cell>
          <cell r="W183">
            <v>0</v>
          </cell>
          <cell r="X183">
            <v>0</v>
          </cell>
          <cell r="Y183">
            <v>0</v>
          </cell>
          <cell r="Z183">
            <v>0</v>
          </cell>
          <cell r="AA183">
            <v>0</v>
          </cell>
          <cell r="AB183">
            <v>0</v>
          </cell>
          <cell r="AC183">
            <v>0</v>
          </cell>
          <cell r="AD183">
            <v>0</v>
          </cell>
          <cell r="AE183">
            <v>0</v>
          </cell>
          <cell r="AF183">
            <v>0</v>
          </cell>
          <cell r="AG183">
            <v>0</v>
          </cell>
          <cell r="AH183">
            <v>0</v>
          </cell>
          <cell r="AI183">
            <v>0</v>
          </cell>
          <cell r="AJ183">
            <v>0</v>
          </cell>
          <cell r="AK183">
            <v>0</v>
          </cell>
          <cell r="AL183">
            <v>0</v>
          </cell>
        </row>
        <row r="184">
          <cell r="A184">
            <v>2727</v>
          </cell>
          <cell r="B184" t="str">
            <v>Ñ51-28B</v>
          </cell>
          <cell r="C184" t="str">
            <v>Ñôõ thaúng</v>
          </cell>
          <cell r="D184" t="str">
            <v>4T28 - 34A</v>
          </cell>
          <cell r="E184">
            <v>3958.4</v>
          </cell>
          <cell r="F184" t="str">
            <v>1T-8</v>
          </cell>
          <cell r="G184">
            <v>29.336194533289849</v>
          </cell>
          <cell r="H184">
            <v>30</v>
          </cell>
          <cell r="K184">
            <v>0</v>
          </cell>
          <cell r="L184">
            <v>0</v>
          </cell>
          <cell r="M184">
            <v>0</v>
          </cell>
          <cell r="N184">
            <v>0</v>
          </cell>
          <cell r="O184">
            <v>0</v>
          </cell>
          <cell r="P184">
            <v>0</v>
          </cell>
          <cell r="Q184">
            <v>0</v>
          </cell>
          <cell r="R184">
            <v>0</v>
          </cell>
          <cell r="S184">
            <v>1</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row>
        <row r="185">
          <cell r="A185">
            <v>2728</v>
          </cell>
          <cell r="B185" t="str">
            <v>Ñ51-34B</v>
          </cell>
          <cell r="C185" t="str">
            <v>Ñôõ thaúng</v>
          </cell>
          <cell r="D185" t="str">
            <v>4T24 - 40B</v>
          </cell>
          <cell r="E185">
            <v>16022.2</v>
          </cell>
          <cell r="F185" t="str">
            <v>1T-10</v>
          </cell>
          <cell r="G185">
            <v>93.78947017687338</v>
          </cell>
          <cell r="H185">
            <v>96.133200000000016</v>
          </cell>
          <cell r="K185">
            <v>0</v>
          </cell>
          <cell r="L185">
            <v>0</v>
          </cell>
          <cell r="M185">
            <v>0</v>
          </cell>
          <cell r="N185">
            <v>0</v>
          </cell>
          <cell r="O185">
            <v>0</v>
          </cell>
          <cell r="P185">
            <v>0</v>
          </cell>
          <cell r="Q185">
            <v>0</v>
          </cell>
          <cell r="R185">
            <v>0</v>
          </cell>
          <cell r="S185">
            <v>0</v>
          </cell>
          <cell r="T185">
            <v>0</v>
          </cell>
          <cell r="U185">
            <v>1</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row>
        <row r="186">
          <cell r="A186">
            <v>2729</v>
          </cell>
          <cell r="B186" t="str">
            <v>Ñ51-42C</v>
          </cell>
          <cell r="C186" t="str">
            <v>Ñôõ thaúng</v>
          </cell>
          <cell r="D186" t="str">
            <v>4T34 - 34D</v>
          </cell>
          <cell r="E186">
            <v>11498.3</v>
          </cell>
          <cell r="F186" t="str">
            <v>1T-10</v>
          </cell>
          <cell r="G186">
            <v>67.306016039565918</v>
          </cell>
          <cell r="H186">
            <v>68.989799999999988</v>
          </cell>
          <cell r="K186">
            <v>0</v>
          </cell>
          <cell r="L186">
            <v>0</v>
          </cell>
          <cell r="M186">
            <v>0</v>
          </cell>
          <cell r="N186">
            <v>0</v>
          </cell>
          <cell r="O186">
            <v>0</v>
          </cell>
          <cell r="P186">
            <v>0</v>
          </cell>
          <cell r="Q186">
            <v>0</v>
          </cell>
          <cell r="R186">
            <v>0</v>
          </cell>
          <cell r="S186">
            <v>0</v>
          </cell>
          <cell r="T186">
            <v>0</v>
          </cell>
          <cell r="U186">
            <v>1</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row>
        <row r="187">
          <cell r="A187">
            <v>2730</v>
          </cell>
          <cell r="B187" t="str">
            <v>Ñ51-34B</v>
          </cell>
          <cell r="C187" t="str">
            <v>Ñôõ thaúng</v>
          </cell>
          <cell r="D187" t="str">
            <v>4T38 - 40B</v>
          </cell>
          <cell r="E187">
            <v>1470.25</v>
          </cell>
          <cell r="F187" t="str">
            <v>1T-3</v>
          </cell>
          <cell r="G187">
            <v>28.433935423560598</v>
          </cell>
          <cell r="H187">
            <v>30</v>
          </cell>
          <cell r="K187">
            <v>0</v>
          </cell>
          <cell r="L187">
            <v>0</v>
          </cell>
          <cell r="M187">
            <v>0</v>
          </cell>
          <cell r="N187">
            <v>1</v>
          </cell>
          <cell r="O187">
            <v>0</v>
          </cell>
          <cell r="P187">
            <v>0</v>
          </cell>
          <cell r="Q187">
            <v>0</v>
          </cell>
          <cell r="R187">
            <v>0</v>
          </cell>
          <cell r="S187">
            <v>0</v>
          </cell>
          <cell r="T187">
            <v>0</v>
          </cell>
          <cell r="U187">
            <v>0</v>
          </cell>
          <cell r="V187">
            <v>0</v>
          </cell>
          <cell r="W187">
            <v>0</v>
          </cell>
          <cell r="X187">
            <v>0</v>
          </cell>
          <cell r="Y187">
            <v>0</v>
          </cell>
          <cell r="Z187">
            <v>0</v>
          </cell>
          <cell r="AA187">
            <v>0</v>
          </cell>
          <cell r="AB187">
            <v>0</v>
          </cell>
          <cell r="AC187">
            <v>0</v>
          </cell>
          <cell r="AD187">
            <v>0</v>
          </cell>
          <cell r="AE187">
            <v>0</v>
          </cell>
          <cell r="AF187">
            <v>0</v>
          </cell>
          <cell r="AG187">
            <v>0</v>
          </cell>
          <cell r="AH187">
            <v>0</v>
          </cell>
          <cell r="AI187">
            <v>0</v>
          </cell>
          <cell r="AJ187">
            <v>0</v>
          </cell>
          <cell r="AK187">
            <v>0</v>
          </cell>
          <cell r="AL187">
            <v>0</v>
          </cell>
        </row>
        <row r="188">
          <cell r="A188">
            <v>2731</v>
          </cell>
          <cell r="B188" t="str">
            <v>Ñ51-34C</v>
          </cell>
          <cell r="C188" t="str">
            <v>Ñôõ thaúng</v>
          </cell>
          <cell r="D188" t="str">
            <v>4T38 - 38B</v>
          </cell>
          <cell r="E188">
            <v>2073.5</v>
          </cell>
          <cell r="F188" t="str">
            <v>1T-5</v>
          </cell>
          <cell r="G188">
            <v>23.664079119716796</v>
          </cell>
          <cell r="H188">
            <v>30</v>
          </cell>
          <cell r="K188">
            <v>0</v>
          </cell>
          <cell r="L188">
            <v>0</v>
          </cell>
          <cell r="M188">
            <v>0</v>
          </cell>
          <cell r="N188">
            <v>0</v>
          </cell>
          <cell r="O188">
            <v>0</v>
          </cell>
          <cell r="P188">
            <v>1</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row>
        <row r="189">
          <cell r="A189">
            <v>2732</v>
          </cell>
          <cell r="B189" t="str">
            <v>Ñ42</v>
          </cell>
          <cell r="C189" t="str">
            <v>Ñôõ thaúng</v>
          </cell>
          <cell r="E189">
            <v>10744.3</v>
          </cell>
          <cell r="F189" t="str">
            <v>1T-10</v>
          </cell>
          <cell r="G189">
            <v>62.887229769142238</v>
          </cell>
          <cell r="H189">
            <v>64.465800000000002</v>
          </cell>
          <cell r="K189">
            <v>0</v>
          </cell>
          <cell r="L189">
            <v>0</v>
          </cell>
          <cell r="M189">
            <v>0</v>
          </cell>
          <cell r="N189">
            <v>0</v>
          </cell>
          <cell r="O189">
            <v>0</v>
          </cell>
          <cell r="P189">
            <v>0</v>
          </cell>
          <cell r="Q189">
            <v>0</v>
          </cell>
          <cell r="R189">
            <v>0</v>
          </cell>
          <cell r="S189">
            <v>0</v>
          </cell>
          <cell r="T189">
            <v>0</v>
          </cell>
          <cell r="U189">
            <v>1</v>
          </cell>
          <cell r="V189">
            <v>0</v>
          </cell>
          <cell r="W189">
            <v>0</v>
          </cell>
          <cell r="X189">
            <v>0</v>
          </cell>
          <cell r="Y189">
            <v>0</v>
          </cell>
          <cell r="Z189">
            <v>0</v>
          </cell>
          <cell r="AA189">
            <v>0</v>
          </cell>
          <cell r="AB189">
            <v>0</v>
          </cell>
          <cell r="AC189">
            <v>0</v>
          </cell>
          <cell r="AD189">
            <v>0</v>
          </cell>
          <cell r="AE189">
            <v>0</v>
          </cell>
          <cell r="AF189">
            <v>0</v>
          </cell>
          <cell r="AG189">
            <v>0</v>
          </cell>
          <cell r="AH189">
            <v>0</v>
          </cell>
          <cell r="AI189">
            <v>0</v>
          </cell>
          <cell r="AJ189">
            <v>0</v>
          </cell>
          <cell r="AK189">
            <v>0</v>
          </cell>
          <cell r="AL189">
            <v>0</v>
          </cell>
        </row>
        <row r="190">
          <cell r="A190">
            <v>2801</v>
          </cell>
          <cell r="B190" t="str">
            <v>N513-28B</v>
          </cell>
          <cell r="C190" t="str">
            <v>Neùo goùc</v>
          </cell>
          <cell r="D190" t="str">
            <v>3x4T34 - 34A</v>
          </cell>
          <cell r="E190">
            <v>1621.1</v>
          </cell>
          <cell r="F190" t="str">
            <v>3T-4</v>
          </cell>
          <cell r="G190">
            <v>18.859482675652274</v>
          </cell>
          <cell r="H190">
            <v>30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1</v>
          </cell>
          <cell r="AH190">
            <v>0</v>
          </cell>
          <cell r="AI190">
            <v>0</v>
          </cell>
          <cell r="AJ190">
            <v>0</v>
          </cell>
          <cell r="AK190">
            <v>0</v>
          </cell>
          <cell r="AL190">
            <v>0</v>
          </cell>
        </row>
        <row r="191">
          <cell r="A191">
            <v>2802</v>
          </cell>
          <cell r="B191" t="str">
            <v>Ñ51-34C</v>
          </cell>
          <cell r="C191" t="str">
            <v>Ñôõ thaúng</v>
          </cell>
          <cell r="D191" t="str">
            <v>4T34 - 30B</v>
          </cell>
          <cell r="E191">
            <v>3581.4</v>
          </cell>
          <cell r="F191" t="str">
            <v>1T-8</v>
          </cell>
          <cell r="G191">
            <v>26.558145808546492</v>
          </cell>
          <cell r="H191">
            <v>30</v>
          </cell>
          <cell r="K191">
            <v>0</v>
          </cell>
          <cell r="L191">
            <v>0</v>
          </cell>
          <cell r="M191">
            <v>0</v>
          </cell>
          <cell r="N191">
            <v>0</v>
          </cell>
          <cell r="O191">
            <v>0</v>
          </cell>
          <cell r="P191">
            <v>0</v>
          </cell>
          <cell r="Q191">
            <v>0</v>
          </cell>
          <cell r="R191">
            <v>0</v>
          </cell>
          <cell r="S191">
            <v>1</v>
          </cell>
          <cell r="T191">
            <v>0</v>
          </cell>
          <cell r="U191">
            <v>0</v>
          </cell>
          <cell r="V191">
            <v>0</v>
          </cell>
          <cell r="W191">
            <v>0</v>
          </cell>
          <cell r="X191">
            <v>0</v>
          </cell>
          <cell r="Y191">
            <v>0</v>
          </cell>
          <cell r="Z191">
            <v>0</v>
          </cell>
          <cell r="AA191">
            <v>0</v>
          </cell>
          <cell r="AB191">
            <v>0</v>
          </cell>
          <cell r="AC191">
            <v>0</v>
          </cell>
          <cell r="AD191">
            <v>0</v>
          </cell>
          <cell r="AE191">
            <v>0</v>
          </cell>
          <cell r="AF191">
            <v>0</v>
          </cell>
          <cell r="AG191">
            <v>0</v>
          </cell>
          <cell r="AH191">
            <v>0</v>
          </cell>
          <cell r="AI191">
            <v>0</v>
          </cell>
          <cell r="AJ191">
            <v>0</v>
          </cell>
          <cell r="AK191">
            <v>0</v>
          </cell>
          <cell r="AL191">
            <v>0</v>
          </cell>
        </row>
        <row r="192">
          <cell r="A192">
            <v>2803</v>
          </cell>
          <cell r="B192" t="str">
            <v>Ñ51-42C</v>
          </cell>
          <cell r="C192" t="str">
            <v>Ñôõ thaúng</v>
          </cell>
          <cell r="D192" t="str">
            <v>4T34 - 34D</v>
          </cell>
          <cell r="E192">
            <v>1526.85</v>
          </cell>
          <cell r="F192" t="str">
            <v>1T-4</v>
          </cell>
          <cell r="G192">
            <v>22.143558299485488</v>
          </cell>
          <cell r="H192">
            <v>30</v>
          </cell>
          <cell r="K192">
            <v>0</v>
          </cell>
          <cell r="L192">
            <v>0</v>
          </cell>
          <cell r="M192">
            <v>0</v>
          </cell>
          <cell r="N192">
            <v>0</v>
          </cell>
          <cell r="O192">
            <v>1</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row>
        <row r="193">
          <cell r="A193">
            <v>2804</v>
          </cell>
          <cell r="B193" t="str">
            <v>Ñ51-42C</v>
          </cell>
          <cell r="C193" t="str">
            <v>Ñôõ thaúng</v>
          </cell>
          <cell r="D193" t="str">
            <v>4T34 - 38D</v>
          </cell>
          <cell r="E193">
            <v>2450.4499999999998</v>
          </cell>
          <cell r="F193" t="str">
            <v>1T-5</v>
          </cell>
          <cell r="G193">
            <v>27.997741801881798</v>
          </cell>
          <cell r="H193">
            <v>30</v>
          </cell>
          <cell r="K193">
            <v>0</v>
          </cell>
          <cell r="L193">
            <v>0</v>
          </cell>
          <cell r="M193">
            <v>0</v>
          </cell>
          <cell r="N193">
            <v>0</v>
          </cell>
          <cell r="O193">
            <v>0</v>
          </cell>
          <cell r="P193">
            <v>1</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row>
        <row r="194">
          <cell r="A194">
            <v>2805</v>
          </cell>
          <cell r="B194" t="str">
            <v>Ñ51-38B</v>
          </cell>
          <cell r="C194" t="str">
            <v>Ñôõ thaúng</v>
          </cell>
          <cell r="D194" t="str">
            <v>4T34 - 38C</v>
          </cell>
          <cell r="E194">
            <v>4716.8999999999996</v>
          </cell>
          <cell r="F194" t="str">
            <v>1T-10</v>
          </cell>
          <cell r="G194">
            <v>27.624730061456621</v>
          </cell>
          <cell r="H194">
            <v>30</v>
          </cell>
          <cell r="K194">
            <v>0</v>
          </cell>
          <cell r="L194">
            <v>0</v>
          </cell>
          <cell r="M194">
            <v>0</v>
          </cell>
          <cell r="N194">
            <v>0</v>
          </cell>
          <cell r="O194">
            <v>0</v>
          </cell>
          <cell r="P194">
            <v>0</v>
          </cell>
          <cell r="Q194">
            <v>0</v>
          </cell>
          <cell r="R194">
            <v>0</v>
          </cell>
          <cell r="S194">
            <v>0</v>
          </cell>
          <cell r="T194">
            <v>0</v>
          </cell>
          <cell r="U194">
            <v>1</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row>
        <row r="195">
          <cell r="A195">
            <v>2806</v>
          </cell>
          <cell r="B195" t="str">
            <v>Ñ51-34B</v>
          </cell>
          <cell r="C195" t="str">
            <v>Ñôõ thaúng</v>
          </cell>
          <cell r="D195" t="str">
            <v>4T34 - 38B</v>
          </cell>
          <cell r="E195">
            <v>2356.1999999999998</v>
          </cell>
          <cell r="F195" t="str">
            <v>1T-5</v>
          </cell>
          <cell r="G195">
            <v>26.914326131340548</v>
          </cell>
          <cell r="H195">
            <v>30</v>
          </cell>
          <cell r="K195">
            <v>0</v>
          </cell>
          <cell r="L195">
            <v>0</v>
          </cell>
          <cell r="M195">
            <v>0</v>
          </cell>
          <cell r="N195">
            <v>0</v>
          </cell>
          <cell r="O195">
            <v>0</v>
          </cell>
          <cell r="P195">
            <v>1</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row>
        <row r="196">
          <cell r="A196">
            <v>2807</v>
          </cell>
          <cell r="B196" t="str">
            <v>Ñ51-38B</v>
          </cell>
          <cell r="C196" t="str">
            <v>Ñôõ thaúng</v>
          </cell>
          <cell r="D196" t="str">
            <v>4T34 - 34C</v>
          </cell>
          <cell r="E196">
            <v>1809.6</v>
          </cell>
          <cell r="F196" t="str">
            <v>1T-4</v>
          </cell>
          <cell r="G196">
            <v>26.195974197430541</v>
          </cell>
          <cell r="H196">
            <v>30</v>
          </cell>
          <cell r="K196">
            <v>0</v>
          </cell>
          <cell r="L196">
            <v>0</v>
          </cell>
          <cell r="M196">
            <v>0</v>
          </cell>
          <cell r="N196">
            <v>0</v>
          </cell>
          <cell r="O196">
            <v>1</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row>
        <row r="197">
          <cell r="A197">
            <v>2808</v>
          </cell>
          <cell r="B197" t="str">
            <v>Ñ51-34B</v>
          </cell>
          <cell r="C197" t="str">
            <v>Ñôõ thaúng</v>
          </cell>
          <cell r="D197" t="str">
            <v>4T34 - 36B</v>
          </cell>
          <cell r="E197">
            <v>12063.7</v>
          </cell>
          <cell r="F197" t="str">
            <v>1T-10</v>
          </cell>
          <cell r="G197">
            <v>70.612789871075023</v>
          </cell>
          <cell r="H197">
            <v>72.382200000000012</v>
          </cell>
          <cell r="K197">
            <v>0</v>
          </cell>
          <cell r="L197">
            <v>0</v>
          </cell>
          <cell r="M197">
            <v>0</v>
          </cell>
          <cell r="N197">
            <v>0</v>
          </cell>
          <cell r="O197">
            <v>0</v>
          </cell>
          <cell r="P197">
            <v>0</v>
          </cell>
          <cell r="Q197">
            <v>0</v>
          </cell>
          <cell r="R197">
            <v>0</v>
          </cell>
          <cell r="S197">
            <v>0</v>
          </cell>
          <cell r="T197">
            <v>0</v>
          </cell>
          <cell r="U197">
            <v>1</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row>
        <row r="198">
          <cell r="A198">
            <v>2809</v>
          </cell>
          <cell r="B198" t="str">
            <v>Ñ51-28B</v>
          </cell>
          <cell r="C198" t="str">
            <v>Ñôõ thaúng</v>
          </cell>
          <cell r="D198" t="str">
            <v>4T34 - 28A</v>
          </cell>
          <cell r="E198">
            <v>13288.95</v>
          </cell>
          <cell r="F198" t="str">
            <v>1T-10</v>
          </cell>
          <cell r="G198">
            <v>77.782343753550521</v>
          </cell>
          <cell r="H198">
            <v>79.733700000000013</v>
          </cell>
          <cell r="K198">
            <v>0</v>
          </cell>
          <cell r="L198">
            <v>0</v>
          </cell>
          <cell r="M198">
            <v>0</v>
          </cell>
          <cell r="N198">
            <v>0</v>
          </cell>
          <cell r="O198">
            <v>0</v>
          </cell>
          <cell r="P198">
            <v>0</v>
          </cell>
          <cell r="Q198">
            <v>0</v>
          </cell>
          <cell r="R198">
            <v>0</v>
          </cell>
          <cell r="S198">
            <v>0</v>
          </cell>
          <cell r="T198">
            <v>0</v>
          </cell>
          <cell r="U198">
            <v>1</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row>
        <row r="199">
          <cell r="A199">
            <v>2831</v>
          </cell>
          <cell r="B199" t="str">
            <v>N513-28B</v>
          </cell>
          <cell r="C199" t="str">
            <v>Neùo goùc</v>
          </cell>
          <cell r="D199" t="str">
            <v>3x4T34 - 36A</v>
          </cell>
          <cell r="E199">
            <v>980.2</v>
          </cell>
          <cell r="F199" t="str">
            <v>3T-2</v>
          </cell>
          <cell r="G199">
            <v>17.86561638039155</v>
          </cell>
          <cell r="H199">
            <v>20</v>
          </cell>
          <cell r="K199">
            <v>0</v>
          </cell>
          <cell r="L199">
            <v>0</v>
          </cell>
          <cell r="M199">
            <v>0</v>
          </cell>
          <cell r="N199">
            <v>0</v>
          </cell>
          <cell r="O199">
            <v>0</v>
          </cell>
          <cell r="P199">
            <v>0</v>
          </cell>
          <cell r="Q199">
            <v>0</v>
          </cell>
          <cell r="R199">
            <v>0</v>
          </cell>
          <cell r="S199">
            <v>0</v>
          </cell>
          <cell r="T199">
            <v>0</v>
          </cell>
          <cell r="U199">
            <v>0</v>
          </cell>
          <cell r="V199">
            <v>0</v>
          </cell>
          <cell r="W199">
            <v>0</v>
          </cell>
          <cell r="X199">
            <v>0</v>
          </cell>
          <cell r="Y199">
            <v>0</v>
          </cell>
          <cell r="Z199">
            <v>0</v>
          </cell>
          <cell r="AA199">
            <v>0</v>
          </cell>
          <cell r="AB199">
            <v>0</v>
          </cell>
          <cell r="AC199">
            <v>0</v>
          </cell>
          <cell r="AD199">
            <v>0</v>
          </cell>
          <cell r="AE199">
            <v>1</v>
          </cell>
          <cell r="AF199">
            <v>0</v>
          </cell>
          <cell r="AG199">
            <v>0</v>
          </cell>
          <cell r="AH199">
            <v>0</v>
          </cell>
          <cell r="AI199">
            <v>0</v>
          </cell>
          <cell r="AJ199">
            <v>0</v>
          </cell>
          <cell r="AK199">
            <v>0</v>
          </cell>
          <cell r="AL199">
            <v>0</v>
          </cell>
        </row>
        <row r="200">
          <cell r="A200">
            <v>2841</v>
          </cell>
          <cell r="B200" t="str">
            <v>N513-28B</v>
          </cell>
          <cell r="C200" t="str">
            <v>Neùo goùc</v>
          </cell>
          <cell r="D200" t="str">
            <v>3x4T34 - 36A</v>
          </cell>
          <cell r="E200">
            <v>1131</v>
          </cell>
          <cell r="F200" t="str">
            <v>3TC-2</v>
          </cell>
          <cell r="G200">
            <v>19.806621085486139</v>
          </cell>
          <cell r="H200">
            <v>30</v>
          </cell>
          <cell r="K200">
            <v>0</v>
          </cell>
          <cell r="L200">
            <v>0</v>
          </cell>
          <cell r="M200">
            <v>0</v>
          </cell>
          <cell r="N200">
            <v>0</v>
          </cell>
          <cell r="O200">
            <v>0</v>
          </cell>
          <cell r="P200">
            <v>0</v>
          </cell>
          <cell r="Q200">
            <v>0</v>
          </cell>
          <cell r="R200">
            <v>0</v>
          </cell>
          <cell r="S200">
            <v>0</v>
          </cell>
          <cell r="T200">
            <v>0</v>
          </cell>
          <cell r="U200">
            <v>0</v>
          </cell>
          <cell r="V200">
            <v>0</v>
          </cell>
          <cell r="W200">
            <v>0</v>
          </cell>
          <cell r="X200">
            <v>0</v>
          </cell>
          <cell r="Y200">
            <v>0</v>
          </cell>
          <cell r="Z200">
            <v>0</v>
          </cell>
          <cell r="AA200">
            <v>0</v>
          </cell>
          <cell r="AB200">
            <v>1</v>
          </cell>
          <cell r="AC200">
            <v>0</v>
          </cell>
          <cell r="AD200">
            <v>0</v>
          </cell>
          <cell r="AE200">
            <v>0</v>
          </cell>
          <cell r="AF200">
            <v>0</v>
          </cell>
          <cell r="AG200">
            <v>0</v>
          </cell>
          <cell r="AH200">
            <v>0</v>
          </cell>
          <cell r="AI200">
            <v>0</v>
          </cell>
          <cell r="AJ200">
            <v>0</v>
          </cell>
          <cell r="AK200">
            <v>0</v>
          </cell>
          <cell r="AL200">
            <v>0</v>
          </cell>
        </row>
        <row r="201">
          <cell r="A201">
            <v>2842</v>
          </cell>
          <cell r="B201" t="str">
            <v>Ñ51-34B</v>
          </cell>
          <cell r="C201" t="str">
            <v>Ñôõ thaúng</v>
          </cell>
          <cell r="D201" t="str">
            <v>4T34 - 28B</v>
          </cell>
          <cell r="E201">
            <v>386.45</v>
          </cell>
          <cell r="F201" t="str">
            <v>1TC-1</v>
          </cell>
          <cell r="G201">
            <v>11.48010590413636</v>
          </cell>
          <cell r="H201">
            <v>15</v>
          </cell>
          <cell r="K201">
            <v>0</v>
          </cell>
          <cell r="L201">
            <v>0</v>
          </cell>
          <cell r="M201">
            <v>0</v>
          </cell>
          <cell r="N201">
            <v>0</v>
          </cell>
          <cell r="O201">
            <v>0</v>
          </cell>
          <cell r="P201">
            <v>0</v>
          </cell>
          <cell r="Q201">
            <v>0</v>
          </cell>
          <cell r="R201">
            <v>0</v>
          </cell>
          <cell r="S201">
            <v>0</v>
          </cell>
          <cell r="T201">
            <v>0</v>
          </cell>
          <cell r="U201">
            <v>0</v>
          </cell>
          <cell r="V201">
            <v>0</v>
          </cell>
          <cell r="W201">
            <v>1</v>
          </cell>
          <cell r="X201">
            <v>0</v>
          </cell>
          <cell r="Y201">
            <v>0</v>
          </cell>
          <cell r="Z201">
            <v>0</v>
          </cell>
          <cell r="AA201">
            <v>0</v>
          </cell>
          <cell r="AB201">
            <v>0</v>
          </cell>
          <cell r="AC201">
            <v>0</v>
          </cell>
          <cell r="AD201">
            <v>0</v>
          </cell>
          <cell r="AE201">
            <v>0</v>
          </cell>
          <cell r="AF201">
            <v>0</v>
          </cell>
          <cell r="AG201">
            <v>0</v>
          </cell>
          <cell r="AH201">
            <v>0</v>
          </cell>
          <cell r="AI201">
            <v>0</v>
          </cell>
          <cell r="AJ201">
            <v>0</v>
          </cell>
          <cell r="AK201">
            <v>0</v>
          </cell>
          <cell r="AL201">
            <v>0</v>
          </cell>
        </row>
        <row r="202">
          <cell r="A202">
            <v>2843</v>
          </cell>
          <cell r="B202" t="str">
            <v>Ñ51-34B</v>
          </cell>
          <cell r="C202" t="str">
            <v>Ñôõ thaúng</v>
          </cell>
          <cell r="D202" t="str">
            <v>4T24 - 40B</v>
          </cell>
          <cell r="E202">
            <v>13665.95</v>
          </cell>
          <cell r="F202" t="str">
            <v>1T-10</v>
          </cell>
          <cell r="G202">
            <v>80.006368631379658</v>
          </cell>
          <cell r="H202">
            <v>81.995699999999999</v>
          </cell>
          <cell r="K202">
            <v>0</v>
          </cell>
          <cell r="L202">
            <v>0</v>
          </cell>
          <cell r="M202">
            <v>0</v>
          </cell>
          <cell r="N202">
            <v>0</v>
          </cell>
          <cell r="O202">
            <v>0</v>
          </cell>
          <cell r="P202">
            <v>0</v>
          </cell>
          <cell r="Q202">
            <v>0</v>
          </cell>
          <cell r="R202">
            <v>0</v>
          </cell>
          <cell r="S202">
            <v>0</v>
          </cell>
          <cell r="T202">
            <v>0</v>
          </cell>
          <cell r="U202">
            <v>1</v>
          </cell>
          <cell r="V202">
            <v>0</v>
          </cell>
          <cell r="W202">
            <v>0</v>
          </cell>
          <cell r="X202">
            <v>0</v>
          </cell>
          <cell r="Y202">
            <v>0</v>
          </cell>
          <cell r="Z202">
            <v>0</v>
          </cell>
          <cell r="AA202">
            <v>0</v>
          </cell>
          <cell r="AB202">
            <v>0</v>
          </cell>
          <cell r="AC202">
            <v>0</v>
          </cell>
          <cell r="AD202">
            <v>0</v>
          </cell>
          <cell r="AE202">
            <v>0</v>
          </cell>
          <cell r="AF202">
            <v>0</v>
          </cell>
          <cell r="AG202">
            <v>0</v>
          </cell>
          <cell r="AH202">
            <v>0</v>
          </cell>
          <cell r="AI202">
            <v>0</v>
          </cell>
          <cell r="AJ202">
            <v>0</v>
          </cell>
          <cell r="AK202">
            <v>0</v>
          </cell>
          <cell r="AL202">
            <v>0</v>
          </cell>
        </row>
        <row r="203">
          <cell r="A203">
            <v>2844</v>
          </cell>
          <cell r="B203" t="str">
            <v>Ñ51-28B</v>
          </cell>
          <cell r="C203" t="str">
            <v>Ñôõ thaúng</v>
          </cell>
          <cell r="D203" t="str">
            <v>4T24 - 40A</v>
          </cell>
          <cell r="E203">
            <v>2601.1999999999998</v>
          </cell>
          <cell r="F203" t="str">
            <v>1T-6</v>
          </cell>
          <cell r="G203">
            <v>24.977951012237849</v>
          </cell>
          <cell r="H203">
            <v>30</v>
          </cell>
          <cell r="K203">
            <v>0</v>
          </cell>
          <cell r="L203">
            <v>0</v>
          </cell>
          <cell r="M203">
            <v>0</v>
          </cell>
          <cell r="N203">
            <v>0</v>
          </cell>
          <cell r="O203">
            <v>0</v>
          </cell>
          <cell r="P203">
            <v>0</v>
          </cell>
          <cell r="Q203">
            <v>1</v>
          </cell>
          <cell r="R203">
            <v>0</v>
          </cell>
          <cell r="S203">
            <v>0</v>
          </cell>
          <cell r="T203">
            <v>0</v>
          </cell>
          <cell r="U203">
            <v>0</v>
          </cell>
          <cell r="V203">
            <v>0</v>
          </cell>
          <cell r="W203">
            <v>0</v>
          </cell>
          <cell r="X203">
            <v>0</v>
          </cell>
          <cell r="Y203">
            <v>0</v>
          </cell>
          <cell r="Z203">
            <v>0</v>
          </cell>
          <cell r="AA203">
            <v>0</v>
          </cell>
          <cell r="AB203">
            <v>0</v>
          </cell>
          <cell r="AC203">
            <v>0</v>
          </cell>
          <cell r="AD203">
            <v>0</v>
          </cell>
          <cell r="AE203">
            <v>0</v>
          </cell>
          <cell r="AF203">
            <v>0</v>
          </cell>
          <cell r="AG203">
            <v>0</v>
          </cell>
          <cell r="AH203">
            <v>0</v>
          </cell>
          <cell r="AI203">
            <v>0</v>
          </cell>
          <cell r="AJ203">
            <v>0</v>
          </cell>
          <cell r="AK203">
            <v>0</v>
          </cell>
          <cell r="AL203">
            <v>0</v>
          </cell>
        </row>
        <row r="204">
          <cell r="A204">
            <v>2851</v>
          </cell>
          <cell r="B204" t="str">
            <v>N513-28C</v>
          </cell>
          <cell r="C204" t="str">
            <v>Neùo goùc</v>
          </cell>
          <cell r="D204" t="str">
            <v>3x4T28 - 44A</v>
          </cell>
          <cell r="E204">
            <v>428.85</v>
          </cell>
          <cell r="F204" t="str">
            <v>3T-1</v>
          </cell>
          <cell r="G204">
            <v>11.598805361175298</v>
          </cell>
          <cell r="H204">
            <v>15</v>
          </cell>
          <cell r="K204">
            <v>0</v>
          </cell>
          <cell r="L204">
            <v>0</v>
          </cell>
          <cell r="M204">
            <v>0</v>
          </cell>
          <cell r="N204">
            <v>0</v>
          </cell>
          <cell r="O204">
            <v>0</v>
          </cell>
          <cell r="P204">
            <v>0</v>
          </cell>
          <cell r="Q204">
            <v>0</v>
          </cell>
          <cell r="R204">
            <v>0</v>
          </cell>
          <cell r="S204">
            <v>0</v>
          </cell>
          <cell r="T204">
            <v>0</v>
          </cell>
          <cell r="U204">
            <v>0</v>
          </cell>
          <cell r="V204">
            <v>0</v>
          </cell>
          <cell r="W204">
            <v>0</v>
          </cell>
          <cell r="X204">
            <v>0</v>
          </cell>
          <cell r="Y204">
            <v>0</v>
          </cell>
          <cell r="Z204">
            <v>0</v>
          </cell>
          <cell r="AA204">
            <v>0</v>
          </cell>
          <cell r="AB204">
            <v>0</v>
          </cell>
          <cell r="AC204">
            <v>0</v>
          </cell>
          <cell r="AD204">
            <v>1</v>
          </cell>
          <cell r="AE204">
            <v>0</v>
          </cell>
          <cell r="AF204">
            <v>0</v>
          </cell>
          <cell r="AG204">
            <v>0</v>
          </cell>
          <cell r="AH204">
            <v>0</v>
          </cell>
          <cell r="AI204">
            <v>0</v>
          </cell>
          <cell r="AJ204">
            <v>0</v>
          </cell>
          <cell r="AK204">
            <v>0</v>
          </cell>
          <cell r="AL204">
            <v>0</v>
          </cell>
        </row>
        <row r="205">
          <cell r="A205">
            <v>2852</v>
          </cell>
          <cell r="B205" t="str">
            <v>Ñ51-34B</v>
          </cell>
          <cell r="C205" t="str">
            <v>Ñôõ thaúng</v>
          </cell>
          <cell r="D205" t="str">
            <v>4T24 - 40B</v>
          </cell>
          <cell r="E205">
            <v>10367.299999999999</v>
          </cell>
          <cell r="F205" t="str">
            <v>1T-10</v>
          </cell>
          <cell r="G205">
            <v>60.692468376547687</v>
          </cell>
          <cell r="H205">
            <v>62.203800000000001</v>
          </cell>
          <cell r="K205">
            <v>0</v>
          </cell>
          <cell r="L205">
            <v>0</v>
          </cell>
          <cell r="M205">
            <v>0</v>
          </cell>
          <cell r="N205">
            <v>0</v>
          </cell>
          <cell r="O205">
            <v>0</v>
          </cell>
          <cell r="P205">
            <v>0</v>
          </cell>
          <cell r="Q205">
            <v>0</v>
          </cell>
          <cell r="R205">
            <v>0</v>
          </cell>
          <cell r="S205">
            <v>0</v>
          </cell>
          <cell r="T205">
            <v>0</v>
          </cell>
          <cell r="U205">
            <v>1</v>
          </cell>
          <cell r="V205">
            <v>0</v>
          </cell>
          <cell r="W205">
            <v>0</v>
          </cell>
          <cell r="X205">
            <v>0</v>
          </cell>
          <cell r="Y205">
            <v>0</v>
          </cell>
          <cell r="Z205">
            <v>0</v>
          </cell>
          <cell r="AA205">
            <v>0</v>
          </cell>
          <cell r="AB205">
            <v>0</v>
          </cell>
          <cell r="AC205">
            <v>0</v>
          </cell>
          <cell r="AD205">
            <v>0</v>
          </cell>
          <cell r="AE205">
            <v>0</v>
          </cell>
          <cell r="AF205">
            <v>0</v>
          </cell>
          <cell r="AG205">
            <v>0</v>
          </cell>
          <cell r="AH205">
            <v>0</v>
          </cell>
          <cell r="AI205">
            <v>0</v>
          </cell>
          <cell r="AJ205">
            <v>0</v>
          </cell>
          <cell r="AK205">
            <v>0</v>
          </cell>
          <cell r="AL205">
            <v>0</v>
          </cell>
        </row>
        <row r="206">
          <cell r="A206">
            <v>2901</v>
          </cell>
          <cell r="B206" t="str">
            <v>N513-28B</v>
          </cell>
          <cell r="C206" t="str">
            <v>Neùo goùc</v>
          </cell>
          <cell r="D206" t="str">
            <v>3x4T28 - 42A</v>
          </cell>
          <cell r="E206">
            <v>2827.4</v>
          </cell>
          <cell r="F206" t="str">
            <v>3T-5</v>
          </cell>
          <cell r="G206">
            <v>27.554052986412831</v>
          </cell>
          <cell r="H206">
            <v>30</v>
          </cell>
          <cell r="K206">
            <v>0</v>
          </cell>
          <cell r="L206">
            <v>0</v>
          </cell>
          <cell r="M206">
            <v>0</v>
          </cell>
          <cell r="N206">
            <v>0</v>
          </cell>
          <cell r="O206">
            <v>0</v>
          </cell>
          <cell r="P206">
            <v>0</v>
          </cell>
          <cell r="Q206">
            <v>0</v>
          </cell>
          <cell r="R206">
            <v>0</v>
          </cell>
          <cell r="S206">
            <v>0</v>
          </cell>
          <cell r="T206">
            <v>0</v>
          </cell>
          <cell r="U206">
            <v>0</v>
          </cell>
          <cell r="V206">
            <v>0</v>
          </cell>
          <cell r="W206">
            <v>0</v>
          </cell>
          <cell r="X206">
            <v>0</v>
          </cell>
          <cell r="Y206">
            <v>0</v>
          </cell>
          <cell r="Z206">
            <v>0</v>
          </cell>
          <cell r="AA206">
            <v>0</v>
          </cell>
          <cell r="AB206">
            <v>0</v>
          </cell>
          <cell r="AC206">
            <v>0</v>
          </cell>
          <cell r="AD206">
            <v>0</v>
          </cell>
          <cell r="AE206">
            <v>0</v>
          </cell>
          <cell r="AF206">
            <v>0</v>
          </cell>
          <cell r="AG206">
            <v>0</v>
          </cell>
          <cell r="AH206">
            <v>1</v>
          </cell>
          <cell r="AI206">
            <v>0</v>
          </cell>
          <cell r="AJ206">
            <v>0</v>
          </cell>
          <cell r="AK206">
            <v>0</v>
          </cell>
          <cell r="AL206">
            <v>0</v>
          </cell>
        </row>
        <row r="207">
          <cell r="A207">
            <v>2902</v>
          </cell>
          <cell r="B207" t="str">
            <v>Ñ51-34B</v>
          </cell>
          <cell r="C207" t="str">
            <v>Ñôõ thaúng</v>
          </cell>
          <cell r="D207" t="str">
            <v>4T24 - 40B</v>
          </cell>
          <cell r="E207">
            <v>1753.05</v>
          </cell>
          <cell r="F207" t="str">
            <v>1T-4</v>
          </cell>
          <cell r="G207">
            <v>25.399963931762763</v>
          </cell>
          <cell r="H207">
            <v>30</v>
          </cell>
          <cell r="K207">
            <v>0</v>
          </cell>
          <cell r="L207">
            <v>0</v>
          </cell>
          <cell r="M207">
            <v>0</v>
          </cell>
          <cell r="N207">
            <v>0</v>
          </cell>
          <cell r="O207">
            <v>1</v>
          </cell>
          <cell r="P207">
            <v>0</v>
          </cell>
          <cell r="Q207">
            <v>0</v>
          </cell>
          <cell r="R207">
            <v>0</v>
          </cell>
          <cell r="S207">
            <v>0</v>
          </cell>
          <cell r="T207">
            <v>0</v>
          </cell>
          <cell r="U207">
            <v>0</v>
          </cell>
          <cell r="V207">
            <v>0</v>
          </cell>
          <cell r="W207">
            <v>0</v>
          </cell>
          <cell r="X207">
            <v>0</v>
          </cell>
          <cell r="Y207">
            <v>0</v>
          </cell>
          <cell r="Z207">
            <v>0</v>
          </cell>
          <cell r="AA207">
            <v>0</v>
          </cell>
          <cell r="AB207">
            <v>0</v>
          </cell>
          <cell r="AC207">
            <v>0</v>
          </cell>
          <cell r="AD207">
            <v>0</v>
          </cell>
          <cell r="AE207">
            <v>0</v>
          </cell>
          <cell r="AF207">
            <v>0</v>
          </cell>
          <cell r="AG207">
            <v>0</v>
          </cell>
          <cell r="AH207">
            <v>0</v>
          </cell>
          <cell r="AI207">
            <v>0</v>
          </cell>
          <cell r="AJ207">
            <v>0</v>
          </cell>
          <cell r="AK207">
            <v>0</v>
          </cell>
          <cell r="AL207">
            <v>0</v>
          </cell>
        </row>
        <row r="208">
          <cell r="A208">
            <v>2903</v>
          </cell>
          <cell r="B208" t="str">
            <v>Ñ34</v>
          </cell>
          <cell r="C208" t="str">
            <v>Ñôõ thaúng</v>
          </cell>
          <cell r="E208">
            <v>1225.25</v>
          </cell>
          <cell r="F208" t="str">
            <v>1T-3</v>
          </cell>
          <cell r="G208">
            <v>23.711010556596293</v>
          </cell>
          <cell r="H208">
            <v>30</v>
          </cell>
          <cell r="K208">
            <v>0</v>
          </cell>
          <cell r="L208">
            <v>0</v>
          </cell>
          <cell r="M208">
            <v>0</v>
          </cell>
          <cell r="N208">
            <v>1</v>
          </cell>
          <cell r="O208">
            <v>0</v>
          </cell>
          <cell r="P208">
            <v>0</v>
          </cell>
          <cell r="Q208">
            <v>0</v>
          </cell>
          <cell r="R208">
            <v>0</v>
          </cell>
          <cell r="S208">
            <v>0</v>
          </cell>
          <cell r="T208">
            <v>0</v>
          </cell>
          <cell r="U208">
            <v>0</v>
          </cell>
          <cell r="V208">
            <v>0</v>
          </cell>
          <cell r="W208">
            <v>0</v>
          </cell>
          <cell r="X208">
            <v>0</v>
          </cell>
          <cell r="Y208">
            <v>0</v>
          </cell>
          <cell r="Z208">
            <v>0</v>
          </cell>
          <cell r="AA208">
            <v>0</v>
          </cell>
          <cell r="AB208">
            <v>0</v>
          </cell>
          <cell r="AC208">
            <v>0</v>
          </cell>
          <cell r="AD208">
            <v>0</v>
          </cell>
          <cell r="AE208">
            <v>0</v>
          </cell>
          <cell r="AF208">
            <v>0</v>
          </cell>
          <cell r="AG208">
            <v>0</v>
          </cell>
          <cell r="AH208">
            <v>0</v>
          </cell>
          <cell r="AI208">
            <v>0</v>
          </cell>
          <cell r="AJ208">
            <v>0</v>
          </cell>
          <cell r="AK208">
            <v>0</v>
          </cell>
          <cell r="AL208">
            <v>0</v>
          </cell>
        </row>
        <row r="209">
          <cell r="A209">
            <v>2904</v>
          </cell>
          <cell r="B209" t="str">
            <v>N30</v>
          </cell>
          <cell r="C209" t="str">
            <v>Neùo thaúng</v>
          </cell>
          <cell r="E209">
            <v>603.20000000000005</v>
          </cell>
          <cell r="F209" t="str">
            <v>3TC-1</v>
          </cell>
          <cell r="G209">
            <v>15.791019398599143</v>
          </cell>
          <cell r="H209">
            <v>20</v>
          </cell>
          <cell r="K209">
            <v>0</v>
          </cell>
          <cell r="L209">
            <v>0</v>
          </cell>
          <cell r="M209">
            <v>0</v>
          </cell>
          <cell r="N209">
            <v>0</v>
          </cell>
          <cell r="O209">
            <v>0</v>
          </cell>
          <cell r="P209">
            <v>0</v>
          </cell>
          <cell r="Q209">
            <v>0</v>
          </cell>
          <cell r="R209">
            <v>0</v>
          </cell>
          <cell r="S209">
            <v>0</v>
          </cell>
          <cell r="T209">
            <v>0</v>
          </cell>
          <cell r="U209">
            <v>0</v>
          </cell>
          <cell r="V209">
            <v>0</v>
          </cell>
          <cell r="W209">
            <v>0</v>
          </cell>
          <cell r="X209">
            <v>0</v>
          </cell>
          <cell r="Y209">
            <v>0</v>
          </cell>
          <cell r="Z209">
            <v>0</v>
          </cell>
          <cell r="AA209">
            <v>1</v>
          </cell>
          <cell r="AB209">
            <v>0</v>
          </cell>
          <cell r="AC209">
            <v>0</v>
          </cell>
          <cell r="AD209">
            <v>0</v>
          </cell>
          <cell r="AE209">
            <v>0</v>
          </cell>
          <cell r="AF209">
            <v>0</v>
          </cell>
          <cell r="AG209">
            <v>0</v>
          </cell>
          <cell r="AH209">
            <v>0</v>
          </cell>
          <cell r="AI209">
            <v>0</v>
          </cell>
          <cell r="AJ209">
            <v>0</v>
          </cell>
          <cell r="AK209">
            <v>0</v>
          </cell>
          <cell r="AL209">
            <v>0</v>
          </cell>
        </row>
        <row r="210">
          <cell r="A210">
            <v>2905</v>
          </cell>
          <cell r="B210" t="str">
            <v>Ñ51-38B</v>
          </cell>
          <cell r="C210" t="str">
            <v>Ñôõ thaúng</v>
          </cell>
          <cell r="D210" t="str">
            <v>4T24 - 40C</v>
          </cell>
          <cell r="E210">
            <v>716.3</v>
          </cell>
          <cell r="F210" t="str">
            <v>1TC-2</v>
          </cell>
          <cell r="G210">
            <v>18.437803458606151</v>
          </cell>
          <cell r="H210">
            <v>20</v>
          </cell>
          <cell r="K210">
            <v>0</v>
          </cell>
          <cell r="L210">
            <v>0</v>
          </cell>
          <cell r="M210">
            <v>0</v>
          </cell>
          <cell r="N210">
            <v>0</v>
          </cell>
          <cell r="O210">
            <v>0</v>
          </cell>
          <cell r="P210">
            <v>0</v>
          </cell>
          <cell r="Q210">
            <v>0</v>
          </cell>
          <cell r="R210">
            <v>0</v>
          </cell>
          <cell r="S210">
            <v>0</v>
          </cell>
          <cell r="T210">
            <v>0</v>
          </cell>
          <cell r="U210">
            <v>0</v>
          </cell>
          <cell r="V210">
            <v>0</v>
          </cell>
          <cell r="W210">
            <v>0</v>
          </cell>
          <cell r="X210">
            <v>1</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row>
        <row r="211">
          <cell r="A211">
            <v>3001</v>
          </cell>
          <cell r="B211" t="str">
            <v>N513-34C</v>
          </cell>
          <cell r="C211" t="str">
            <v>Neùo goùc</v>
          </cell>
          <cell r="D211" t="str">
            <v>3x4T40 - 40C</v>
          </cell>
          <cell r="E211">
            <v>532.5</v>
          </cell>
          <cell r="F211" t="str">
            <v>3T-1</v>
          </cell>
          <cell r="G211">
            <v>14.431071786578572</v>
          </cell>
          <cell r="H211">
            <v>20</v>
          </cell>
          <cell r="K211">
            <v>0</v>
          </cell>
          <cell r="L211">
            <v>0</v>
          </cell>
          <cell r="M211">
            <v>0</v>
          </cell>
          <cell r="N211">
            <v>0</v>
          </cell>
          <cell r="O211">
            <v>0</v>
          </cell>
          <cell r="P211">
            <v>0</v>
          </cell>
          <cell r="Q211">
            <v>0</v>
          </cell>
          <cell r="R211">
            <v>0</v>
          </cell>
          <cell r="S211">
            <v>0</v>
          </cell>
          <cell r="T211">
            <v>0</v>
          </cell>
          <cell r="U211">
            <v>0</v>
          </cell>
          <cell r="V211">
            <v>0</v>
          </cell>
          <cell r="W211">
            <v>0</v>
          </cell>
          <cell r="X211">
            <v>0</v>
          </cell>
          <cell r="Y211">
            <v>0</v>
          </cell>
          <cell r="Z211">
            <v>0</v>
          </cell>
          <cell r="AA211">
            <v>0</v>
          </cell>
          <cell r="AB211">
            <v>0</v>
          </cell>
          <cell r="AC211">
            <v>0</v>
          </cell>
          <cell r="AD211">
            <v>1</v>
          </cell>
          <cell r="AE211">
            <v>0</v>
          </cell>
          <cell r="AF211">
            <v>0</v>
          </cell>
          <cell r="AG211">
            <v>0</v>
          </cell>
          <cell r="AH211">
            <v>0</v>
          </cell>
          <cell r="AI211">
            <v>0</v>
          </cell>
          <cell r="AJ211">
            <v>0</v>
          </cell>
          <cell r="AK211">
            <v>0</v>
          </cell>
          <cell r="AL211">
            <v>0</v>
          </cell>
        </row>
        <row r="212">
          <cell r="A212">
            <v>3002</v>
          </cell>
          <cell r="B212" t="str">
            <v>Ñ51-34B</v>
          </cell>
          <cell r="C212" t="str">
            <v>Ñôõ thaúng</v>
          </cell>
          <cell r="D212" t="str">
            <v>4T34 - 30B</v>
          </cell>
          <cell r="E212">
            <v>2167.6999999999998</v>
          </cell>
          <cell r="F212" t="str">
            <v>1T-5</v>
          </cell>
          <cell r="G212">
            <v>24.747494790258049</v>
          </cell>
          <cell r="H212">
            <v>30</v>
          </cell>
          <cell r="K212">
            <v>0</v>
          </cell>
          <cell r="L212">
            <v>0</v>
          </cell>
          <cell r="M212">
            <v>0</v>
          </cell>
          <cell r="N212">
            <v>0</v>
          </cell>
          <cell r="O212">
            <v>0</v>
          </cell>
          <cell r="P212">
            <v>1</v>
          </cell>
          <cell r="Q212">
            <v>0</v>
          </cell>
          <cell r="R212">
            <v>0</v>
          </cell>
          <cell r="S212">
            <v>0</v>
          </cell>
          <cell r="T212">
            <v>0</v>
          </cell>
          <cell r="U212">
            <v>0</v>
          </cell>
          <cell r="V212">
            <v>0</v>
          </cell>
          <cell r="W212">
            <v>0</v>
          </cell>
          <cell r="X212">
            <v>0</v>
          </cell>
          <cell r="Y212">
            <v>0</v>
          </cell>
          <cell r="Z212">
            <v>0</v>
          </cell>
          <cell r="AA212">
            <v>0</v>
          </cell>
          <cell r="AB212">
            <v>0</v>
          </cell>
          <cell r="AC212">
            <v>0</v>
          </cell>
          <cell r="AD212">
            <v>0</v>
          </cell>
          <cell r="AE212">
            <v>0</v>
          </cell>
          <cell r="AF212">
            <v>0</v>
          </cell>
          <cell r="AG212">
            <v>0</v>
          </cell>
          <cell r="AH212">
            <v>0</v>
          </cell>
          <cell r="AI212">
            <v>0</v>
          </cell>
          <cell r="AJ212">
            <v>0</v>
          </cell>
          <cell r="AK212">
            <v>0</v>
          </cell>
          <cell r="AL212">
            <v>0</v>
          </cell>
        </row>
        <row r="213">
          <cell r="A213">
            <v>3003</v>
          </cell>
          <cell r="B213" t="str">
            <v>Ñ51-38D</v>
          </cell>
          <cell r="C213" t="str">
            <v>Ñôõ thaúng</v>
          </cell>
          <cell r="D213" t="str">
            <v>4T34 - 30C</v>
          </cell>
          <cell r="E213">
            <v>2356.1999999999998</v>
          </cell>
          <cell r="F213" t="str">
            <v>1T-5</v>
          </cell>
          <cell r="G213">
            <v>26.914326131340548</v>
          </cell>
          <cell r="H213">
            <v>30</v>
          </cell>
          <cell r="K213">
            <v>0</v>
          </cell>
          <cell r="L213">
            <v>0</v>
          </cell>
          <cell r="M213">
            <v>0</v>
          </cell>
          <cell r="N213">
            <v>0</v>
          </cell>
          <cell r="O213">
            <v>0</v>
          </cell>
          <cell r="P213">
            <v>1</v>
          </cell>
          <cell r="Q213">
            <v>0</v>
          </cell>
          <cell r="R213">
            <v>0</v>
          </cell>
          <cell r="S213">
            <v>0</v>
          </cell>
          <cell r="T213">
            <v>0</v>
          </cell>
          <cell r="U213">
            <v>0</v>
          </cell>
          <cell r="V213">
            <v>0</v>
          </cell>
          <cell r="W213">
            <v>0</v>
          </cell>
          <cell r="X213">
            <v>0</v>
          </cell>
          <cell r="Y213">
            <v>0</v>
          </cell>
          <cell r="Z213">
            <v>0</v>
          </cell>
          <cell r="AA213">
            <v>0</v>
          </cell>
          <cell r="AB213">
            <v>0</v>
          </cell>
          <cell r="AC213">
            <v>0</v>
          </cell>
          <cell r="AD213">
            <v>0</v>
          </cell>
          <cell r="AE213">
            <v>0</v>
          </cell>
          <cell r="AF213">
            <v>0</v>
          </cell>
          <cell r="AG213">
            <v>0</v>
          </cell>
          <cell r="AH213">
            <v>0</v>
          </cell>
          <cell r="AI213">
            <v>0</v>
          </cell>
          <cell r="AJ213">
            <v>0</v>
          </cell>
          <cell r="AK213">
            <v>0</v>
          </cell>
          <cell r="AL213">
            <v>0</v>
          </cell>
        </row>
        <row r="214">
          <cell r="A214">
            <v>3004</v>
          </cell>
          <cell r="B214" t="str">
            <v>Ñ51-38B</v>
          </cell>
          <cell r="C214" t="str">
            <v>Ñôõ thaúng</v>
          </cell>
          <cell r="D214" t="str">
            <v>4T24 - 40C</v>
          </cell>
          <cell r="E214">
            <v>1508</v>
          </cell>
          <cell r="F214" t="str">
            <v>1T-4</v>
          </cell>
          <cell r="G214">
            <v>21.854100021060841</v>
          </cell>
          <cell r="H214">
            <v>30</v>
          </cell>
          <cell r="K214">
            <v>0</v>
          </cell>
          <cell r="L214">
            <v>0</v>
          </cell>
          <cell r="M214">
            <v>0</v>
          </cell>
          <cell r="N214">
            <v>0</v>
          </cell>
          <cell r="O214">
            <v>1</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cell r="AD214">
            <v>0</v>
          </cell>
          <cell r="AE214">
            <v>0</v>
          </cell>
          <cell r="AF214">
            <v>0</v>
          </cell>
          <cell r="AG214">
            <v>0</v>
          </cell>
          <cell r="AH214">
            <v>0</v>
          </cell>
          <cell r="AI214">
            <v>0</v>
          </cell>
          <cell r="AJ214">
            <v>0</v>
          </cell>
          <cell r="AK214">
            <v>0</v>
          </cell>
          <cell r="AL214">
            <v>0</v>
          </cell>
        </row>
        <row r="215">
          <cell r="A215">
            <v>3101</v>
          </cell>
          <cell r="B215" t="str">
            <v>N513-28B</v>
          </cell>
          <cell r="C215" t="str">
            <v>Neùo goùc</v>
          </cell>
          <cell r="D215" t="str">
            <v>3x4T34 - 36A</v>
          </cell>
          <cell r="E215">
            <v>2073.5</v>
          </cell>
          <cell r="F215" t="str">
            <v>3T-4</v>
          </cell>
          <cell r="G215">
            <v>24.082108647371367</v>
          </cell>
          <cell r="H215">
            <v>30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0</v>
          </cell>
          <cell r="AD215">
            <v>0</v>
          </cell>
          <cell r="AE215">
            <v>0</v>
          </cell>
          <cell r="AF215">
            <v>0</v>
          </cell>
          <cell r="AG215">
            <v>1</v>
          </cell>
          <cell r="AH215">
            <v>0</v>
          </cell>
          <cell r="AI215">
            <v>0</v>
          </cell>
          <cell r="AJ215">
            <v>0</v>
          </cell>
          <cell r="AK215">
            <v>0</v>
          </cell>
          <cell r="AL215">
            <v>0</v>
          </cell>
        </row>
        <row r="216">
          <cell r="A216">
            <v>3102</v>
          </cell>
          <cell r="B216" t="str">
            <v>Ñ51-34B</v>
          </cell>
          <cell r="C216" t="str">
            <v>Ñôõ thaúng</v>
          </cell>
          <cell r="D216" t="str">
            <v>4T34 - 28B</v>
          </cell>
          <cell r="E216">
            <v>1790.75</v>
          </cell>
          <cell r="F216" t="str">
            <v>1T-4</v>
          </cell>
          <cell r="G216">
            <v>25.978880488612059</v>
          </cell>
          <cell r="H216">
            <v>30</v>
          </cell>
          <cell r="K216">
            <v>0</v>
          </cell>
          <cell r="L216">
            <v>0</v>
          </cell>
          <cell r="M216">
            <v>0</v>
          </cell>
          <cell r="N216">
            <v>0</v>
          </cell>
          <cell r="O216">
            <v>1</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row>
        <row r="217">
          <cell r="A217">
            <v>3103</v>
          </cell>
          <cell r="B217" t="str">
            <v>N513-28B</v>
          </cell>
          <cell r="C217" t="str">
            <v>Neùo thaúng</v>
          </cell>
          <cell r="D217" t="str">
            <v>3x4T34 - 38A</v>
          </cell>
          <cell r="E217">
            <v>1979.25</v>
          </cell>
          <cell r="F217" t="str">
            <v>3T-4</v>
          </cell>
          <cell r="G217">
            <v>22.979554275564006</v>
          </cell>
          <cell r="H217">
            <v>30</v>
          </cell>
          <cell r="K217">
            <v>0</v>
          </cell>
          <cell r="L217">
            <v>0</v>
          </cell>
          <cell r="M217">
            <v>0</v>
          </cell>
          <cell r="N217">
            <v>0</v>
          </cell>
          <cell r="O217">
            <v>0</v>
          </cell>
          <cell r="P217">
            <v>0</v>
          </cell>
          <cell r="Q217">
            <v>0</v>
          </cell>
          <cell r="R217">
            <v>0</v>
          </cell>
          <cell r="S217">
            <v>0</v>
          </cell>
          <cell r="T217">
            <v>0</v>
          </cell>
          <cell r="U217">
            <v>0</v>
          </cell>
          <cell r="V217">
            <v>0</v>
          </cell>
          <cell r="W217">
            <v>0</v>
          </cell>
          <cell r="X217">
            <v>0</v>
          </cell>
          <cell r="Y217">
            <v>0</v>
          </cell>
          <cell r="Z217">
            <v>0</v>
          </cell>
          <cell r="AA217">
            <v>0</v>
          </cell>
          <cell r="AB217">
            <v>0</v>
          </cell>
          <cell r="AC217">
            <v>0</v>
          </cell>
          <cell r="AD217">
            <v>0</v>
          </cell>
          <cell r="AE217">
            <v>0</v>
          </cell>
          <cell r="AF217">
            <v>0</v>
          </cell>
          <cell r="AG217">
            <v>1</v>
          </cell>
          <cell r="AH217">
            <v>0</v>
          </cell>
          <cell r="AI217">
            <v>0</v>
          </cell>
          <cell r="AJ217">
            <v>0</v>
          </cell>
          <cell r="AK217">
            <v>0</v>
          </cell>
          <cell r="AL217">
            <v>0</v>
          </cell>
        </row>
        <row r="218">
          <cell r="A218">
            <v>3104</v>
          </cell>
          <cell r="B218" t="str">
            <v>Ñ28</v>
          </cell>
          <cell r="C218" t="str">
            <v>Ñôõ thaúng</v>
          </cell>
          <cell r="E218">
            <v>1885</v>
          </cell>
          <cell r="F218" t="str">
            <v>1T-4</v>
          </cell>
          <cell r="G218">
            <v>27.353807311129135</v>
          </cell>
          <cell r="H218">
            <v>30</v>
          </cell>
          <cell r="K218">
            <v>0</v>
          </cell>
          <cell r="L218">
            <v>0</v>
          </cell>
          <cell r="M218">
            <v>0</v>
          </cell>
          <cell r="N218">
            <v>0</v>
          </cell>
          <cell r="O218">
            <v>1</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row>
        <row r="219">
          <cell r="A219">
            <v>3201</v>
          </cell>
          <cell r="B219" t="str">
            <v>N513-34B</v>
          </cell>
          <cell r="C219" t="str">
            <v>Neùo goùc</v>
          </cell>
          <cell r="D219" t="str">
            <v>3x4T38 - 40C</v>
          </cell>
          <cell r="E219">
            <v>3015.75</v>
          </cell>
          <cell r="F219" t="str">
            <v>3T-6</v>
          </cell>
          <cell r="G219">
            <v>25.137265506750698</v>
          </cell>
          <cell r="H219">
            <v>30</v>
          </cell>
          <cell r="K219">
            <v>0</v>
          </cell>
          <cell r="L219">
            <v>0</v>
          </cell>
          <cell r="M219">
            <v>0</v>
          </cell>
          <cell r="N219">
            <v>0</v>
          </cell>
          <cell r="O219">
            <v>0</v>
          </cell>
          <cell r="P219">
            <v>0</v>
          </cell>
          <cell r="Q219">
            <v>0</v>
          </cell>
          <cell r="R219">
            <v>0</v>
          </cell>
          <cell r="S219">
            <v>0</v>
          </cell>
          <cell r="T219">
            <v>0</v>
          </cell>
          <cell r="U219">
            <v>0</v>
          </cell>
          <cell r="V219">
            <v>0</v>
          </cell>
          <cell r="W219">
            <v>0</v>
          </cell>
          <cell r="X219">
            <v>0</v>
          </cell>
          <cell r="Y219">
            <v>0</v>
          </cell>
          <cell r="Z219">
            <v>0</v>
          </cell>
          <cell r="AA219">
            <v>0</v>
          </cell>
          <cell r="AB219">
            <v>0</v>
          </cell>
          <cell r="AC219">
            <v>0</v>
          </cell>
          <cell r="AD219">
            <v>0</v>
          </cell>
          <cell r="AE219">
            <v>0</v>
          </cell>
          <cell r="AF219">
            <v>0</v>
          </cell>
          <cell r="AG219">
            <v>0</v>
          </cell>
          <cell r="AH219">
            <v>0</v>
          </cell>
          <cell r="AI219">
            <v>1</v>
          </cell>
          <cell r="AJ219">
            <v>0</v>
          </cell>
          <cell r="AK219">
            <v>0</v>
          </cell>
          <cell r="AL219">
            <v>0</v>
          </cell>
        </row>
        <row r="220">
          <cell r="A220">
            <v>3202</v>
          </cell>
          <cell r="B220" t="str">
            <v>Ñ51-48B</v>
          </cell>
          <cell r="C220" t="str">
            <v>Ñôõ thaúng</v>
          </cell>
          <cell r="D220" t="str">
            <v>4T40 - 44E</v>
          </cell>
          <cell r="E220">
            <v>3769.9</v>
          </cell>
          <cell r="F220" t="str">
            <v>1T-8</v>
          </cell>
          <cell r="G220">
            <v>27.92864984608654</v>
          </cell>
          <cell r="H220">
            <v>30</v>
          </cell>
          <cell r="K220">
            <v>0</v>
          </cell>
          <cell r="L220">
            <v>0</v>
          </cell>
          <cell r="M220">
            <v>0</v>
          </cell>
          <cell r="N220">
            <v>0</v>
          </cell>
          <cell r="O220">
            <v>0</v>
          </cell>
          <cell r="P220">
            <v>0</v>
          </cell>
          <cell r="Q220">
            <v>0</v>
          </cell>
          <cell r="R220">
            <v>0</v>
          </cell>
          <cell r="S220">
            <v>1</v>
          </cell>
          <cell r="T220">
            <v>0</v>
          </cell>
          <cell r="U220">
            <v>0</v>
          </cell>
          <cell r="V220">
            <v>0</v>
          </cell>
          <cell r="W220">
            <v>0</v>
          </cell>
          <cell r="X220">
            <v>0</v>
          </cell>
          <cell r="Y220">
            <v>0</v>
          </cell>
          <cell r="Z220">
            <v>0</v>
          </cell>
          <cell r="AA220">
            <v>0</v>
          </cell>
          <cell r="AB220">
            <v>0</v>
          </cell>
          <cell r="AC220">
            <v>0</v>
          </cell>
          <cell r="AD220">
            <v>0</v>
          </cell>
          <cell r="AE220">
            <v>0</v>
          </cell>
          <cell r="AF220">
            <v>0</v>
          </cell>
          <cell r="AG220">
            <v>0</v>
          </cell>
          <cell r="AH220">
            <v>0</v>
          </cell>
          <cell r="AI220">
            <v>0</v>
          </cell>
          <cell r="AJ220">
            <v>0</v>
          </cell>
          <cell r="AK220">
            <v>0</v>
          </cell>
          <cell r="AL220">
            <v>0</v>
          </cell>
        </row>
        <row r="221">
          <cell r="A221">
            <v>3203</v>
          </cell>
          <cell r="B221" t="str">
            <v>Ñ51-48D</v>
          </cell>
          <cell r="C221" t="str">
            <v>Ñôõ thaúng</v>
          </cell>
          <cell r="D221" t="str">
            <v>4T34 - 34E</v>
          </cell>
          <cell r="E221">
            <v>1131</v>
          </cell>
          <cell r="F221" t="str">
            <v>1T-3</v>
          </cell>
          <cell r="G221">
            <v>21.879672342875438</v>
          </cell>
          <cell r="H221">
            <v>30</v>
          </cell>
          <cell r="K221">
            <v>0</v>
          </cell>
          <cell r="L221">
            <v>0</v>
          </cell>
          <cell r="M221">
            <v>0</v>
          </cell>
          <cell r="N221">
            <v>1</v>
          </cell>
          <cell r="O221">
            <v>0</v>
          </cell>
          <cell r="P221">
            <v>0</v>
          </cell>
          <cell r="Q221">
            <v>0</v>
          </cell>
          <cell r="R221">
            <v>0</v>
          </cell>
          <cell r="S221">
            <v>0</v>
          </cell>
          <cell r="T221">
            <v>0</v>
          </cell>
          <cell r="U221">
            <v>0</v>
          </cell>
          <cell r="V221">
            <v>0</v>
          </cell>
          <cell r="W221">
            <v>0</v>
          </cell>
          <cell r="X221">
            <v>0</v>
          </cell>
          <cell r="Y221">
            <v>0</v>
          </cell>
          <cell r="Z221">
            <v>0</v>
          </cell>
          <cell r="AA221">
            <v>0</v>
          </cell>
          <cell r="AB221">
            <v>0</v>
          </cell>
          <cell r="AC221">
            <v>0</v>
          </cell>
          <cell r="AD221">
            <v>0</v>
          </cell>
          <cell r="AE221">
            <v>0</v>
          </cell>
          <cell r="AF221">
            <v>0</v>
          </cell>
          <cell r="AG221">
            <v>0</v>
          </cell>
          <cell r="AH221">
            <v>0</v>
          </cell>
          <cell r="AI221">
            <v>0</v>
          </cell>
          <cell r="AJ221">
            <v>0</v>
          </cell>
          <cell r="AK221">
            <v>0</v>
          </cell>
          <cell r="AL221">
            <v>0</v>
          </cell>
        </row>
        <row r="222">
          <cell r="A222">
            <v>3204</v>
          </cell>
          <cell r="B222" t="str">
            <v>Ñ51-34B</v>
          </cell>
          <cell r="C222" t="str">
            <v>Ñôõ thaúng</v>
          </cell>
          <cell r="D222" t="str">
            <v>4T34 - 28B</v>
          </cell>
          <cell r="E222">
            <v>1508</v>
          </cell>
          <cell r="F222" t="str">
            <v>1T-4</v>
          </cell>
          <cell r="G222">
            <v>21.854100021060841</v>
          </cell>
          <cell r="H222">
            <v>30</v>
          </cell>
          <cell r="K222">
            <v>0</v>
          </cell>
          <cell r="L222">
            <v>0</v>
          </cell>
          <cell r="M222">
            <v>0</v>
          </cell>
          <cell r="N222">
            <v>0</v>
          </cell>
          <cell r="O222">
            <v>1</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row>
        <row r="223">
          <cell r="A223">
            <v>3205</v>
          </cell>
          <cell r="B223" t="str">
            <v>Ñ51-28B</v>
          </cell>
          <cell r="C223" t="str">
            <v>Ñôõ thaúng</v>
          </cell>
          <cell r="D223" t="str">
            <v>4T28 - 36A</v>
          </cell>
          <cell r="E223">
            <v>2450.4499999999998</v>
          </cell>
          <cell r="F223" t="str">
            <v>1T-5</v>
          </cell>
          <cell r="G223">
            <v>27.997741801881798</v>
          </cell>
          <cell r="H223">
            <v>30</v>
          </cell>
          <cell r="K223">
            <v>0</v>
          </cell>
          <cell r="L223">
            <v>0</v>
          </cell>
          <cell r="M223">
            <v>0</v>
          </cell>
          <cell r="N223">
            <v>0</v>
          </cell>
          <cell r="O223">
            <v>0</v>
          </cell>
          <cell r="P223">
            <v>1</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row>
        <row r="224">
          <cell r="A224">
            <v>3206</v>
          </cell>
          <cell r="B224" t="str">
            <v>N513-28B</v>
          </cell>
          <cell r="C224" t="str">
            <v>Neùo thaúng</v>
          </cell>
          <cell r="D224" t="str">
            <v>3x4T38 - 42A</v>
          </cell>
          <cell r="E224">
            <v>3392.9</v>
          </cell>
          <cell r="F224" t="str">
            <v>3T-6</v>
          </cell>
          <cell r="G224">
            <v>28.258614700469742</v>
          </cell>
          <cell r="H224">
            <v>30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1</v>
          </cell>
          <cell r="AJ224">
            <v>0</v>
          </cell>
          <cell r="AK224">
            <v>0</v>
          </cell>
          <cell r="AL224">
            <v>0</v>
          </cell>
        </row>
        <row r="225">
          <cell r="A225">
            <v>3207</v>
          </cell>
          <cell r="B225" t="str">
            <v>Ñ51-38B</v>
          </cell>
          <cell r="C225" t="str">
            <v>Ñôõ thaúng</v>
          </cell>
          <cell r="D225" t="str">
            <v>4T38 - 40C</v>
          </cell>
          <cell r="E225">
            <v>207.35</v>
          </cell>
          <cell r="F225" t="str">
            <v>1T-1</v>
          </cell>
          <cell r="G225">
            <v>6.4771541032653284</v>
          </cell>
          <cell r="H225">
            <v>15</v>
          </cell>
          <cell r="K225">
            <v>0</v>
          </cell>
          <cell r="L225">
            <v>1</v>
          </cell>
          <cell r="M225">
            <v>0</v>
          </cell>
          <cell r="N225">
            <v>0</v>
          </cell>
          <cell r="O225">
            <v>0</v>
          </cell>
          <cell r="P225">
            <v>0</v>
          </cell>
          <cell r="Q225">
            <v>0</v>
          </cell>
          <cell r="R225">
            <v>0</v>
          </cell>
          <cell r="S225">
            <v>0</v>
          </cell>
          <cell r="T225">
            <v>0</v>
          </cell>
          <cell r="U225">
            <v>0</v>
          </cell>
          <cell r="V225">
            <v>0</v>
          </cell>
          <cell r="W225">
            <v>0</v>
          </cell>
          <cell r="X225">
            <v>0</v>
          </cell>
          <cell r="Y225">
            <v>0</v>
          </cell>
          <cell r="Z225">
            <v>0</v>
          </cell>
          <cell r="AA225">
            <v>0</v>
          </cell>
          <cell r="AB225">
            <v>0</v>
          </cell>
          <cell r="AC225">
            <v>0</v>
          </cell>
          <cell r="AD225">
            <v>0</v>
          </cell>
          <cell r="AE225">
            <v>0</v>
          </cell>
          <cell r="AF225">
            <v>0</v>
          </cell>
          <cell r="AG225">
            <v>0</v>
          </cell>
          <cell r="AH225">
            <v>0</v>
          </cell>
          <cell r="AI225">
            <v>0</v>
          </cell>
          <cell r="AJ225">
            <v>0</v>
          </cell>
          <cell r="AK225">
            <v>0</v>
          </cell>
          <cell r="AL225">
            <v>0</v>
          </cell>
        </row>
        <row r="226">
          <cell r="A226">
            <v>3208</v>
          </cell>
          <cell r="B226" t="str">
            <v>Ñ51-38B</v>
          </cell>
          <cell r="C226" t="str">
            <v>Ñôõ thaúng</v>
          </cell>
          <cell r="D226" t="str">
            <v>MB Đ38 11x13</v>
          </cell>
          <cell r="E226">
            <v>656.25</v>
          </cell>
          <cell r="F226" t="str">
            <v>1T-MB</v>
          </cell>
          <cell r="G226">
            <v>19.652036751607927</v>
          </cell>
          <cell r="H226">
            <v>20</v>
          </cell>
          <cell r="K226">
            <v>0</v>
          </cell>
          <cell r="L226">
            <v>0</v>
          </cell>
          <cell r="M226">
            <v>0</v>
          </cell>
          <cell r="N226">
            <v>0</v>
          </cell>
          <cell r="O226">
            <v>0</v>
          </cell>
          <cell r="P226">
            <v>0</v>
          </cell>
          <cell r="Q226">
            <v>0</v>
          </cell>
          <cell r="R226">
            <v>0</v>
          </cell>
          <cell r="S226">
            <v>0</v>
          </cell>
          <cell r="T226">
            <v>0</v>
          </cell>
          <cell r="U226">
            <v>0</v>
          </cell>
          <cell r="V226">
            <v>1</v>
          </cell>
          <cell r="W226">
            <v>0</v>
          </cell>
          <cell r="X226">
            <v>0</v>
          </cell>
          <cell r="Y226">
            <v>0</v>
          </cell>
          <cell r="Z226">
            <v>0</v>
          </cell>
          <cell r="AA226">
            <v>0</v>
          </cell>
          <cell r="AB226">
            <v>0</v>
          </cell>
          <cell r="AC226">
            <v>0</v>
          </cell>
          <cell r="AD226">
            <v>0</v>
          </cell>
          <cell r="AE226">
            <v>0</v>
          </cell>
          <cell r="AF226">
            <v>0</v>
          </cell>
          <cell r="AG226">
            <v>0</v>
          </cell>
          <cell r="AH226">
            <v>0</v>
          </cell>
          <cell r="AI226">
            <v>0</v>
          </cell>
          <cell r="AJ226">
            <v>0</v>
          </cell>
          <cell r="AK226">
            <v>0</v>
          </cell>
          <cell r="AL226">
            <v>0</v>
          </cell>
        </row>
        <row r="227">
          <cell r="A227">
            <v>3209</v>
          </cell>
          <cell r="B227" t="str">
            <v>Ñ51-42D</v>
          </cell>
          <cell r="C227" t="str">
            <v>Ñôõ thaúng</v>
          </cell>
          <cell r="D227" t="str">
            <v>4T38 - 38D</v>
          </cell>
          <cell r="E227">
            <v>467.75</v>
          </cell>
          <cell r="F227" t="str">
            <v>1TC-1</v>
          </cell>
          <cell r="G227">
            <v>13.834999422933567</v>
          </cell>
          <cell r="H227">
            <v>15</v>
          </cell>
          <cell r="K227">
            <v>0</v>
          </cell>
          <cell r="L227">
            <v>0</v>
          </cell>
          <cell r="M227">
            <v>0</v>
          </cell>
          <cell r="N227">
            <v>0</v>
          </cell>
          <cell r="O227">
            <v>0</v>
          </cell>
          <cell r="P227">
            <v>0</v>
          </cell>
          <cell r="Q227">
            <v>0</v>
          </cell>
          <cell r="R227">
            <v>0</v>
          </cell>
          <cell r="S227">
            <v>0</v>
          </cell>
          <cell r="T227">
            <v>0</v>
          </cell>
          <cell r="U227">
            <v>0</v>
          </cell>
          <cell r="V227">
            <v>0</v>
          </cell>
          <cell r="W227">
            <v>1</v>
          </cell>
          <cell r="X227">
            <v>0</v>
          </cell>
          <cell r="Y227">
            <v>0</v>
          </cell>
          <cell r="Z227">
            <v>0</v>
          </cell>
          <cell r="AA227">
            <v>0</v>
          </cell>
          <cell r="AB227">
            <v>0</v>
          </cell>
          <cell r="AC227">
            <v>0</v>
          </cell>
          <cell r="AD227">
            <v>0</v>
          </cell>
          <cell r="AE227">
            <v>0</v>
          </cell>
          <cell r="AF227">
            <v>0</v>
          </cell>
          <cell r="AG227">
            <v>0</v>
          </cell>
          <cell r="AH227">
            <v>0</v>
          </cell>
          <cell r="AI227">
            <v>0</v>
          </cell>
          <cell r="AJ227">
            <v>0</v>
          </cell>
          <cell r="AK227">
            <v>0</v>
          </cell>
          <cell r="AL227">
            <v>0</v>
          </cell>
        </row>
        <row r="228">
          <cell r="A228">
            <v>3210</v>
          </cell>
          <cell r="B228" t="str">
            <v>Ñ38</v>
          </cell>
          <cell r="C228" t="str">
            <v>Ñôõ thaúng</v>
          </cell>
          <cell r="D228" t="str">
            <v>4T34 - 38B</v>
          </cell>
          <cell r="E228">
            <v>4995.1499999999996</v>
          </cell>
          <cell r="F228" t="str">
            <v>1T-10</v>
          </cell>
          <cell r="G228">
            <v>29.26348523459388</v>
          </cell>
          <cell r="H228">
            <v>30</v>
          </cell>
          <cell r="K228">
            <v>0</v>
          </cell>
          <cell r="L228">
            <v>0</v>
          </cell>
          <cell r="M228">
            <v>0</v>
          </cell>
          <cell r="N228">
            <v>0</v>
          </cell>
          <cell r="O228">
            <v>0</v>
          </cell>
          <cell r="P228">
            <v>0</v>
          </cell>
          <cell r="Q228">
            <v>0</v>
          </cell>
          <cell r="R228">
            <v>0</v>
          </cell>
          <cell r="S228">
            <v>0</v>
          </cell>
          <cell r="T228">
            <v>0</v>
          </cell>
          <cell r="U228">
            <v>1</v>
          </cell>
          <cell r="V228">
            <v>0</v>
          </cell>
          <cell r="W228">
            <v>0</v>
          </cell>
          <cell r="X228">
            <v>0</v>
          </cell>
          <cell r="Y228">
            <v>0</v>
          </cell>
          <cell r="Z228">
            <v>0</v>
          </cell>
          <cell r="AA228">
            <v>0</v>
          </cell>
          <cell r="AB228">
            <v>0</v>
          </cell>
          <cell r="AC228">
            <v>0</v>
          </cell>
          <cell r="AD228">
            <v>0</v>
          </cell>
          <cell r="AE228">
            <v>0</v>
          </cell>
          <cell r="AF228">
            <v>0</v>
          </cell>
          <cell r="AG228">
            <v>0</v>
          </cell>
          <cell r="AH228">
            <v>0</v>
          </cell>
          <cell r="AI228">
            <v>0</v>
          </cell>
          <cell r="AJ228">
            <v>0</v>
          </cell>
          <cell r="AK228">
            <v>0</v>
          </cell>
          <cell r="AL228">
            <v>0</v>
          </cell>
        </row>
        <row r="229">
          <cell r="A229">
            <v>3211</v>
          </cell>
          <cell r="B229" t="str">
            <v>Ñ51-42C</v>
          </cell>
          <cell r="C229" t="str">
            <v>Ñôõ thaúng</v>
          </cell>
          <cell r="D229" t="str">
            <v>4T34 - 36D</v>
          </cell>
          <cell r="E229">
            <v>4335.3999999999996</v>
          </cell>
          <cell r="F229" t="str">
            <v>1T-9</v>
          </cell>
          <cell r="G229">
            <v>27.687094338526432</v>
          </cell>
          <cell r="H229">
            <v>30</v>
          </cell>
          <cell r="K229">
            <v>0</v>
          </cell>
          <cell r="L229">
            <v>0</v>
          </cell>
          <cell r="M229">
            <v>0</v>
          </cell>
          <cell r="N229">
            <v>0</v>
          </cell>
          <cell r="O229">
            <v>0</v>
          </cell>
          <cell r="P229">
            <v>0</v>
          </cell>
          <cell r="Q229">
            <v>0</v>
          </cell>
          <cell r="R229">
            <v>0</v>
          </cell>
          <cell r="S229">
            <v>0</v>
          </cell>
          <cell r="T229">
            <v>1</v>
          </cell>
          <cell r="U229">
            <v>0</v>
          </cell>
          <cell r="V229">
            <v>0</v>
          </cell>
          <cell r="W229">
            <v>0</v>
          </cell>
          <cell r="X229">
            <v>0</v>
          </cell>
          <cell r="Y229">
            <v>0</v>
          </cell>
          <cell r="Z229">
            <v>0</v>
          </cell>
          <cell r="AA229">
            <v>0</v>
          </cell>
          <cell r="AB229">
            <v>0</v>
          </cell>
          <cell r="AC229">
            <v>0</v>
          </cell>
          <cell r="AD229">
            <v>0</v>
          </cell>
          <cell r="AE229">
            <v>0</v>
          </cell>
          <cell r="AF229">
            <v>0</v>
          </cell>
          <cell r="AG229">
            <v>0</v>
          </cell>
          <cell r="AH229">
            <v>0</v>
          </cell>
          <cell r="AI229">
            <v>0</v>
          </cell>
          <cell r="AJ229">
            <v>0</v>
          </cell>
          <cell r="AK229">
            <v>0</v>
          </cell>
          <cell r="AL229">
            <v>0</v>
          </cell>
        </row>
        <row r="230">
          <cell r="A230">
            <v>3212</v>
          </cell>
          <cell r="B230" t="str">
            <v>Ñ51-34D</v>
          </cell>
          <cell r="C230" t="str">
            <v>Ñôõ thaúng</v>
          </cell>
          <cell r="D230" t="str">
            <v>4T34 - 30B</v>
          </cell>
          <cell r="E230">
            <v>3204.4</v>
          </cell>
          <cell r="F230" t="str">
            <v>1T-7</v>
          </cell>
          <cell r="G230">
            <v>26.720544703949809</v>
          </cell>
          <cell r="H230">
            <v>30</v>
          </cell>
          <cell r="K230">
            <v>0</v>
          </cell>
          <cell r="L230">
            <v>0</v>
          </cell>
          <cell r="M230">
            <v>0</v>
          </cell>
          <cell r="N230">
            <v>0</v>
          </cell>
          <cell r="O230">
            <v>0</v>
          </cell>
          <cell r="P230">
            <v>0</v>
          </cell>
          <cell r="Q230">
            <v>0</v>
          </cell>
          <cell r="R230">
            <v>1</v>
          </cell>
          <cell r="S230">
            <v>0</v>
          </cell>
          <cell r="T230">
            <v>0</v>
          </cell>
          <cell r="U230">
            <v>0</v>
          </cell>
          <cell r="V230">
            <v>0</v>
          </cell>
          <cell r="W230">
            <v>0</v>
          </cell>
          <cell r="X230">
            <v>0</v>
          </cell>
          <cell r="Y230">
            <v>0</v>
          </cell>
          <cell r="Z230">
            <v>0</v>
          </cell>
          <cell r="AA230">
            <v>0</v>
          </cell>
          <cell r="AB230">
            <v>0</v>
          </cell>
          <cell r="AC230">
            <v>0</v>
          </cell>
          <cell r="AD230">
            <v>0</v>
          </cell>
          <cell r="AE230">
            <v>0</v>
          </cell>
          <cell r="AF230">
            <v>0</v>
          </cell>
          <cell r="AG230">
            <v>0</v>
          </cell>
          <cell r="AH230">
            <v>0</v>
          </cell>
          <cell r="AI230">
            <v>0</v>
          </cell>
          <cell r="AJ230">
            <v>0</v>
          </cell>
          <cell r="AK230">
            <v>0</v>
          </cell>
          <cell r="AL230">
            <v>0</v>
          </cell>
        </row>
        <row r="231">
          <cell r="A231">
            <v>3213</v>
          </cell>
          <cell r="B231" t="str">
            <v>Ñ51-28B</v>
          </cell>
          <cell r="C231" t="str">
            <v>Ñôõ thaúng</v>
          </cell>
          <cell r="D231" t="str">
            <v>4T34 - 32A</v>
          </cell>
          <cell r="E231">
            <v>2224.3000000000002</v>
          </cell>
          <cell r="F231" t="str">
            <v>1T-5</v>
          </cell>
          <cell r="G231">
            <v>25.374735441624036</v>
          </cell>
          <cell r="H231">
            <v>30</v>
          </cell>
          <cell r="K231">
            <v>0</v>
          </cell>
          <cell r="L231">
            <v>0</v>
          </cell>
          <cell r="M231">
            <v>0</v>
          </cell>
          <cell r="N231">
            <v>0</v>
          </cell>
          <cell r="O231">
            <v>0</v>
          </cell>
          <cell r="P231">
            <v>1</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row>
        <row r="232">
          <cell r="A232">
            <v>3251</v>
          </cell>
          <cell r="B232" t="str">
            <v>N513-28B</v>
          </cell>
          <cell r="C232" t="str">
            <v>Neùo goùc</v>
          </cell>
          <cell r="D232" t="str">
            <v>3x4T34 - 36A</v>
          </cell>
          <cell r="E232">
            <v>1131</v>
          </cell>
          <cell r="F232" t="str">
            <v>3T-2</v>
          </cell>
          <cell r="G232">
            <v>20.586268621060313</v>
          </cell>
          <cell r="H232">
            <v>30</v>
          </cell>
          <cell r="K232">
            <v>0</v>
          </cell>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1</v>
          </cell>
          <cell r="AF232">
            <v>0</v>
          </cell>
          <cell r="AG232">
            <v>0</v>
          </cell>
          <cell r="AH232">
            <v>0</v>
          </cell>
          <cell r="AI232">
            <v>0</v>
          </cell>
          <cell r="AJ232">
            <v>0</v>
          </cell>
          <cell r="AK232">
            <v>0</v>
          </cell>
          <cell r="AL232">
            <v>0</v>
          </cell>
        </row>
        <row r="233">
          <cell r="A233">
            <v>3252</v>
          </cell>
          <cell r="B233" t="str">
            <v>Ñ51-34B</v>
          </cell>
          <cell r="C233" t="str">
            <v>Ñôõ thaúng</v>
          </cell>
          <cell r="D233" t="str">
            <v>4T34 - 36B</v>
          </cell>
          <cell r="E233">
            <v>5749.15</v>
          </cell>
          <cell r="F233" t="str">
            <v>1T-10</v>
          </cell>
          <cell r="G233">
            <v>33.653008019782959</v>
          </cell>
          <cell r="H233">
            <v>34.494899999999994</v>
          </cell>
          <cell r="K233">
            <v>0</v>
          </cell>
          <cell r="L233">
            <v>0</v>
          </cell>
          <cell r="M233">
            <v>0</v>
          </cell>
          <cell r="N233">
            <v>0</v>
          </cell>
          <cell r="O233">
            <v>0</v>
          </cell>
          <cell r="P233">
            <v>0</v>
          </cell>
          <cell r="Q233">
            <v>0</v>
          </cell>
          <cell r="R233">
            <v>0</v>
          </cell>
          <cell r="S233">
            <v>0</v>
          </cell>
          <cell r="T233">
            <v>0</v>
          </cell>
          <cell r="U233">
            <v>1</v>
          </cell>
          <cell r="V233">
            <v>0</v>
          </cell>
          <cell r="W233">
            <v>0</v>
          </cell>
          <cell r="X233">
            <v>0</v>
          </cell>
          <cell r="Y233">
            <v>0</v>
          </cell>
          <cell r="Z233">
            <v>0</v>
          </cell>
          <cell r="AA233">
            <v>0</v>
          </cell>
          <cell r="AB233">
            <v>0</v>
          </cell>
          <cell r="AC233">
            <v>0</v>
          </cell>
          <cell r="AD233">
            <v>0</v>
          </cell>
          <cell r="AE233">
            <v>0</v>
          </cell>
          <cell r="AF233">
            <v>0</v>
          </cell>
          <cell r="AG233">
            <v>0</v>
          </cell>
          <cell r="AH233">
            <v>0</v>
          </cell>
          <cell r="AI233">
            <v>0</v>
          </cell>
          <cell r="AJ233">
            <v>0</v>
          </cell>
          <cell r="AK233">
            <v>0</v>
          </cell>
          <cell r="AL233">
            <v>0</v>
          </cell>
        </row>
        <row r="234">
          <cell r="A234">
            <v>3253</v>
          </cell>
          <cell r="B234" t="str">
            <v>Ñ51-42B</v>
          </cell>
          <cell r="C234" t="str">
            <v>Ñôõ thaúng</v>
          </cell>
          <cell r="D234" t="str">
            <v>4T34 - 36D</v>
          </cell>
          <cell r="E234">
            <v>3015.9</v>
          </cell>
          <cell r="F234" t="str">
            <v>1T-7</v>
          </cell>
          <cell r="G234">
            <v>25.178173168776418</v>
          </cell>
          <cell r="H234">
            <v>30</v>
          </cell>
          <cell r="K234">
            <v>0</v>
          </cell>
          <cell r="L234">
            <v>0</v>
          </cell>
          <cell r="M234">
            <v>0</v>
          </cell>
          <cell r="N234">
            <v>0</v>
          </cell>
          <cell r="O234">
            <v>0</v>
          </cell>
          <cell r="P234">
            <v>0</v>
          </cell>
          <cell r="Q234">
            <v>0</v>
          </cell>
          <cell r="R234">
            <v>1</v>
          </cell>
          <cell r="S234">
            <v>0</v>
          </cell>
          <cell r="T234">
            <v>0</v>
          </cell>
          <cell r="U234">
            <v>0</v>
          </cell>
          <cell r="V234">
            <v>0</v>
          </cell>
          <cell r="W234">
            <v>0</v>
          </cell>
          <cell r="X234">
            <v>0</v>
          </cell>
          <cell r="Y234">
            <v>0</v>
          </cell>
          <cell r="Z234">
            <v>0</v>
          </cell>
          <cell r="AA234">
            <v>0</v>
          </cell>
          <cell r="AB234">
            <v>0</v>
          </cell>
          <cell r="AC234">
            <v>0</v>
          </cell>
          <cell r="AD234">
            <v>0</v>
          </cell>
          <cell r="AE234">
            <v>0</v>
          </cell>
          <cell r="AF234">
            <v>0</v>
          </cell>
          <cell r="AG234">
            <v>0</v>
          </cell>
          <cell r="AH234">
            <v>0</v>
          </cell>
          <cell r="AI234">
            <v>0</v>
          </cell>
          <cell r="AJ234">
            <v>0</v>
          </cell>
          <cell r="AK234">
            <v>0</v>
          </cell>
          <cell r="AL234">
            <v>0</v>
          </cell>
        </row>
        <row r="235">
          <cell r="A235">
            <v>3254</v>
          </cell>
          <cell r="B235" t="str">
            <v>Ñ51-42B</v>
          </cell>
          <cell r="C235" t="str">
            <v>Ñôõ thaúng</v>
          </cell>
          <cell r="D235" t="str">
            <v>4T38 - 38D</v>
          </cell>
          <cell r="E235">
            <v>5937.65</v>
          </cell>
          <cell r="F235" t="str">
            <v>1T-10</v>
          </cell>
          <cell r="G235">
            <v>34.765020458697521</v>
          </cell>
          <cell r="H235">
            <v>35.625900000000001</v>
          </cell>
          <cell r="K235">
            <v>0</v>
          </cell>
          <cell r="L235">
            <v>0</v>
          </cell>
          <cell r="M235">
            <v>0</v>
          </cell>
          <cell r="N235">
            <v>0</v>
          </cell>
          <cell r="O235">
            <v>0</v>
          </cell>
          <cell r="P235">
            <v>0</v>
          </cell>
          <cell r="Q235">
            <v>0</v>
          </cell>
          <cell r="R235">
            <v>0</v>
          </cell>
          <cell r="S235">
            <v>0</v>
          </cell>
          <cell r="T235">
            <v>0</v>
          </cell>
          <cell r="U235">
            <v>1</v>
          </cell>
          <cell r="V235">
            <v>0</v>
          </cell>
          <cell r="W235">
            <v>0</v>
          </cell>
          <cell r="X235">
            <v>0</v>
          </cell>
          <cell r="Y235">
            <v>0</v>
          </cell>
          <cell r="Z235">
            <v>0</v>
          </cell>
          <cell r="AA235">
            <v>0</v>
          </cell>
          <cell r="AB235">
            <v>0</v>
          </cell>
          <cell r="AC235">
            <v>0</v>
          </cell>
          <cell r="AD235">
            <v>0</v>
          </cell>
          <cell r="AE235">
            <v>0</v>
          </cell>
          <cell r="AF235">
            <v>0</v>
          </cell>
          <cell r="AG235">
            <v>0</v>
          </cell>
          <cell r="AH235">
            <v>0</v>
          </cell>
          <cell r="AI235">
            <v>0</v>
          </cell>
          <cell r="AJ235">
            <v>0</v>
          </cell>
          <cell r="AK235">
            <v>0</v>
          </cell>
          <cell r="AL235">
            <v>0</v>
          </cell>
        </row>
        <row r="236">
          <cell r="A236">
            <v>3255</v>
          </cell>
          <cell r="B236" t="str">
            <v>Ñ51-34B</v>
          </cell>
          <cell r="C236" t="str">
            <v>Ñôõ thaúng</v>
          </cell>
          <cell r="D236" t="str">
            <v>4T34 - 36B</v>
          </cell>
          <cell r="E236">
            <v>1734.2</v>
          </cell>
          <cell r="F236" t="str">
            <v>1T-4</v>
          </cell>
          <cell r="G236">
            <v>25.110505653338119</v>
          </cell>
          <cell r="H236">
            <v>30</v>
          </cell>
          <cell r="K236">
            <v>0</v>
          </cell>
          <cell r="L236">
            <v>0</v>
          </cell>
          <cell r="M236">
            <v>0</v>
          </cell>
          <cell r="N236">
            <v>0</v>
          </cell>
          <cell r="O236">
            <v>1</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row>
        <row r="237">
          <cell r="A237">
            <v>3256</v>
          </cell>
          <cell r="B237" t="str">
            <v>Ñ51-38B</v>
          </cell>
          <cell r="C237" t="str">
            <v>Ñôõ thaúng</v>
          </cell>
          <cell r="D237" t="str">
            <v>4T34 - 36C</v>
          </cell>
          <cell r="E237">
            <v>560.79999999999995</v>
          </cell>
          <cell r="F237" t="str">
            <v>1T-2</v>
          </cell>
          <cell r="G237">
            <v>15.44581535704852</v>
          </cell>
          <cell r="H237">
            <v>20</v>
          </cell>
          <cell r="K237">
            <v>0</v>
          </cell>
          <cell r="L237">
            <v>0</v>
          </cell>
          <cell r="M237">
            <v>1</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row>
        <row r="238">
          <cell r="A238">
            <v>3257</v>
          </cell>
          <cell r="B238" t="str">
            <v>Ñ51-38B</v>
          </cell>
          <cell r="C238" t="str">
            <v>Ñôõ thaúng</v>
          </cell>
          <cell r="D238" t="str">
            <v>4T34 - 34C</v>
          </cell>
          <cell r="E238">
            <v>1979.2</v>
          </cell>
          <cell r="F238" t="str">
            <v>1T-4</v>
          </cell>
          <cell r="G238">
            <v>28.656369564040048</v>
          </cell>
          <cell r="H238">
            <v>30</v>
          </cell>
          <cell r="K238">
            <v>0</v>
          </cell>
          <cell r="L238">
            <v>0</v>
          </cell>
          <cell r="M238">
            <v>0</v>
          </cell>
          <cell r="N238">
            <v>0</v>
          </cell>
          <cell r="O238">
            <v>1</v>
          </cell>
          <cell r="P238">
            <v>0</v>
          </cell>
          <cell r="Q238">
            <v>0</v>
          </cell>
          <cell r="R238">
            <v>0</v>
          </cell>
          <cell r="S238">
            <v>0</v>
          </cell>
          <cell r="T238">
            <v>0</v>
          </cell>
          <cell r="U238">
            <v>0</v>
          </cell>
          <cell r="V238">
            <v>0</v>
          </cell>
          <cell r="W238">
            <v>0</v>
          </cell>
          <cell r="X238">
            <v>0</v>
          </cell>
          <cell r="Y238">
            <v>0</v>
          </cell>
          <cell r="Z238">
            <v>0</v>
          </cell>
          <cell r="AA238">
            <v>0</v>
          </cell>
          <cell r="AB238">
            <v>0</v>
          </cell>
          <cell r="AC238">
            <v>0</v>
          </cell>
          <cell r="AD238">
            <v>0</v>
          </cell>
          <cell r="AE238">
            <v>0</v>
          </cell>
          <cell r="AF238">
            <v>0</v>
          </cell>
          <cell r="AG238">
            <v>0</v>
          </cell>
          <cell r="AH238">
            <v>0</v>
          </cell>
          <cell r="AI238">
            <v>0</v>
          </cell>
          <cell r="AJ238">
            <v>0</v>
          </cell>
          <cell r="AK238">
            <v>0</v>
          </cell>
          <cell r="AL238">
            <v>0</v>
          </cell>
        </row>
        <row r="239">
          <cell r="A239">
            <v>3258</v>
          </cell>
          <cell r="B239" t="str">
            <v>Ñ51-42B</v>
          </cell>
          <cell r="C239" t="str">
            <v>Ñôõ thaúng</v>
          </cell>
          <cell r="D239" t="str">
            <v>4T34 - 28D</v>
          </cell>
          <cell r="E239">
            <v>3105.9</v>
          </cell>
          <cell r="F239" t="str">
            <v>1T-7</v>
          </cell>
          <cell r="G239">
            <v>25.928516077779683</v>
          </cell>
          <cell r="H239">
            <v>30</v>
          </cell>
          <cell r="K239">
            <v>0</v>
          </cell>
          <cell r="L239">
            <v>0</v>
          </cell>
          <cell r="M239">
            <v>0</v>
          </cell>
          <cell r="N239">
            <v>0</v>
          </cell>
          <cell r="O239">
            <v>0</v>
          </cell>
          <cell r="P239">
            <v>0</v>
          </cell>
          <cell r="Q239">
            <v>0</v>
          </cell>
          <cell r="R239">
            <v>1</v>
          </cell>
          <cell r="S239">
            <v>0</v>
          </cell>
          <cell r="T239">
            <v>0</v>
          </cell>
          <cell r="U239">
            <v>0</v>
          </cell>
          <cell r="V239">
            <v>0</v>
          </cell>
          <cell r="W239">
            <v>0</v>
          </cell>
          <cell r="X239">
            <v>0</v>
          </cell>
          <cell r="Y239">
            <v>0</v>
          </cell>
          <cell r="Z239">
            <v>0</v>
          </cell>
          <cell r="AA239">
            <v>0</v>
          </cell>
          <cell r="AB239">
            <v>0</v>
          </cell>
          <cell r="AC239">
            <v>0</v>
          </cell>
          <cell r="AD239">
            <v>0</v>
          </cell>
          <cell r="AE239">
            <v>0</v>
          </cell>
          <cell r="AF239">
            <v>0</v>
          </cell>
          <cell r="AG239">
            <v>0</v>
          </cell>
          <cell r="AH239">
            <v>0</v>
          </cell>
          <cell r="AI239">
            <v>0</v>
          </cell>
          <cell r="AJ239">
            <v>0</v>
          </cell>
          <cell r="AK239">
            <v>0</v>
          </cell>
          <cell r="AL239">
            <v>0</v>
          </cell>
        </row>
        <row r="240">
          <cell r="A240">
            <v>3259</v>
          </cell>
          <cell r="B240" t="str">
            <v>Ñ51-28B</v>
          </cell>
          <cell r="C240" t="str">
            <v>Ñôõ thaúng</v>
          </cell>
          <cell r="D240" t="str">
            <v>4T38 - 40A</v>
          </cell>
          <cell r="E240">
            <v>716.3</v>
          </cell>
          <cell r="F240" t="str">
            <v>1TC-2</v>
          </cell>
          <cell r="G240">
            <v>18.437803458606151</v>
          </cell>
          <cell r="H240">
            <v>20</v>
          </cell>
          <cell r="K240">
            <v>0</v>
          </cell>
          <cell r="L240">
            <v>0</v>
          </cell>
          <cell r="M240">
            <v>0</v>
          </cell>
          <cell r="N240">
            <v>0</v>
          </cell>
          <cell r="O240">
            <v>0</v>
          </cell>
          <cell r="P240">
            <v>0</v>
          </cell>
          <cell r="Q240">
            <v>0</v>
          </cell>
          <cell r="R240">
            <v>0</v>
          </cell>
          <cell r="S240">
            <v>0</v>
          </cell>
          <cell r="T240">
            <v>0</v>
          </cell>
          <cell r="U240">
            <v>0</v>
          </cell>
          <cell r="V240">
            <v>0</v>
          </cell>
          <cell r="W240">
            <v>0</v>
          </cell>
          <cell r="X240">
            <v>1</v>
          </cell>
          <cell r="Y240">
            <v>0</v>
          </cell>
          <cell r="Z240">
            <v>0</v>
          </cell>
          <cell r="AA240">
            <v>0</v>
          </cell>
          <cell r="AB240">
            <v>0</v>
          </cell>
          <cell r="AC240">
            <v>0</v>
          </cell>
          <cell r="AD240">
            <v>0</v>
          </cell>
          <cell r="AE240">
            <v>0</v>
          </cell>
          <cell r="AF240">
            <v>0</v>
          </cell>
          <cell r="AG240">
            <v>0</v>
          </cell>
          <cell r="AH240">
            <v>0</v>
          </cell>
          <cell r="AI240">
            <v>0</v>
          </cell>
          <cell r="AJ240">
            <v>0</v>
          </cell>
          <cell r="AK240">
            <v>0</v>
          </cell>
          <cell r="AL240">
            <v>0</v>
          </cell>
        </row>
        <row r="241">
          <cell r="A241">
            <v>3260</v>
          </cell>
          <cell r="B241" t="str">
            <v>Ñ51-42B</v>
          </cell>
          <cell r="C241" t="str">
            <v>Ñôõ thaúng</v>
          </cell>
          <cell r="D241" t="str">
            <v>4T34 - 36D</v>
          </cell>
          <cell r="E241">
            <v>169.65</v>
          </cell>
          <cell r="F241" t="str">
            <v>1T-1</v>
          </cell>
          <cell r="G241">
            <v>5.2434104645481234</v>
          </cell>
          <cell r="H241">
            <v>15</v>
          </cell>
          <cell r="K241">
            <v>0</v>
          </cell>
          <cell r="L241">
            <v>1</v>
          </cell>
          <cell r="M241">
            <v>0</v>
          </cell>
          <cell r="N241">
            <v>0</v>
          </cell>
          <cell r="O241">
            <v>0</v>
          </cell>
          <cell r="P241">
            <v>0</v>
          </cell>
          <cell r="Q241">
            <v>0</v>
          </cell>
          <cell r="R241">
            <v>0</v>
          </cell>
          <cell r="S241">
            <v>0</v>
          </cell>
          <cell r="T241">
            <v>0</v>
          </cell>
          <cell r="U241">
            <v>0</v>
          </cell>
          <cell r="V241">
            <v>0</v>
          </cell>
          <cell r="W241">
            <v>0</v>
          </cell>
          <cell r="X241">
            <v>0</v>
          </cell>
          <cell r="Y241">
            <v>0</v>
          </cell>
          <cell r="Z241">
            <v>0</v>
          </cell>
          <cell r="AA241">
            <v>0</v>
          </cell>
          <cell r="AB241">
            <v>0</v>
          </cell>
          <cell r="AC241">
            <v>0</v>
          </cell>
          <cell r="AD241">
            <v>0</v>
          </cell>
          <cell r="AE241">
            <v>0</v>
          </cell>
          <cell r="AF241">
            <v>0</v>
          </cell>
          <cell r="AG241">
            <v>0</v>
          </cell>
          <cell r="AH241">
            <v>0</v>
          </cell>
          <cell r="AI241">
            <v>0</v>
          </cell>
          <cell r="AJ241">
            <v>0</v>
          </cell>
          <cell r="AK241">
            <v>0</v>
          </cell>
          <cell r="AL241">
            <v>0</v>
          </cell>
        </row>
        <row r="242">
          <cell r="A242">
            <v>3301</v>
          </cell>
          <cell r="B242" t="str">
            <v>N34</v>
          </cell>
          <cell r="C242" t="str">
            <v>Neùo goùc</v>
          </cell>
          <cell r="D242" t="str">
            <v>3x4T40 - 44B</v>
          </cell>
          <cell r="E242">
            <v>367.55</v>
          </cell>
          <cell r="F242" t="str">
            <v>3T-1</v>
          </cell>
          <cell r="G242">
            <v>9.9803674038020009</v>
          </cell>
          <cell r="H242">
            <v>15</v>
          </cell>
          <cell r="K242">
            <v>0</v>
          </cell>
          <cell r="L242">
            <v>0</v>
          </cell>
          <cell r="M242">
            <v>0</v>
          </cell>
          <cell r="N242">
            <v>0</v>
          </cell>
          <cell r="O242">
            <v>0</v>
          </cell>
          <cell r="P242">
            <v>0</v>
          </cell>
          <cell r="Q242">
            <v>0</v>
          </cell>
          <cell r="R242">
            <v>0</v>
          </cell>
          <cell r="S242">
            <v>0</v>
          </cell>
          <cell r="T242">
            <v>0</v>
          </cell>
          <cell r="U242">
            <v>0</v>
          </cell>
          <cell r="V242">
            <v>0</v>
          </cell>
          <cell r="W242">
            <v>0</v>
          </cell>
          <cell r="X242">
            <v>0</v>
          </cell>
          <cell r="Y242">
            <v>0</v>
          </cell>
          <cell r="Z242">
            <v>0</v>
          </cell>
          <cell r="AA242">
            <v>0</v>
          </cell>
          <cell r="AB242">
            <v>0</v>
          </cell>
          <cell r="AC242">
            <v>0</v>
          </cell>
          <cell r="AD242">
            <v>1</v>
          </cell>
          <cell r="AE242">
            <v>0</v>
          </cell>
          <cell r="AF242">
            <v>0</v>
          </cell>
          <cell r="AG242">
            <v>0</v>
          </cell>
          <cell r="AH242">
            <v>0</v>
          </cell>
          <cell r="AI242">
            <v>0</v>
          </cell>
          <cell r="AJ242">
            <v>0</v>
          </cell>
          <cell r="AK242">
            <v>0</v>
          </cell>
          <cell r="AL242">
            <v>0</v>
          </cell>
        </row>
        <row r="243">
          <cell r="A243">
            <v>3302</v>
          </cell>
          <cell r="B243" t="str">
            <v>Ñ51-34B</v>
          </cell>
          <cell r="C243" t="str">
            <v>Ñôõ thaúng</v>
          </cell>
          <cell r="D243" t="str">
            <v>4T34 - 38B</v>
          </cell>
          <cell r="E243">
            <v>339.3</v>
          </cell>
          <cell r="F243" t="str">
            <v>1TC-1</v>
          </cell>
          <cell r="G243">
            <v>10.00829745488811</v>
          </cell>
          <cell r="H243">
            <v>15</v>
          </cell>
          <cell r="K243">
            <v>0</v>
          </cell>
          <cell r="L243">
            <v>0</v>
          </cell>
          <cell r="M243">
            <v>0</v>
          </cell>
          <cell r="N243">
            <v>0</v>
          </cell>
          <cell r="O243">
            <v>0</v>
          </cell>
          <cell r="P243">
            <v>0</v>
          </cell>
          <cell r="Q243">
            <v>0</v>
          </cell>
          <cell r="R243">
            <v>0</v>
          </cell>
          <cell r="S243">
            <v>0</v>
          </cell>
          <cell r="T243">
            <v>0</v>
          </cell>
          <cell r="U243">
            <v>0</v>
          </cell>
          <cell r="V243">
            <v>0</v>
          </cell>
          <cell r="W243">
            <v>1</v>
          </cell>
          <cell r="X243">
            <v>0</v>
          </cell>
          <cell r="Y243">
            <v>0</v>
          </cell>
          <cell r="Z243">
            <v>0</v>
          </cell>
          <cell r="AA243">
            <v>0</v>
          </cell>
          <cell r="AB243">
            <v>0</v>
          </cell>
          <cell r="AC243">
            <v>0</v>
          </cell>
          <cell r="AD243">
            <v>0</v>
          </cell>
          <cell r="AE243">
            <v>0</v>
          </cell>
          <cell r="AF243">
            <v>0</v>
          </cell>
          <cell r="AG243">
            <v>0</v>
          </cell>
          <cell r="AH243">
            <v>0</v>
          </cell>
          <cell r="AI243">
            <v>0</v>
          </cell>
          <cell r="AJ243">
            <v>0</v>
          </cell>
          <cell r="AK243">
            <v>0</v>
          </cell>
          <cell r="AL243">
            <v>0</v>
          </cell>
        </row>
        <row r="244">
          <cell r="A244">
            <v>3303</v>
          </cell>
          <cell r="B244" t="str">
            <v>Ñ51-28B</v>
          </cell>
          <cell r="C244" t="str">
            <v>Ñôõ thaúng</v>
          </cell>
          <cell r="D244" t="str">
            <v>4T34 - 30A</v>
          </cell>
          <cell r="E244">
            <v>5466.4</v>
          </cell>
          <cell r="F244" t="str">
            <v>1T-10</v>
          </cell>
          <cell r="G244">
            <v>32.014252846645697</v>
          </cell>
          <cell r="H244">
            <v>32.798400000000001</v>
          </cell>
          <cell r="K244">
            <v>0</v>
          </cell>
          <cell r="L244">
            <v>0</v>
          </cell>
          <cell r="M244">
            <v>0</v>
          </cell>
          <cell r="N244">
            <v>0</v>
          </cell>
          <cell r="O244">
            <v>0</v>
          </cell>
          <cell r="P244">
            <v>0</v>
          </cell>
          <cell r="Q244">
            <v>0</v>
          </cell>
          <cell r="R244">
            <v>0</v>
          </cell>
          <cell r="S244">
            <v>0</v>
          </cell>
          <cell r="T244">
            <v>0</v>
          </cell>
          <cell r="U244">
            <v>1</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row>
        <row r="245">
          <cell r="A245">
            <v>3304</v>
          </cell>
          <cell r="B245" t="str">
            <v>Ñ51-28B</v>
          </cell>
          <cell r="C245" t="str">
            <v>Ñôõ thaúng</v>
          </cell>
          <cell r="D245" t="str">
            <v>4T34 - 30A</v>
          </cell>
          <cell r="E245">
            <v>697.45</v>
          </cell>
          <cell r="F245" t="str">
            <v>1T-2</v>
          </cell>
          <cell r="G245">
            <v>19.136408406962769</v>
          </cell>
          <cell r="H245">
            <v>20</v>
          </cell>
          <cell r="K245">
            <v>0</v>
          </cell>
          <cell r="L245">
            <v>0</v>
          </cell>
          <cell r="M245">
            <v>1</v>
          </cell>
          <cell r="N245">
            <v>0</v>
          </cell>
          <cell r="O245">
            <v>0</v>
          </cell>
          <cell r="P245">
            <v>0</v>
          </cell>
          <cell r="Q245">
            <v>0</v>
          </cell>
          <cell r="R245">
            <v>0</v>
          </cell>
          <cell r="S245">
            <v>0</v>
          </cell>
          <cell r="T245">
            <v>0</v>
          </cell>
          <cell r="U245">
            <v>0</v>
          </cell>
          <cell r="V245">
            <v>0</v>
          </cell>
          <cell r="W245">
            <v>0</v>
          </cell>
          <cell r="X245">
            <v>0</v>
          </cell>
          <cell r="Y245">
            <v>0</v>
          </cell>
          <cell r="Z245">
            <v>0</v>
          </cell>
          <cell r="AA245">
            <v>0</v>
          </cell>
          <cell r="AB245">
            <v>0</v>
          </cell>
          <cell r="AC245">
            <v>0</v>
          </cell>
          <cell r="AD245">
            <v>0</v>
          </cell>
          <cell r="AE245">
            <v>0</v>
          </cell>
          <cell r="AF245">
            <v>0</v>
          </cell>
          <cell r="AG245">
            <v>0</v>
          </cell>
          <cell r="AH245">
            <v>0</v>
          </cell>
          <cell r="AI245">
            <v>0</v>
          </cell>
          <cell r="AJ245">
            <v>0</v>
          </cell>
          <cell r="AK245">
            <v>0</v>
          </cell>
          <cell r="AL245">
            <v>0</v>
          </cell>
        </row>
        <row r="246">
          <cell r="A246">
            <v>3305</v>
          </cell>
          <cell r="B246" t="str">
            <v>Ñ51-28B</v>
          </cell>
          <cell r="C246" t="str">
            <v>Ñôõ thaúng</v>
          </cell>
          <cell r="D246" t="str">
            <v>4T34 - 30A</v>
          </cell>
          <cell r="E246">
            <v>9424.7999999999993</v>
          </cell>
          <cell r="F246" t="str">
            <v>1T-10</v>
          </cell>
          <cell r="G246">
            <v>55.161669667209473</v>
          </cell>
          <cell r="H246">
            <v>56.5488</v>
          </cell>
          <cell r="K246">
            <v>0</v>
          </cell>
          <cell r="L246">
            <v>0</v>
          </cell>
          <cell r="M246">
            <v>0</v>
          </cell>
          <cell r="N246">
            <v>0</v>
          </cell>
          <cell r="O246">
            <v>0</v>
          </cell>
          <cell r="P246">
            <v>0</v>
          </cell>
          <cell r="Q246">
            <v>0</v>
          </cell>
          <cell r="R246">
            <v>0</v>
          </cell>
          <cell r="S246">
            <v>0</v>
          </cell>
          <cell r="T246">
            <v>0</v>
          </cell>
          <cell r="U246">
            <v>1</v>
          </cell>
          <cell r="V246">
            <v>0</v>
          </cell>
          <cell r="W246">
            <v>0</v>
          </cell>
          <cell r="X246">
            <v>0</v>
          </cell>
          <cell r="Y246">
            <v>0</v>
          </cell>
          <cell r="Z246">
            <v>0</v>
          </cell>
          <cell r="AA246">
            <v>0</v>
          </cell>
          <cell r="AB246">
            <v>0</v>
          </cell>
          <cell r="AC246">
            <v>0</v>
          </cell>
          <cell r="AD246">
            <v>0</v>
          </cell>
          <cell r="AE246">
            <v>0</v>
          </cell>
          <cell r="AF246">
            <v>0</v>
          </cell>
          <cell r="AG246">
            <v>0</v>
          </cell>
          <cell r="AH246">
            <v>0</v>
          </cell>
          <cell r="AI246">
            <v>0</v>
          </cell>
          <cell r="AJ246">
            <v>0</v>
          </cell>
          <cell r="AK246">
            <v>0</v>
          </cell>
          <cell r="AL246">
            <v>0</v>
          </cell>
        </row>
        <row r="247">
          <cell r="A247">
            <v>3306</v>
          </cell>
          <cell r="B247" t="str">
            <v>Ñ51-34C</v>
          </cell>
          <cell r="C247" t="str">
            <v>Ñôõ thaúng</v>
          </cell>
          <cell r="D247" t="str">
            <v>4T34 - 34B</v>
          </cell>
          <cell r="E247">
            <v>1696.5</v>
          </cell>
          <cell r="F247" t="str">
            <v>1T-4</v>
          </cell>
          <cell r="G247">
            <v>24.603953666094991</v>
          </cell>
          <cell r="H247">
            <v>30</v>
          </cell>
          <cell r="K247">
            <v>0</v>
          </cell>
          <cell r="L247">
            <v>0</v>
          </cell>
          <cell r="M247">
            <v>0</v>
          </cell>
          <cell r="N247">
            <v>0</v>
          </cell>
          <cell r="O247">
            <v>1</v>
          </cell>
          <cell r="P247">
            <v>0</v>
          </cell>
          <cell r="Q247">
            <v>0</v>
          </cell>
          <cell r="R247">
            <v>0</v>
          </cell>
          <cell r="S247">
            <v>0</v>
          </cell>
          <cell r="T247">
            <v>0</v>
          </cell>
          <cell r="U247">
            <v>0</v>
          </cell>
          <cell r="V247">
            <v>0</v>
          </cell>
          <cell r="W247">
            <v>0</v>
          </cell>
          <cell r="X247">
            <v>0</v>
          </cell>
          <cell r="Y247">
            <v>0</v>
          </cell>
          <cell r="Z247">
            <v>0</v>
          </cell>
          <cell r="AA247">
            <v>0</v>
          </cell>
          <cell r="AB247">
            <v>0</v>
          </cell>
          <cell r="AC247">
            <v>0</v>
          </cell>
          <cell r="AD247">
            <v>0</v>
          </cell>
          <cell r="AE247">
            <v>0</v>
          </cell>
          <cell r="AF247">
            <v>0</v>
          </cell>
          <cell r="AG247">
            <v>0</v>
          </cell>
          <cell r="AH247">
            <v>0</v>
          </cell>
          <cell r="AI247">
            <v>0</v>
          </cell>
          <cell r="AJ247">
            <v>0</v>
          </cell>
          <cell r="AK247">
            <v>0</v>
          </cell>
          <cell r="AL247">
            <v>0</v>
          </cell>
        </row>
        <row r="248">
          <cell r="A248">
            <v>3307</v>
          </cell>
          <cell r="B248" t="str">
            <v>Ñ51-34B</v>
          </cell>
          <cell r="C248" t="str">
            <v>Ñôõ thaúng</v>
          </cell>
          <cell r="D248" t="str">
            <v>4T34 - 34B</v>
          </cell>
          <cell r="E248">
            <v>5937.65</v>
          </cell>
          <cell r="F248" t="str">
            <v>1T-10</v>
          </cell>
          <cell r="G248">
            <v>34.765020458697521</v>
          </cell>
          <cell r="H248">
            <v>35.625900000000001</v>
          </cell>
          <cell r="K248">
            <v>0</v>
          </cell>
          <cell r="L248">
            <v>0</v>
          </cell>
          <cell r="M248">
            <v>0</v>
          </cell>
          <cell r="N248">
            <v>0</v>
          </cell>
          <cell r="O248">
            <v>0</v>
          </cell>
          <cell r="P248">
            <v>0</v>
          </cell>
          <cell r="Q248">
            <v>0</v>
          </cell>
          <cell r="R248">
            <v>0</v>
          </cell>
          <cell r="S248">
            <v>0</v>
          </cell>
          <cell r="T248">
            <v>0</v>
          </cell>
          <cell r="U248">
            <v>1</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row>
        <row r="249">
          <cell r="A249">
            <v>3308</v>
          </cell>
          <cell r="B249" t="str">
            <v>Ñ51-28B</v>
          </cell>
          <cell r="C249" t="str">
            <v>Ñôõ thaúng</v>
          </cell>
          <cell r="D249" t="str">
            <v>4T34 - 30A</v>
          </cell>
          <cell r="E249">
            <v>4995.1499999999996</v>
          </cell>
          <cell r="F249" t="str">
            <v>1T-10</v>
          </cell>
          <cell r="G249">
            <v>29.26348523459388</v>
          </cell>
          <cell r="H249">
            <v>30</v>
          </cell>
          <cell r="K249">
            <v>0</v>
          </cell>
          <cell r="L249">
            <v>0</v>
          </cell>
          <cell r="M249">
            <v>0</v>
          </cell>
          <cell r="N249">
            <v>0</v>
          </cell>
          <cell r="O249">
            <v>0</v>
          </cell>
          <cell r="P249">
            <v>0</v>
          </cell>
          <cell r="Q249">
            <v>0</v>
          </cell>
          <cell r="R249">
            <v>0</v>
          </cell>
          <cell r="S249">
            <v>0</v>
          </cell>
          <cell r="T249">
            <v>0</v>
          </cell>
          <cell r="U249">
            <v>1</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row>
        <row r="250">
          <cell r="A250">
            <v>3309</v>
          </cell>
          <cell r="B250" t="str">
            <v>Ñ51-28B</v>
          </cell>
          <cell r="C250" t="str">
            <v>Ñôõ thaúng</v>
          </cell>
          <cell r="D250" t="str">
            <v>4T34 - 30A</v>
          </cell>
          <cell r="F250" t="str">
            <v>1T-10</v>
          </cell>
          <cell r="I250" t="str">
            <v>Ñaù loä thieân</v>
          </cell>
          <cell r="K250">
            <v>0</v>
          </cell>
          <cell r="L250">
            <v>0</v>
          </cell>
          <cell r="M250">
            <v>0</v>
          </cell>
          <cell r="N250">
            <v>0</v>
          </cell>
          <cell r="O250">
            <v>0</v>
          </cell>
          <cell r="P250">
            <v>0</v>
          </cell>
          <cell r="Q250">
            <v>0</v>
          </cell>
          <cell r="R250">
            <v>0</v>
          </cell>
          <cell r="S250">
            <v>0</v>
          </cell>
          <cell r="T250">
            <v>0</v>
          </cell>
          <cell r="U250">
            <v>1</v>
          </cell>
          <cell r="V250">
            <v>0</v>
          </cell>
          <cell r="W250">
            <v>0</v>
          </cell>
          <cell r="X250">
            <v>0</v>
          </cell>
          <cell r="Y250">
            <v>0</v>
          </cell>
          <cell r="Z250">
            <v>0</v>
          </cell>
          <cell r="AA250">
            <v>0</v>
          </cell>
          <cell r="AB250">
            <v>0</v>
          </cell>
          <cell r="AC250">
            <v>0</v>
          </cell>
          <cell r="AD250">
            <v>0</v>
          </cell>
          <cell r="AE250">
            <v>0</v>
          </cell>
          <cell r="AF250">
            <v>0</v>
          </cell>
          <cell r="AG250">
            <v>0</v>
          </cell>
          <cell r="AH250">
            <v>0</v>
          </cell>
          <cell r="AI250">
            <v>0</v>
          </cell>
          <cell r="AJ250">
            <v>0</v>
          </cell>
          <cell r="AK250">
            <v>0</v>
          </cell>
          <cell r="AL250">
            <v>0</v>
          </cell>
        </row>
        <row r="251">
          <cell r="A251">
            <v>3310</v>
          </cell>
          <cell r="B251" t="str">
            <v>Ñ51-28B</v>
          </cell>
          <cell r="C251" t="str">
            <v>Ñôõ thaúng</v>
          </cell>
          <cell r="D251" t="str">
            <v>4T34 - 30A</v>
          </cell>
          <cell r="E251">
            <v>5466.4</v>
          </cell>
          <cell r="F251" t="str">
            <v>1T-10</v>
          </cell>
          <cell r="G251">
            <v>32.014252846645697</v>
          </cell>
          <cell r="H251">
            <v>32.798400000000001</v>
          </cell>
          <cell r="K251">
            <v>0</v>
          </cell>
          <cell r="L251">
            <v>0</v>
          </cell>
          <cell r="M251">
            <v>0</v>
          </cell>
          <cell r="N251">
            <v>0</v>
          </cell>
          <cell r="O251">
            <v>0</v>
          </cell>
          <cell r="P251">
            <v>0</v>
          </cell>
          <cell r="Q251">
            <v>0</v>
          </cell>
          <cell r="R251">
            <v>0</v>
          </cell>
          <cell r="S251">
            <v>0</v>
          </cell>
          <cell r="T251">
            <v>0</v>
          </cell>
          <cell r="U251">
            <v>1</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row>
        <row r="252">
          <cell r="A252">
            <v>3311</v>
          </cell>
          <cell r="B252" t="str">
            <v>Ñ51-34B</v>
          </cell>
          <cell r="C252" t="str">
            <v>Ñôõ thaúng</v>
          </cell>
          <cell r="D252" t="str">
            <v>4T34 - 34B</v>
          </cell>
          <cell r="E252">
            <v>5372.15</v>
          </cell>
          <cell r="F252" t="str">
            <v>1T-10</v>
          </cell>
          <cell r="G252">
            <v>31.458246627188412</v>
          </cell>
          <cell r="H252">
            <v>32.232900000000001</v>
          </cell>
          <cell r="K252">
            <v>0</v>
          </cell>
          <cell r="L252">
            <v>0</v>
          </cell>
          <cell r="M252">
            <v>0</v>
          </cell>
          <cell r="N252">
            <v>0</v>
          </cell>
          <cell r="O252">
            <v>0</v>
          </cell>
          <cell r="P252">
            <v>0</v>
          </cell>
          <cell r="Q252">
            <v>0</v>
          </cell>
          <cell r="R252">
            <v>0</v>
          </cell>
          <cell r="S252">
            <v>0</v>
          </cell>
          <cell r="T252">
            <v>0</v>
          </cell>
          <cell r="U252">
            <v>1</v>
          </cell>
          <cell r="V252">
            <v>0</v>
          </cell>
          <cell r="W252">
            <v>0</v>
          </cell>
          <cell r="X252">
            <v>0</v>
          </cell>
          <cell r="Y252">
            <v>0</v>
          </cell>
          <cell r="Z252">
            <v>0</v>
          </cell>
          <cell r="AA252">
            <v>0</v>
          </cell>
          <cell r="AB252">
            <v>0</v>
          </cell>
          <cell r="AC252">
            <v>0</v>
          </cell>
          <cell r="AD252">
            <v>0</v>
          </cell>
          <cell r="AE252">
            <v>0</v>
          </cell>
          <cell r="AF252">
            <v>0</v>
          </cell>
          <cell r="AG252">
            <v>0</v>
          </cell>
          <cell r="AH252">
            <v>0</v>
          </cell>
          <cell r="AI252">
            <v>0</v>
          </cell>
          <cell r="AJ252">
            <v>0</v>
          </cell>
          <cell r="AK252">
            <v>0</v>
          </cell>
          <cell r="AL252">
            <v>0</v>
          </cell>
        </row>
        <row r="253">
          <cell r="A253">
            <v>3312</v>
          </cell>
          <cell r="B253" t="str">
            <v>Ñ51-34C</v>
          </cell>
          <cell r="C253" t="str">
            <v>Ñôõ thaúng</v>
          </cell>
          <cell r="D253" t="str">
            <v>4T34 - 36B</v>
          </cell>
          <cell r="E253">
            <v>3392.9</v>
          </cell>
          <cell r="F253" t="str">
            <v>1T-7</v>
          </cell>
          <cell r="G253">
            <v>28.30460195629005</v>
          </cell>
          <cell r="H253">
            <v>30</v>
          </cell>
          <cell r="K253">
            <v>0</v>
          </cell>
          <cell r="L253">
            <v>0</v>
          </cell>
          <cell r="M253">
            <v>0</v>
          </cell>
          <cell r="N253">
            <v>0</v>
          </cell>
          <cell r="O253">
            <v>0</v>
          </cell>
          <cell r="P253">
            <v>0</v>
          </cell>
          <cell r="Q253">
            <v>0</v>
          </cell>
          <cell r="R253">
            <v>1</v>
          </cell>
          <cell r="S253">
            <v>0</v>
          </cell>
          <cell r="T253">
            <v>0</v>
          </cell>
          <cell r="U253">
            <v>0</v>
          </cell>
          <cell r="V253">
            <v>0</v>
          </cell>
          <cell r="W253">
            <v>0</v>
          </cell>
          <cell r="X253">
            <v>0</v>
          </cell>
          <cell r="Y253">
            <v>0</v>
          </cell>
          <cell r="Z253">
            <v>0</v>
          </cell>
          <cell r="AA253">
            <v>0</v>
          </cell>
          <cell r="AB253">
            <v>0</v>
          </cell>
          <cell r="AC253">
            <v>0</v>
          </cell>
          <cell r="AD253">
            <v>0</v>
          </cell>
          <cell r="AE253">
            <v>0</v>
          </cell>
          <cell r="AF253">
            <v>0</v>
          </cell>
          <cell r="AG253">
            <v>0</v>
          </cell>
          <cell r="AH253">
            <v>0</v>
          </cell>
          <cell r="AI253">
            <v>0</v>
          </cell>
          <cell r="AJ253">
            <v>0</v>
          </cell>
          <cell r="AK253">
            <v>0</v>
          </cell>
          <cell r="AL253">
            <v>0</v>
          </cell>
        </row>
        <row r="254">
          <cell r="A254">
            <v>3313</v>
          </cell>
          <cell r="B254" t="str">
            <v>Ñ51-34C</v>
          </cell>
          <cell r="C254" t="str">
            <v>Ñôõ thaúng</v>
          </cell>
          <cell r="D254" t="str">
            <v>4T34 - 34B</v>
          </cell>
          <cell r="E254">
            <v>2450.4499999999998</v>
          </cell>
          <cell r="F254" t="str">
            <v>1T-5</v>
          </cell>
          <cell r="G254">
            <v>27.997741801881798</v>
          </cell>
          <cell r="H254">
            <v>30</v>
          </cell>
          <cell r="K254">
            <v>0</v>
          </cell>
          <cell r="L254">
            <v>0</v>
          </cell>
          <cell r="M254">
            <v>0</v>
          </cell>
          <cell r="N254">
            <v>0</v>
          </cell>
          <cell r="O254">
            <v>0</v>
          </cell>
          <cell r="P254">
            <v>1</v>
          </cell>
          <cell r="Q254">
            <v>0</v>
          </cell>
          <cell r="R254">
            <v>0</v>
          </cell>
          <cell r="S254">
            <v>0</v>
          </cell>
          <cell r="T254">
            <v>0</v>
          </cell>
          <cell r="U254">
            <v>0</v>
          </cell>
          <cell r="V254">
            <v>0</v>
          </cell>
          <cell r="W254">
            <v>0</v>
          </cell>
          <cell r="X254">
            <v>0</v>
          </cell>
          <cell r="Y254">
            <v>0</v>
          </cell>
          <cell r="Z254">
            <v>0</v>
          </cell>
          <cell r="AA254">
            <v>0</v>
          </cell>
          <cell r="AB254">
            <v>0</v>
          </cell>
          <cell r="AC254">
            <v>0</v>
          </cell>
          <cell r="AD254">
            <v>0</v>
          </cell>
          <cell r="AE254">
            <v>0</v>
          </cell>
          <cell r="AF254">
            <v>0</v>
          </cell>
          <cell r="AG254">
            <v>0</v>
          </cell>
          <cell r="AH254">
            <v>0</v>
          </cell>
          <cell r="AI254">
            <v>0</v>
          </cell>
          <cell r="AJ254">
            <v>0</v>
          </cell>
          <cell r="AK254">
            <v>0</v>
          </cell>
          <cell r="AL254">
            <v>0</v>
          </cell>
        </row>
        <row r="255">
          <cell r="A255">
            <v>3314</v>
          </cell>
          <cell r="B255" t="str">
            <v>Ñ51-28B</v>
          </cell>
          <cell r="C255" t="str">
            <v>Ñôõ thaúng</v>
          </cell>
          <cell r="D255" t="str">
            <v>4T34 - 30A</v>
          </cell>
          <cell r="E255">
            <v>4429.6499999999996</v>
          </cell>
          <cell r="F255" t="str">
            <v>1T-9</v>
          </cell>
          <cell r="G255">
            <v>28.2612506727355</v>
          </cell>
          <cell r="H255">
            <v>30</v>
          </cell>
          <cell r="K255">
            <v>0</v>
          </cell>
          <cell r="L255">
            <v>0</v>
          </cell>
          <cell r="M255">
            <v>0</v>
          </cell>
          <cell r="N255">
            <v>0</v>
          </cell>
          <cell r="O255">
            <v>0</v>
          </cell>
          <cell r="P255">
            <v>0</v>
          </cell>
          <cell r="Q255">
            <v>0</v>
          </cell>
          <cell r="R255">
            <v>0</v>
          </cell>
          <cell r="S255">
            <v>0</v>
          </cell>
          <cell r="T255">
            <v>1</v>
          </cell>
          <cell r="U255">
            <v>0</v>
          </cell>
          <cell r="V255">
            <v>0</v>
          </cell>
          <cell r="W255">
            <v>0</v>
          </cell>
          <cell r="X255">
            <v>0</v>
          </cell>
          <cell r="Y255">
            <v>0</v>
          </cell>
          <cell r="Z255">
            <v>0</v>
          </cell>
          <cell r="AA255">
            <v>0</v>
          </cell>
          <cell r="AB255">
            <v>0</v>
          </cell>
          <cell r="AC255">
            <v>0</v>
          </cell>
          <cell r="AD255">
            <v>0</v>
          </cell>
          <cell r="AE255">
            <v>0</v>
          </cell>
          <cell r="AF255">
            <v>0</v>
          </cell>
          <cell r="AG255">
            <v>0</v>
          </cell>
          <cell r="AH255">
            <v>0</v>
          </cell>
          <cell r="AI255">
            <v>0</v>
          </cell>
          <cell r="AJ255">
            <v>0</v>
          </cell>
          <cell r="AK255">
            <v>0</v>
          </cell>
          <cell r="AL255">
            <v>0</v>
          </cell>
        </row>
        <row r="256">
          <cell r="A256">
            <v>3315</v>
          </cell>
          <cell r="B256" t="str">
            <v>Ñ51-28B</v>
          </cell>
          <cell r="C256" t="str">
            <v>Ñôõ thaúng</v>
          </cell>
          <cell r="D256" t="str">
            <v>4T34 - 30A</v>
          </cell>
          <cell r="E256">
            <v>3015.9</v>
          </cell>
          <cell r="F256" t="str">
            <v>1T-7</v>
          </cell>
          <cell r="G256">
            <v>25.178173168776418</v>
          </cell>
          <cell r="H256">
            <v>30</v>
          </cell>
          <cell r="K256">
            <v>0</v>
          </cell>
          <cell r="L256">
            <v>0</v>
          </cell>
          <cell r="M256">
            <v>0</v>
          </cell>
          <cell r="N256">
            <v>0</v>
          </cell>
          <cell r="O256">
            <v>0</v>
          </cell>
          <cell r="P256">
            <v>0</v>
          </cell>
          <cell r="Q256">
            <v>0</v>
          </cell>
          <cell r="R256">
            <v>1</v>
          </cell>
          <cell r="S256">
            <v>0</v>
          </cell>
          <cell r="T256">
            <v>0</v>
          </cell>
          <cell r="U256">
            <v>0</v>
          </cell>
          <cell r="V256">
            <v>0</v>
          </cell>
          <cell r="W256">
            <v>0</v>
          </cell>
          <cell r="X256">
            <v>0</v>
          </cell>
          <cell r="Y256">
            <v>0</v>
          </cell>
          <cell r="Z256">
            <v>0</v>
          </cell>
          <cell r="AA256">
            <v>0</v>
          </cell>
          <cell r="AB256">
            <v>0</v>
          </cell>
          <cell r="AC256">
            <v>0</v>
          </cell>
          <cell r="AD256">
            <v>0</v>
          </cell>
          <cell r="AE256">
            <v>0</v>
          </cell>
          <cell r="AF256">
            <v>0</v>
          </cell>
          <cell r="AG256">
            <v>0</v>
          </cell>
          <cell r="AH256">
            <v>0</v>
          </cell>
          <cell r="AI256">
            <v>0</v>
          </cell>
          <cell r="AJ256">
            <v>0</v>
          </cell>
          <cell r="AK256">
            <v>0</v>
          </cell>
          <cell r="AL256">
            <v>0</v>
          </cell>
        </row>
        <row r="257">
          <cell r="A257">
            <v>3316</v>
          </cell>
          <cell r="B257" t="str">
            <v>Ñ42</v>
          </cell>
          <cell r="C257" t="str">
            <v>Ñôõ thaúng</v>
          </cell>
          <cell r="D257" t="str">
            <v>4T34 - 34B</v>
          </cell>
          <cell r="F257" t="str">
            <v>1T-10</v>
          </cell>
          <cell r="I257" t="str">
            <v>Ñaù loä thieân</v>
          </cell>
          <cell r="K257">
            <v>0</v>
          </cell>
          <cell r="L257">
            <v>0</v>
          </cell>
          <cell r="M257">
            <v>0</v>
          </cell>
          <cell r="N257">
            <v>0</v>
          </cell>
          <cell r="O257">
            <v>0</v>
          </cell>
          <cell r="P257">
            <v>0</v>
          </cell>
          <cell r="Q257">
            <v>0</v>
          </cell>
          <cell r="R257">
            <v>0</v>
          </cell>
          <cell r="S257">
            <v>0</v>
          </cell>
          <cell r="T257">
            <v>0</v>
          </cell>
          <cell r="U257">
            <v>1</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row>
        <row r="258">
          <cell r="A258">
            <v>3317</v>
          </cell>
          <cell r="B258" t="str">
            <v>Ñ51-38B</v>
          </cell>
          <cell r="C258" t="str">
            <v>Ñôõ thaúng</v>
          </cell>
          <cell r="D258" t="str">
            <v>4T34 - 38C</v>
          </cell>
          <cell r="E258">
            <v>471.25</v>
          </cell>
          <cell r="F258" t="str">
            <v>1TC-1</v>
          </cell>
          <cell r="G258">
            <v>13.982180267858393</v>
          </cell>
          <cell r="H258">
            <v>15</v>
          </cell>
          <cell r="K258">
            <v>0</v>
          </cell>
          <cell r="L258">
            <v>0</v>
          </cell>
          <cell r="M258">
            <v>0</v>
          </cell>
          <cell r="N258">
            <v>0</v>
          </cell>
          <cell r="O258">
            <v>0</v>
          </cell>
          <cell r="P258">
            <v>0</v>
          </cell>
          <cell r="Q258">
            <v>0</v>
          </cell>
          <cell r="R258">
            <v>0</v>
          </cell>
          <cell r="S258">
            <v>0</v>
          </cell>
          <cell r="T258">
            <v>0</v>
          </cell>
          <cell r="U258">
            <v>0</v>
          </cell>
          <cell r="V258">
            <v>0</v>
          </cell>
          <cell r="W258">
            <v>1</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row>
        <row r="259">
          <cell r="A259">
            <v>3318</v>
          </cell>
          <cell r="B259" t="str">
            <v>Ñ51-34B</v>
          </cell>
          <cell r="C259" t="str">
            <v>Ñôõ thaúng</v>
          </cell>
          <cell r="D259" t="str">
            <v>4T34 - 38B</v>
          </cell>
          <cell r="E259">
            <v>48.05</v>
          </cell>
          <cell r="F259" t="str">
            <v>1T-1</v>
          </cell>
          <cell r="G259">
            <v>1.5421795483965068</v>
          </cell>
          <cell r="H259">
            <v>10</v>
          </cell>
          <cell r="K259">
            <v>0</v>
          </cell>
          <cell r="L259">
            <v>1</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row>
        <row r="260">
          <cell r="A260">
            <v>3319</v>
          </cell>
          <cell r="B260" t="str">
            <v>Ñ51-38B</v>
          </cell>
          <cell r="C260" t="str">
            <v>Ñôõ thaúng</v>
          </cell>
          <cell r="D260" t="str">
            <v>4T34 - 38C</v>
          </cell>
          <cell r="E260">
            <v>603.20000000000005</v>
          </cell>
          <cell r="F260" t="str">
            <v>1TC-1</v>
          </cell>
          <cell r="G260">
            <v>17.808882235903845</v>
          </cell>
          <cell r="H260">
            <v>20</v>
          </cell>
          <cell r="K260">
            <v>0</v>
          </cell>
          <cell r="L260">
            <v>0</v>
          </cell>
          <cell r="M260">
            <v>0</v>
          </cell>
          <cell r="N260">
            <v>0</v>
          </cell>
          <cell r="O260">
            <v>0</v>
          </cell>
          <cell r="P260">
            <v>0</v>
          </cell>
          <cell r="Q260">
            <v>0</v>
          </cell>
          <cell r="R260">
            <v>0</v>
          </cell>
          <cell r="S260">
            <v>0</v>
          </cell>
          <cell r="T260">
            <v>0</v>
          </cell>
          <cell r="U260">
            <v>0</v>
          </cell>
          <cell r="V260">
            <v>0</v>
          </cell>
          <cell r="W260">
            <v>1</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row>
        <row r="261">
          <cell r="A261">
            <v>3320</v>
          </cell>
          <cell r="B261" t="str">
            <v>Ñ51-38B</v>
          </cell>
          <cell r="C261" t="str">
            <v>Ñôõ thaúng</v>
          </cell>
          <cell r="D261" t="str">
            <v>4T34 - 34C</v>
          </cell>
          <cell r="E261">
            <v>108.4</v>
          </cell>
          <cell r="F261" t="str">
            <v>1T-1</v>
          </cell>
          <cell r="G261">
            <v>3.3927950064723156</v>
          </cell>
          <cell r="H261">
            <v>15</v>
          </cell>
          <cell r="K261">
            <v>0</v>
          </cell>
          <cell r="L261">
            <v>1</v>
          </cell>
          <cell r="M261">
            <v>0</v>
          </cell>
          <cell r="N261">
            <v>0</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row>
        <row r="262">
          <cell r="A262">
            <v>3321</v>
          </cell>
          <cell r="B262" t="str">
            <v>Ñ51-38B</v>
          </cell>
          <cell r="C262" t="str">
            <v>Ñôõ thaúng</v>
          </cell>
          <cell r="D262" t="str">
            <v>4T38 - 38C</v>
          </cell>
          <cell r="E262">
            <v>155.5</v>
          </cell>
          <cell r="F262" t="str">
            <v>1T-1</v>
          </cell>
          <cell r="G262">
            <v>4.9349745548688215</v>
          </cell>
          <cell r="H262">
            <v>15</v>
          </cell>
          <cell r="K262">
            <v>0</v>
          </cell>
          <cell r="L262">
            <v>1</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row>
        <row r="263">
          <cell r="A263">
            <v>3322</v>
          </cell>
          <cell r="B263" t="str">
            <v>Ñ51-42B</v>
          </cell>
          <cell r="C263" t="str">
            <v>Ñôõ thaúng</v>
          </cell>
          <cell r="D263" t="str">
            <v>4T38 - 34D</v>
          </cell>
          <cell r="E263">
            <v>452.4</v>
          </cell>
          <cell r="F263" t="str">
            <v>1TC-1</v>
          </cell>
          <cell r="G263">
            <v>13.39345688815909</v>
          </cell>
          <cell r="H263">
            <v>15</v>
          </cell>
          <cell r="K263">
            <v>0</v>
          </cell>
          <cell r="L263">
            <v>0</v>
          </cell>
          <cell r="M263">
            <v>0</v>
          </cell>
          <cell r="N263">
            <v>0</v>
          </cell>
          <cell r="O263">
            <v>0</v>
          </cell>
          <cell r="P263">
            <v>0</v>
          </cell>
          <cell r="Q263">
            <v>0</v>
          </cell>
          <cell r="R263">
            <v>0</v>
          </cell>
          <cell r="S263">
            <v>0</v>
          </cell>
          <cell r="T263">
            <v>0</v>
          </cell>
          <cell r="U263">
            <v>0</v>
          </cell>
          <cell r="V263">
            <v>0</v>
          </cell>
          <cell r="W263">
            <v>1</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row>
        <row r="264">
          <cell r="A264">
            <v>3323</v>
          </cell>
          <cell r="B264" t="str">
            <v>Ñ51-38B</v>
          </cell>
          <cell r="C264" t="str">
            <v>Ñôõ thaúng</v>
          </cell>
          <cell r="D264" t="str">
            <v>4T38 - 36C</v>
          </cell>
          <cell r="E264">
            <v>339.3</v>
          </cell>
          <cell r="F264" t="str">
            <v>1T-1</v>
          </cell>
          <cell r="G264">
            <v>10.486820929096247</v>
          </cell>
          <cell r="H264">
            <v>15</v>
          </cell>
          <cell r="K264">
            <v>0</v>
          </cell>
          <cell r="L264">
            <v>1</v>
          </cell>
          <cell r="M264">
            <v>0</v>
          </cell>
          <cell r="N264">
            <v>0</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row>
        <row r="265">
          <cell r="A265">
            <v>3401</v>
          </cell>
          <cell r="B265" t="str">
            <v>N513-30B</v>
          </cell>
          <cell r="C265" t="str">
            <v>Neùo goùc</v>
          </cell>
          <cell r="D265" t="str">
            <v>3x4T38 - 38B</v>
          </cell>
          <cell r="E265">
            <v>1338.35</v>
          </cell>
          <cell r="F265" t="str">
            <v>3T-2</v>
          </cell>
          <cell r="G265">
            <v>24.304493349974294</v>
          </cell>
          <cell r="H265">
            <v>30</v>
          </cell>
          <cell r="K265">
            <v>0</v>
          </cell>
          <cell r="L265">
            <v>0</v>
          </cell>
          <cell r="M265">
            <v>0</v>
          </cell>
          <cell r="N265">
            <v>0</v>
          </cell>
          <cell r="O265">
            <v>0</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1</v>
          </cell>
          <cell r="AF265">
            <v>0</v>
          </cell>
          <cell r="AG265">
            <v>0</v>
          </cell>
          <cell r="AH265">
            <v>0</v>
          </cell>
          <cell r="AI265">
            <v>0</v>
          </cell>
          <cell r="AJ265">
            <v>0</v>
          </cell>
          <cell r="AK265">
            <v>0</v>
          </cell>
          <cell r="AL265">
            <v>0</v>
          </cell>
        </row>
        <row r="266">
          <cell r="A266">
            <v>3402</v>
          </cell>
          <cell r="B266" t="str">
            <v>Ñ51-38C</v>
          </cell>
          <cell r="C266" t="str">
            <v>Ñôõ thaúng</v>
          </cell>
          <cell r="D266" t="str">
            <v>4T34 - 32C</v>
          </cell>
          <cell r="E266">
            <v>904.8</v>
          </cell>
          <cell r="F266" t="str">
            <v>1T-3</v>
          </cell>
          <cell r="G266">
            <v>17.445906141235483</v>
          </cell>
          <cell r="H266">
            <v>20</v>
          </cell>
          <cell r="K266">
            <v>0</v>
          </cell>
          <cell r="L266">
            <v>0</v>
          </cell>
          <cell r="M266">
            <v>0</v>
          </cell>
          <cell r="N266">
            <v>1</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row>
        <row r="267">
          <cell r="A267">
            <v>3403</v>
          </cell>
          <cell r="B267" t="str">
            <v>Ñ51-38C</v>
          </cell>
          <cell r="C267" t="str">
            <v>Ñôõ thaúng</v>
          </cell>
          <cell r="D267" t="str">
            <v>4T38 - 40C</v>
          </cell>
          <cell r="E267">
            <v>810.55</v>
          </cell>
          <cell r="F267" t="str">
            <v>1T-3</v>
          </cell>
          <cell r="G267">
            <v>15.710954149289412</v>
          </cell>
          <cell r="H267">
            <v>20</v>
          </cell>
          <cell r="K267">
            <v>0</v>
          </cell>
          <cell r="L267">
            <v>0</v>
          </cell>
          <cell r="M267">
            <v>0</v>
          </cell>
          <cell r="N267">
            <v>1</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row>
        <row r="268">
          <cell r="A268">
            <v>3404</v>
          </cell>
          <cell r="B268" t="str">
            <v>Ñ51-38C</v>
          </cell>
          <cell r="C268" t="str">
            <v>Ñôõ thaúng</v>
          </cell>
          <cell r="D268" t="str">
            <v>4T38 - 38C</v>
          </cell>
          <cell r="E268">
            <v>122.5</v>
          </cell>
          <cell r="F268" t="str">
            <v>1T-1</v>
          </cell>
          <cell r="G268">
            <v>3.8554488709912675</v>
          </cell>
          <cell r="H268">
            <v>15</v>
          </cell>
          <cell r="K268">
            <v>0</v>
          </cell>
          <cell r="L268">
            <v>1</v>
          </cell>
          <cell r="M268">
            <v>0</v>
          </cell>
          <cell r="N268">
            <v>0</v>
          </cell>
          <cell r="O268">
            <v>0</v>
          </cell>
          <cell r="P268">
            <v>0</v>
          </cell>
          <cell r="Q268">
            <v>0</v>
          </cell>
          <cell r="R268">
            <v>0</v>
          </cell>
          <cell r="S268">
            <v>0</v>
          </cell>
          <cell r="T268">
            <v>0</v>
          </cell>
          <cell r="U268">
            <v>0</v>
          </cell>
          <cell r="V268">
            <v>0</v>
          </cell>
          <cell r="W268">
            <v>0</v>
          </cell>
          <cell r="X268">
            <v>0</v>
          </cell>
          <cell r="Y268">
            <v>0</v>
          </cell>
          <cell r="Z268">
            <v>0</v>
          </cell>
          <cell r="AA268">
            <v>0</v>
          </cell>
          <cell r="AB268">
            <v>0</v>
          </cell>
          <cell r="AC268">
            <v>0</v>
          </cell>
          <cell r="AD268">
            <v>0</v>
          </cell>
          <cell r="AE268">
            <v>0</v>
          </cell>
          <cell r="AF268">
            <v>0</v>
          </cell>
          <cell r="AG268">
            <v>0</v>
          </cell>
          <cell r="AH268">
            <v>0</v>
          </cell>
          <cell r="AI268">
            <v>0</v>
          </cell>
          <cell r="AJ268">
            <v>0</v>
          </cell>
          <cell r="AK268">
            <v>0</v>
          </cell>
          <cell r="AL268">
            <v>0</v>
          </cell>
        </row>
        <row r="269">
          <cell r="A269">
            <v>3405</v>
          </cell>
          <cell r="B269" t="str">
            <v>Ñ51-42C</v>
          </cell>
          <cell r="C269" t="str">
            <v>Ñôõ thaúng</v>
          </cell>
          <cell r="D269" t="str">
            <v>4T34 - 36D</v>
          </cell>
          <cell r="E269">
            <v>452.4</v>
          </cell>
          <cell r="F269" t="str">
            <v>1TC-1</v>
          </cell>
          <cell r="G269">
            <v>13.39345688815909</v>
          </cell>
          <cell r="H269">
            <v>15</v>
          </cell>
          <cell r="K269">
            <v>0</v>
          </cell>
          <cell r="L269">
            <v>0</v>
          </cell>
          <cell r="M269">
            <v>0</v>
          </cell>
          <cell r="N269">
            <v>0</v>
          </cell>
          <cell r="O269">
            <v>0</v>
          </cell>
          <cell r="P269">
            <v>0</v>
          </cell>
          <cell r="Q269">
            <v>0</v>
          </cell>
          <cell r="R269">
            <v>0</v>
          </cell>
          <cell r="S269">
            <v>0</v>
          </cell>
          <cell r="T269">
            <v>0</v>
          </cell>
          <cell r="U269">
            <v>0</v>
          </cell>
          <cell r="V269">
            <v>0</v>
          </cell>
          <cell r="W269">
            <v>1</v>
          </cell>
          <cell r="X269">
            <v>0</v>
          </cell>
          <cell r="Y269">
            <v>0</v>
          </cell>
          <cell r="Z269">
            <v>0</v>
          </cell>
          <cell r="AA269">
            <v>0</v>
          </cell>
          <cell r="AB269">
            <v>0</v>
          </cell>
          <cell r="AC269">
            <v>0</v>
          </cell>
          <cell r="AD269">
            <v>0</v>
          </cell>
          <cell r="AE269">
            <v>0</v>
          </cell>
          <cell r="AF269">
            <v>0</v>
          </cell>
          <cell r="AG269">
            <v>0</v>
          </cell>
          <cell r="AH269">
            <v>0</v>
          </cell>
          <cell r="AI269">
            <v>0</v>
          </cell>
          <cell r="AJ269">
            <v>0</v>
          </cell>
          <cell r="AK269">
            <v>0</v>
          </cell>
          <cell r="AL269">
            <v>0</v>
          </cell>
        </row>
        <row r="270">
          <cell r="A270">
            <v>3406</v>
          </cell>
          <cell r="B270" t="str">
            <v>Ñ51-38C</v>
          </cell>
          <cell r="C270" t="str">
            <v>Ñôõ thaúng</v>
          </cell>
          <cell r="D270" t="str">
            <v>4T38 - 40C</v>
          </cell>
          <cell r="E270">
            <v>772.85</v>
          </cell>
          <cell r="F270" t="str">
            <v>1TC-2</v>
          </cell>
          <cell r="G270">
            <v>19.846246778360786</v>
          </cell>
          <cell r="H270">
            <v>20</v>
          </cell>
          <cell r="K270">
            <v>0</v>
          </cell>
          <cell r="L270">
            <v>0</v>
          </cell>
          <cell r="M270">
            <v>0</v>
          </cell>
          <cell r="N270">
            <v>0</v>
          </cell>
          <cell r="O270">
            <v>0</v>
          </cell>
          <cell r="P270">
            <v>0</v>
          </cell>
          <cell r="Q270">
            <v>0</v>
          </cell>
          <cell r="R270">
            <v>0</v>
          </cell>
          <cell r="S270">
            <v>0</v>
          </cell>
          <cell r="T270">
            <v>0</v>
          </cell>
          <cell r="U270">
            <v>0</v>
          </cell>
          <cell r="V270">
            <v>0</v>
          </cell>
          <cell r="W270">
            <v>0</v>
          </cell>
          <cell r="X270">
            <v>1</v>
          </cell>
          <cell r="Y270">
            <v>0</v>
          </cell>
          <cell r="Z270">
            <v>0</v>
          </cell>
          <cell r="AA270">
            <v>0</v>
          </cell>
          <cell r="AB270">
            <v>0</v>
          </cell>
          <cell r="AC270">
            <v>0</v>
          </cell>
          <cell r="AD270">
            <v>0</v>
          </cell>
          <cell r="AE270">
            <v>0</v>
          </cell>
          <cell r="AF270">
            <v>0</v>
          </cell>
          <cell r="AG270">
            <v>0</v>
          </cell>
          <cell r="AH270">
            <v>0</v>
          </cell>
          <cell r="AI270">
            <v>0</v>
          </cell>
          <cell r="AJ270">
            <v>0</v>
          </cell>
          <cell r="AK270">
            <v>0</v>
          </cell>
          <cell r="AL270">
            <v>0</v>
          </cell>
        </row>
        <row r="271">
          <cell r="A271">
            <v>3407</v>
          </cell>
          <cell r="B271" t="str">
            <v>Ñ51-42C</v>
          </cell>
          <cell r="C271" t="str">
            <v>Ñôõ thaúng</v>
          </cell>
          <cell r="D271" t="str">
            <v>4T34 - 36D</v>
          </cell>
          <cell r="E271">
            <v>146.1</v>
          </cell>
          <cell r="F271" t="str">
            <v>1T-1</v>
          </cell>
          <cell r="G271">
            <v>4.6265386451895205</v>
          </cell>
          <cell r="H271">
            <v>15</v>
          </cell>
          <cell r="K271">
            <v>0</v>
          </cell>
          <cell r="L271">
            <v>1</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0</v>
          </cell>
          <cell r="AF271">
            <v>0</v>
          </cell>
          <cell r="AG271">
            <v>0</v>
          </cell>
          <cell r="AH271">
            <v>0</v>
          </cell>
          <cell r="AI271">
            <v>0</v>
          </cell>
          <cell r="AJ271">
            <v>0</v>
          </cell>
          <cell r="AK271">
            <v>0</v>
          </cell>
          <cell r="AL271">
            <v>0</v>
          </cell>
        </row>
        <row r="272">
          <cell r="A272">
            <v>3408</v>
          </cell>
          <cell r="B272" t="str">
            <v>Ñ51-38C</v>
          </cell>
          <cell r="C272" t="str">
            <v>Ñôõ thaúng</v>
          </cell>
          <cell r="D272" t="str">
            <v>4T34 - 36C</v>
          </cell>
          <cell r="E272">
            <v>188.5</v>
          </cell>
          <cell r="F272" t="str">
            <v>1T-1</v>
          </cell>
          <cell r="G272">
            <v>5.8602822839067263</v>
          </cell>
          <cell r="H272">
            <v>15</v>
          </cell>
          <cell r="K272">
            <v>0</v>
          </cell>
          <cell r="L272">
            <v>1</v>
          </cell>
          <cell r="M272">
            <v>0</v>
          </cell>
          <cell r="N272">
            <v>0</v>
          </cell>
          <cell r="O272">
            <v>0</v>
          </cell>
          <cell r="P272">
            <v>0</v>
          </cell>
          <cell r="Q272">
            <v>0</v>
          </cell>
          <cell r="R272">
            <v>0</v>
          </cell>
          <cell r="S272">
            <v>0</v>
          </cell>
          <cell r="T272">
            <v>0</v>
          </cell>
          <cell r="U272">
            <v>0</v>
          </cell>
          <cell r="V272">
            <v>0</v>
          </cell>
          <cell r="W272">
            <v>0</v>
          </cell>
          <cell r="X272">
            <v>0</v>
          </cell>
          <cell r="Y272">
            <v>0</v>
          </cell>
          <cell r="Z272">
            <v>0</v>
          </cell>
          <cell r="AA272">
            <v>0</v>
          </cell>
          <cell r="AB272">
            <v>0</v>
          </cell>
          <cell r="AC272">
            <v>0</v>
          </cell>
          <cell r="AD272">
            <v>0</v>
          </cell>
          <cell r="AE272">
            <v>0</v>
          </cell>
          <cell r="AF272">
            <v>0</v>
          </cell>
          <cell r="AG272">
            <v>0</v>
          </cell>
          <cell r="AH272">
            <v>0</v>
          </cell>
          <cell r="AI272">
            <v>0</v>
          </cell>
          <cell r="AJ272">
            <v>0</v>
          </cell>
          <cell r="AK272">
            <v>0</v>
          </cell>
          <cell r="AL272">
            <v>0</v>
          </cell>
        </row>
        <row r="273">
          <cell r="A273">
            <v>3409</v>
          </cell>
          <cell r="B273" t="str">
            <v>Ñ51-42C</v>
          </cell>
          <cell r="C273" t="str">
            <v>Ñôõ thaúng</v>
          </cell>
          <cell r="D273" t="str">
            <v>4T34 - 38D</v>
          </cell>
          <cell r="E273">
            <v>89.5</v>
          </cell>
          <cell r="F273" t="str">
            <v>1T-1</v>
          </cell>
          <cell r="G273">
            <v>2.7759231871137131</v>
          </cell>
          <cell r="H273">
            <v>10</v>
          </cell>
          <cell r="K273">
            <v>0</v>
          </cell>
          <cell r="L273">
            <v>1</v>
          </cell>
          <cell r="M273">
            <v>0</v>
          </cell>
          <cell r="N273">
            <v>0</v>
          </cell>
          <cell r="O273">
            <v>0</v>
          </cell>
          <cell r="P273">
            <v>0</v>
          </cell>
          <cell r="Q273">
            <v>0</v>
          </cell>
          <cell r="R273">
            <v>0</v>
          </cell>
          <cell r="S273">
            <v>0</v>
          </cell>
          <cell r="T273">
            <v>0</v>
          </cell>
          <cell r="U273">
            <v>0</v>
          </cell>
          <cell r="V273">
            <v>0</v>
          </cell>
          <cell r="W273">
            <v>0</v>
          </cell>
          <cell r="X273">
            <v>0</v>
          </cell>
          <cell r="Y273">
            <v>0</v>
          </cell>
          <cell r="Z273">
            <v>0</v>
          </cell>
          <cell r="AA273">
            <v>0</v>
          </cell>
          <cell r="AB273">
            <v>0</v>
          </cell>
          <cell r="AC273">
            <v>0</v>
          </cell>
          <cell r="AD273">
            <v>0</v>
          </cell>
          <cell r="AE273">
            <v>0</v>
          </cell>
          <cell r="AF273">
            <v>0</v>
          </cell>
          <cell r="AG273">
            <v>0</v>
          </cell>
          <cell r="AH273">
            <v>0</v>
          </cell>
          <cell r="AI273">
            <v>0</v>
          </cell>
          <cell r="AJ273">
            <v>0</v>
          </cell>
          <cell r="AK273">
            <v>0</v>
          </cell>
          <cell r="AL273">
            <v>0</v>
          </cell>
        </row>
        <row r="274">
          <cell r="A274">
            <v>3410</v>
          </cell>
          <cell r="B274" t="str">
            <v>Ñ51-38C</v>
          </cell>
          <cell r="C274" t="str">
            <v>Ñôõ thaúng</v>
          </cell>
          <cell r="D274" t="str">
            <v>4T34 - 38C</v>
          </cell>
          <cell r="E274">
            <v>188.5</v>
          </cell>
          <cell r="F274" t="str">
            <v>1TC-1</v>
          </cell>
          <cell r="G274">
            <v>5.5928721071433563</v>
          </cell>
          <cell r="H274">
            <v>15</v>
          </cell>
          <cell r="K274">
            <v>0</v>
          </cell>
          <cell r="L274">
            <v>0</v>
          </cell>
          <cell r="M274">
            <v>0</v>
          </cell>
          <cell r="N274">
            <v>0</v>
          </cell>
          <cell r="O274">
            <v>0</v>
          </cell>
          <cell r="P274">
            <v>0</v>
          </cell>
          <cell r="Q274">
            <v>0</v>
          </cell>
          <cell r="R274">
            <v>0</v>
          </cell>
          <cell r="S274">
            <v>0</v>
          </cell>
          <cell r="T274">
            <v>0</v>
          </cell>
          <cell r="U274">
            <v>0</v>
          </cell>
          <cell r="V274">
            <v>0</v>
          </cell>
          <cell r="W274">
            <v>1</v>
          </cell>
          <cell r="X274">
            <v>0</v>
          </cell>
          <cell r="Y274">
            <v>0</v>
          </cell>
          <cell r="Z274">
            <v>0</v>
          </cell>
          <cell r="AA274">
            <v>0</v>
          </cell>
          <cell r="AB274">
            <v>0</v>
          </cell>
          <cell r="AC274">
            <v>0</v>
          </cell>
          <cell r="AD274">
            <v>0</v>
          </cell>
          <cell r="AE274">
            <v>0</v>
          </cell>
          <cell r="AF274">
            <v>0</v>
          </cell>
          <cell r="AG274">
            <v>0</v>
          </cell>
          <cell r="AH274">
            <v>0</v>
          </cell>
          <cell r="AI274">
            <v>0</v>
          </cell>
          <cell r="AJ274">
            <v>0</v>
          </cell>
          <cell r="AK274">
            <v>0</v>
          </cell>
          <cell r="AL274">
            <v>0</v>
          </cell>
        </row>
        <row r="275">
          <cell r="A275">
            <v>3411</v>
          </cell>
          <cell r="B275" t="str">
            <v>Ñ51-42C</v>
          </cell>
          <cell r="C275" t="str">
            <v>Ñôõ thaúng</v>
          </cell>
          <cell r="D275" t="str">
            <v>4T34 - 36D</v>
          </cell>
          <cell r="E275">
            <v>292.14999999999998</v>
          </cell>
          <cell r="F275" t="str">
            <v>1TC-1</v>
          </cell>
          <cell r="G275">
            <v>8.6836698505646837</v>
          </cell>
          <cell r="H275">
            <v>15</v>
          </cell>
          <cell r="K275">
            <v>0</v>
          </cell>
          <cell r="L275">
            <v>0</v>
          </cell>
          <cell r="M275">
            <v>0</v>
          </cell>
          <cell r="N275">
            <v>0</v>
          </cell>
          <cell r="O275">
            <v>0</v>
          </cell>
          <cell r="P275">
            <v>0</v>
          </cell>
          <cell r="Q275">
            <v>0</v>
          </cell>
          <cell r="R275">
            <v>0</v>
          </cell>
          <cell r="S275">
            <v>0</v>
          </cell>
          <cell r="T275">
            <v>0</v>
          </cell>
          <cell r="U275">
            <v>0</v>
          </cell>
          <cell r="V275">
            <v>0</v>
          </cell>
          <cell r="W275">
            <v>1</v>
          </cell>
          <cell r="X275">
            <v>0</v>
          </cell>
          <cell r="Y275">
            <v>0</v>
          </cell>
          <cell r="Z275">
            <v>0</v>
          </cell>
          <cell r="AA275">
            <v>0</v>
          </cell>
          <cell r="AB275">
            <v>0</v>
          </cell>
          <cell r="AC275">
            <v>0</v>
          </cell>
          <cell r="AD275">
            <v>0</v>
          </cell>
          <cell r="AE275">
            <v>0</v>
          </cell>
          <cell r="AF275">
            <v>0</v>
          </cell>
          <cell r="AG275">
            <v>0</v>
          </cell>
          <cell r="AH275">
            <v>0</v>
          </cell>
          <cell r="AI275">
            <v>0</v>
          </cell>
          <cell r="AJ275">
            <v>0</v>
          </cell>
          <cell r="AK275">
            <v>0</v>
          </cell>
          <cell r="AL275">
            <v>0</v>
          </cell>
        </row>
        <row r="276">
          <cell r="A276">
            <v>3412</v>
          </cell>
          <cell r="B276" t="str">
            <v>Ñ51-38C</v>
          </cell>
          <cell r="C276" t="str">
            <v>Ñôõ thaúng</v>
          </cell>
          <cell r="D276" t="str">
            <v>4T34 - 36C</v>
          </cell>
          <cell r="E276">
            <v>593.75</v>
          </cell>
          <cell r="F276" t="str">
            <v>1T-2</v>
          </cell>
          <cell r="G276">
            <v>16.265947145918354</v>
          </cell>
          <cell r="H276">
            <v>20</v>
          </cell>
          <cell r="K276">
            <v>0</v>
          </cell>
          <cell r="L276">
            <v>0</v>
          </cell>
          <cell r="M276">
            <v>1</v>
          </cell>
          <cell r="N276">
            <v>0</v>
          </cell>
          <cell r="O276">
            <v>0</v>
          </cell>
          <cell r="P276">
            <v>0</v>
          </cell>
          <cell r="Q276">
            <v>0</v>
          </cell>
          <cell r="R276">
            <v>0</v>
          </cell>
          <cell r="S276">
            <v>0</v>
          </cell>
          <cell r="T276">
            <v>0</v>
          </cell>
          <cell r="U276">
            <v>0</v>
          </cell>
          <cell r="V276">
            <v>0</v>
          </cell>
          <cell r="W276">
            <v>0</v>
          </cell>
          <cell r="X276">
            <v>0</v>
          </cell>
          <cell r="Y276">
            <v>0</v>
          </cell>
          <cell r="Z276">
            <v>0</v>
          </cell>
          <cell r="AA276">
            <v>0</v>
          </cell>
          <cell r="AB276">
            <v>0</v>
          </cell>
          <cell r="AC276">
            <v>0</v>
          </cell>
          <cell r="AD276">
            <v>0</v>
          </cell>
          <cell r="AE276">
            <v>0</v>
          </cell>
          <cell r="AF276">
            <v>0</v>
          </cell>
          <cell r="AG276">
            <v>0</v>
          </cell>
          <cell r="AH276">
            <v>0</v>
          </cell>
          <cell r="AI276">
            <v>0</v>
          </cell>
          <cell r="AJ276">
            <v>0</v>
          </cell>
          <cell r="AK276">
            <v>0</v>
          </cell>
          <cell r="AL276">
            <v>0</v>
          </cell>
        </row>
        <row r="277">
          <cell r="A277">
            <v>3413</v>
          </cell>
          <cell r="B277" t="str">
            <v>Ñ51-42C</v>
          </cell>
          <cell r="C277" t="str">
            <v>Ñôõ thaúng</v>
          </cell>
          <cell r="D277" t="str">
            <v>4T38 - 38D</v>
          </cell>
          <cell r="E277">
            <v>1771.9</v>
          </cell>
          <cell r="F277" t="str">
            <v>1T-4</v>
          </cell>
          <cell r="G277">
            <v>25.689422210187416</v>
          </cell>
          <cell r="H277">
            <v>30</v>
          </cell>
          <cell r="K277">
            <v>0</v>
          </cell>
          <cell r="L277">
            <v>0</v>
          </cell>
          <cell r="M277">
            <v>0</v>
          </cell>
          <cell r="N277">
            <v>0</v>
          </cell>
          <cell r="O277">
            <v>1</v>
          </cell>
          <cell r="P277">
            <v>0</v>
          </cell>
          <cell r="Q277">
            <v>0</v>
          </cell>
          <cell r="R277">
            <v>0</v>
          </cell>
          <cell r="S277">
            <v>0</v>
          </cell>
          <cell r="T277">
            <v>0</v>
          </cell>
          <cell r="U277">
            <v>0</v>
          </cell>
          <cell r="V277">
            <v>0</v>
          </cell>
          <cell r="W277">
            <v>0</v>
          </cell>
          <cell r="X277">
            <v>0</v>
          </cell>
          <cell r="Y277">
            <v>0</v>
          </cell>
          <cell r="Z277">
            <v>0</v>
          </cell>
          <cell r="AA277">
            <v>0</v>
          </cell>
          <cell r="AB277">
            <v>0</v>
          </cell>
          <cell r="AC277">
            <v>0</v>
          </cell>
          <cell r="AD277">
            <v>0</v>
          </cell>
          <cell r="AE277">
            <v>0</v>
          </cell>
          <cell r="AF277">
            <v>0</v>
          </cell>
          <cell r="AG277">
            <v>0</v>
          </cell>
          <cell r="AH277">
            <v>0</v>
          </cell>
          <cell r="AI277">
            <v>0</v>
          </cell>
          <cell r="AJ277">
            <v>0</v>
          </cell>
          <cell r="AK277">
            <v>0</v>
          </cell>
          <cell r="AL277">
            <v>0</v>
          </cell>
        </row>
        <row r="278">
          <cell r="A278">
            <v>3414</v>
          </cell>
          <cell r="B278" t="str">
            <v>Ñ51-38C</v>
          </cell>
          <cell r="C278" t="str">
            <v>Ñôõ thaúng</v>
          </cell>
          <cell r="D278" t="str">
            <v>4T34 - 38C</v>
          </cell>
          <cell r="E278">
            <v>1112.1500000000001</v>
          </cell>
          <cell r="F278" t="str">
            <v>1T-3</v>
          </cell>
          <cell r="G278">
            <v>21.494127455776315</v>
          </cell>
          <cell r="H278">
            <v>30</v>
          </cell>
          <cell r="K278">
            <v>0</v>
          </cell>
          <cell r="L278">
            <v>0</v>
          </cell>
          <cell r="M278">
            <v>0</v>
          </cell>
          <cell r="N278">
            <v>1</v>
          </cell>
          <cell r="O278">
            <v>0</v>
          </cell>
          <cell r="P278">
            <v>0</v>
          </cell>
          <cell r="Q278">
            <v>0</v>
          </cell>
          <cell r="R278">
            <v>0</v>
          </cell>
          <cell r="S278">
            <v>0</v>
          </cell>
          <cell r="T278">
            <v>0</v>
          </cell>
          <cell r="U278">
            <v>0</v>
          </cell>
          <cell r="V278">
            <v>0</v>
          </cell>
          <cell r="W278">
            <v>0</v>
          </cell>
          <cell r="X278">
            <v>0</v>
          </cell>
          <cell r="Y278">
            <v>0</v>
          </cell>
          <cell r="Z278">
            <v>0</v>
          </cell>
          <cell r="AA278">
            <v>0</v>
          </cell>
          <cell r="AB278">
            <v>0</v>
          </cell>
          <cell r="AC278">
            <v>0</v>
          </cell>
          <cell r="AD278">
            <v>0</v>
          </cell>
          <cell r="AE278">
            <v>0</v>
          </cell>
          <cell r="AF278">
            <v>0</v>
          </cell>
          <cell r="AG278">
            <v>0</v>
          </cell>
          <cell r="AH278">
            <v>0</v>
          </cell>
          <cell r="AI278">
            <v>0</v>
          </cell>
          <cell r="AJ278">
            <v>0</v>
          </cell>
          <cell r="AK278">
            <v>0</v>
          </cell>
          <cell r="AL278">
            <v>0</v>
          </cell>
        </row>
        <row r="279">
          <cell r="A279">
            <v>3415</v>
          </cell>
          <cell r="B279" t="str">
            <v>Ñ51-42C</v>
          </cell>
          <cell r="C279" t="str">
            <v>Ñôõ thaúng</v>
          </cell>
          <cell r="D279" t="str">
            <v>4T38 - 36D</v>
          </cell>
          <cell r="E279">
            <v>1036.75</v>
          </cell>
          <cell r="F279" t="str">
            <v>1T-3</v>
          </cell>
          <cell r="G279">
            <v>20.048334129154586</v>
          </cell>
          <cell r="H279">
            <v>30</v>
          </cell>
          <cell r="K279">
            <v>0</v>
          </cell>
          <cell r="L279">
            <v>0</v>
          </cell>
          <cell r="M279">
            <v>0</v>
          </cell>
          <cell r="N279">
            <v>1</v>
          </cell>
          <cell r="O279">
            <v>0</v>
          </cell>
          <cell r="P279">
            <v>0</v>
          </cell>
          <cell r="Q279">
            <v>0</v>
          </cell>
          <cell r="R279">
            <v>0</v>
          </cell>
          <cell r="S279">
            <v>0</v>
          </cell>
          <cell r="T279">
            <v>0</v>
          </cell>
          <cell r="U279">
            <v>0</v>
          </cell>
          <cell r="V279">
            <v>0</v>
          </cell>
          <cell r="W279">
            <v>0</v>
          </cell>
          <cell r="X279">
            <v>0</v>
          </cell>
          <cell r="Y279">
            <v>0</v>
          </cell>
          <cell r="Z279">
            <v>0</v>
          </cell>
          <cell r="AA279">
            <v>0</v>
          </cell>
          <cell r="AB279">
            <v>0</v>
          </cell>
          <cell r="AC279">
            <v>0</v>
          </cell>
          <cell r="AD279">
            <v>0</v>
          </cell>
          <cell r="AE279">
            <v>0</v>
          </cell>
          <cell r="AF279">
            <v>0</v>
          </cell>
          <cell r="AG279">
            <v>0</v>
          </cell>
          <cell r="AH279">
            <v>0</v>
          </cell>
          <cell r="AI279">
            <v>0</v>
          </cell>
          <cell r="AJ279">
            <v>0</v>
          </cell>
          <cell r="AK279">
            <v>0</v>
          </cell>
          <cell r="AL279">
            <v>0</v>
          </cell>
        </row>
        <row r="280">
          <cell r="A280">
            <v>3416</v>
          </cell>
          <cell r="B280" t="str">
            <v>Ñ51-38C</v>
          </cell>
          <cell r="C280" t="str">
            <v>Ñôõ thaúng</v>
          </cell>
          <cell r="D280" t="str">
            <v>4T34 - 34C</v>
          </cell>
          <cell r="E280">
            <v>216.75</v>
          </cell>
          <cell r="F280" t="str">
            <v>1TC-1</v>
          </cell>
          <cell r="G280">
            <v>6.4759571766923072</v>
          </cell>
          <cell r="H280">
            <v>15</v>
          </cell>
          <cell r="K280">
            <v>0</v>
          </cell>
          <cell r="L280">
            <v>0</v>
          </cell>
          <cell r="M280">
            <v>0</v>
          </cell>
          <cell r="N280">
            <v>0</v>
          </cell>
          <cell r="O280">
            <v>0</v>
          </cell>
          <cell r="P280">
            <v>0</v>
          </cell>
          <cell r="Q280">
            <v>0</v>
          </cell>
          <cell r="R280">
            <v>0</v>
          </cell>
          <cell r="S280">
            <v>0</v>
          </cell>
          <cell r="T280">
            <v>0</v>
          </cell>
          <cell r="U280">
            <v>0</v>
          </cell>
          <cell r="V280">
            <v>0</v>
          </cell>
          <cell r="W280">
            <v>1</v>
          </cell>
          <cell r="X280">
            <v>0</v>
          </cell>
          <cell r="Y280">
            <v>0</v>
          </cell>
          <cell r="Z280">
            <v>0</v>
          </cell>
          <cell r="AA280">
            <v>0</v>
          </cell>
          <cell r="AB280">
            <v>0</v>
          </cell>
          <cell r="AC280">
            <v>0</v>
          </cell>
          <cell r="AD280">
            <v>0</v>
          </cell>
          <cell r="AE280">
            <v>0</v>
          </cell>
          <cell r="AF280">
            <v>0</v>
          </cell>
          <cell r="AG280">
            <v>0</v>
          </cell>
          <cell r="AH280">
            <v>0</v>
          </cell>
          <cell r="AI280">
            <v>0</v>
          </cell>
          <cell r="AJ280">
            <v>0</v>
          </cell>
          <cell r="AK280">
            <v>0</v>
          </cell>
          <cell r="AL280">
            <v>0</v>
          </cell>
        </row>
        <row r="281">
          <cell r="A281">
            <v>3417</v>
          </cell>
          <cell r="B281" t="str">
            <v>Ñ51-38C</v>
          </cell>
          <cell r="C281" t="str">
            <v>Ñôõ thaúng</v>
          </cell>
          <cell r="D281" t="str">
            <v>4T34 - 36C</v>
          </cell>
          <cell r="E281">
            <v>1149.8499999999999</v>
          </cell>
          <cell r="F281" t="str">
            <v>1T-3</v>
          </cell>
          <cell r="G281">
            <v>22.168831008199785</v>
          </cell>
          <cell r="H281">
            <v>30</v>
          </cell>
          <cell r="K281">
            <v>0</v>
          </cell>
          <cell r="L281">
            <v>0</v>
          </cell>
          <cell r="M281">
            <v>0</v>
          </cell>
          <cell r="N281">
            <v>1</v>
          </cell>
          <cell r="O281">
            <v>0</v>
          </cell>
          <cell r="P281">
            <v>0</v>
          </cell>
          <cell r="Q281">
            <v>0</v>
          </cell>
          <cell r="R281">
            <v>0</v>
          </cell>
          <cell r="S281">
            <v>0</v>
          </cell>
          <cell r="T281">
            <v>0</v>
          </cell>
          <cell r="U281">
            <v>0</v>
          </cell>
          <cell r="V281">
            <v>0</v>
          </cell>
          <cell r="W281">
            <v>0</v>
          </cell>
          <cell r="X281">
            <v>0</v>
          </cell>
          <cell r="Y281">
            <v>0</v>
          </cell>
          <cell r="Z281">
            <v>0</v>
          </cell>
          <cell r="AA281">
            <v>0</v>
          </cell>
          <cell r="AB281">
            <v>0</v>
          </cell>
          <cell r="AC281">
            <v>0</v>
          </cell>
          <cell r="AD281">
            <v>0</v>
          </cell>
          <cell r="AE281">
            <v>0</v>
          </cell>
          <cell r="AF281">
            <v>0</v>
          </cell>
          <cell r="AG281">
            <v>0</v>
          </cell>
          <cell r="AH281">
            <v>0</v>
          </cell>
          <cell r="AI281">
            <v>0</v>
          </cell>
          <cell r="AJ281">
            <v>0</v>
          </cell>
          <cell r="AK281">
            <v>0</v>
          </cell>
          <cell r="AL281">
            <v>0</v>
          </cell>
        </row>
        <row r="282">
          <cell r="A282">
            <v>3418</v>
          </cell>
          <cell r="B282" t="str">
            <v>Ñ51-38C</v>
          </cell>
          <cell r="C282" t="str">
            <v>Ñôõ thaúng</v>
          </cell>
          <cell r="D282" t="str">
            <v>4T38 - 36C</v>
          </cell>
          <cell r="E282">
            <v>1225.25</v>
          </cell>
          <cell r="F282" t="str">
            <v>1T-3</v>
          </cell>
          <cell r="G282">
            <v>23.711010556596293</v>
          </cell>
          <cell r="H282">
            <v>30</v>
          </cell>
          <cell r="K282">
            <v>0</v>
          </cell>
          <cell r="L282">
            <v>0</v>
          </cell>
          <cell r="M282">
            <v>0</v>
          </cell>
          <cell r="N282">
            <v>1</v>
          </cell>
          <cell r="O282">
            <v>0</v>
          </cell>
          <cell r="P282">
            <v>0</v>
          </cell>
          <cell r="Q282">
            <v>0</v>
          </cell>
          <cell r="R282">
            <v>0</v>
          </cell>
          <cell r="S282">
            <v>0</v>
          </cell>
          <cell r="T282">
            <v>0</v>
          </cell>
          <cell r="U282">
            <v>0</v>
          </cell>
          <cell r="V282">
            <v>0</v>
          </cell>
          <cell r="W282">
            <v>0</v>
          </cell>
          <cell r="X282">
            <v>0</v>
          </cell>
          <cell r="Y282">
            <v>0</v>
          </cell>
          <cell r="Z282">
            <v>0</v>
          </cell>
          <cell r="AA282">
            <v>0</v>
          </cell>
          <cell r="AB282">
            <v>0</v>
          </cell>
          <cell r="AC282">
            <v>0</v>
          </cell>
          <cell r="AD282">
            <v>0</v>
          </cell>
          <cell r="AE282">
            <v>0</v>
          </cell>
          <cell r="AF282">
            <v>0</v>
          </cell>
          <cell r="AG282">
            <v>0</v>
          </cell>
          <cell r="AH282">
            <v>0</v>
          </cell>
          <cell r="AI282">
            <v>0</v>
          </cell>
          <cell r="AJ282">
            <v>0</v>
          </cell>
          <cell r="AK282">
            <v>0</v>
          </cell>
          <cell r="AL282">
            <v>0</v>
          </cell>
        </row>
        <row r="283">
          <cell r="A283">
            <v>3501</v>
          </cell>
          <cell r="B283" t="str">
            <v>N513-34C</v>
          </cell>
          <cell r="C283" t="str">
            <v>Neùo goùc</v>
          </cell>
          <cell r="D283" t="str">
            <v>3x4T40 - 44C</v>
          </cell>
          <cell r="E283">
            <v>1931.52</v>
          </cell>
          <cell r="F283" t="str">
            <v>3T-4</v>
          </cell>
          <cell r="G283">
            <v>22.457291678392089</v>
          </cell>
          <cell r="H283">
            <v>30</v>
          </cell>
          <cell r="K283">
            <v>0</v>
          </cell>
          <cell r="L283">
            <v>0</v>
          </cell>
          <cell r="M283">
            <v>0</v>
          </cell>
          <cell r="N283">
            <v>0</v>
          </cell>
          <cell r="O283">
            <v>0</v>
          </cell>
          <cell r="P283">
            <v>0</v>
          </cell>
          <cell r="Q283">
            <v>0</v>
          </cell>
          <cell r="R283">
            <v>0</v>
          </cell>
          <cell r="S283">
            <v>0</v>
          </cell>
          <cell r="T283">
            <v>0</v>
          </cell>
          <cell r="U283">
            <v>0</v>
          </cell>
          <cell r="V283">
            <v>0</v>
          </cell>
          <cell r="W283">
            <v>0</v>
          </cell>
          <cell r="X283">
            <v>0</v>
          </cell>
          <cell r="Y283">
            <v>0</v>
          </cell>
          <cell r="Z283">
            <v>0</v>
          </cell>
          <cell r="AA283">
            <v>0</v>
          </cell>
          <cell r="AB283">
            <v>0</v>
          </cell>
          <cell r="AC283">
            <v>0</v>
          </cell>
          <cell r="AD283">
            <v>0</v>
          </cell>
          <cell r="AE283">
            <v>0</v>
          </cell>
          <cell r="AF283">
            <v>0</v>
          </cell>
          <cell r="AG283">
            <v>1</v>
          </cell>
          <cell r="AH283">
            <v>0</v>
          </cell>
          <cell r="AI283">
            <v>0</v>
          </cell>
          <cell r="AJ283">
            <v>0</v>
          </cell>
          <cell r="AK283">
            <v>0</v>
          </cell>
          <cell r="AL283">
            <v>0</v>
          </cell>
        </row>
        <row r="284">
          <cell r="A284">
            <v>3502</v>
          </cell>
          <cell r="B284" t="str">
            <v>Ñ51-42C</v>
          </cell>
          <cell r="C284" t="str">
            <v>Ñôõ thaúng</v>
          </cell>
          <cell r="D284" t="str">
            <v>4T38 - 38D</v>
          </cell>
          <cell r="E284">
            <v>414.48</v>
          </cell>
          <cell r="F284" t="str">
            <v>1TC-1</v>
          </cell>
          <cell r="G284">
            <v>12.216010128760491</v>
          </cell>
          <cell r="H284">
            <v>15</v>
          </cell>
          <cell r="K284">
            <v>0</v>
          </cell>
          <cell r="L284">
            <v>0</v>
          </cell>
          <cell r="M284">
            <v>0</v>
          </cell>
          <cell r="N284">
            <v>0</v>
          </cell>
          <cell r="O284">
            <v>0</v>
          </cell>
          <cell r="P284">
            <v>0</v>
          </cell>
          <cell r="Q284">
            <v>0</v>
          </cell>
          <cell r="R284">
            <v>0</v>
          </cell>
          <cell r="S284">
            <v>0</v>
          </cell>
          <cell r="T284">
            <v>0</v>
          </cell>
          <cell r="U284">
            <v>0</v>
          </cell>
          <cell r="V284">
            <v>0</v>
          </cell>
          <cell r="W284">
            <v>1</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row>
        <row r="285">
          <cell r="A285">
            <v>3503</v>
          </cell>
          <cell r="B285" t="str">
            <v>Ñ51-38C</v>
          </cell>
          <cell r="C285" t="str">
            <v>Ñôõ thaúng</v>
          </cell>
          <cell r="D285" t="str">
            <v>4T38 - 36C</v>
          </cell>
          <cell r="F285" t="str">
            <v>1T-10</v>
          </cell>
          <cell r="I285" t="str">
            <v>Ngaäp nöôùc</v>
          </cell>
          <cell r="K285">
            <v>0</v>
          </cell>
          <cell r="L285">
            <v>0</v>
          </cell>
          <cell r="M285">
            <v>0</v>
          </cell>
          <cell r="N285">
            <v>0</v>
          </cell>
          <cell r="O285">
            <v>0</v>
          </cell>
          <cell r="P285">
            <v>0</v>
          </cell>
          <cell r="Q285">
            <v>0</v>
          </cell>
          <cell r="R285">
            <v>0</v>
          </cell>
          <cell r="S285">
            <v>0</v>
          </cell>
          <cell r="T285">
            <v>0</v>
          </cell>
          <cell r="U285">
            <v>1</v>
          </cell>
          <cell r="V285">
            <v>0</v>
          </cell>
          <cell r="W285">
            <v>0</v>
          </cell>
          <cell r="X285">
            <v>0</v>
          </cell>
          <cell r="Y285">
            <v>0</v>
          </cell>
          <cell r="Z285">
            <v>0</v>
          </cell>
          <cell r="AA285">
            <v>0</v>
          </cell>
          <cell r="AB285">
            <v>0</v>
          </cell>
          <cell r="AC285">
            <v>0</v>
          </cell>
          <cell r="AD285">
            <v>0</v>
          </cell>
          <cell r="AE285">
            <v>0</v>
          </cell>
          <cell r="AF285">
            <v>0</v>
          </cell>
          <cell r="AG285">
            <v>0</v>
          </cell>
          <cell r="AH285">
            <v>0</v>
          </cell>
          <cell r="AI285">
            <v>0</v>
          </cell>
          <cell r="AJ285">
            <v>0</v>
          </cell>
          <cell r="AK285">
            <v>0</v>
          </cell>
          <cell r="AL285">
            <v>0</v>
          </cell>
        </row>
        <row r="286">
          <cell r="A286">
            <v>3504</v>
          </cell>
          <cell r="B286" t="str">
            <v>Ñ51-42C</v>
          </cell>
          <cell r="C286" t="str">
            <v>Ñôõ thaúng</v>
          </cell>
          <cell r="D286" t="str">
            <v>4T38 - 38D</v>
          </cell>
          <cell r="E286">
            <v>828.96</v>
          </cell>
          <cell r="F286" t="str">
            <v>1T-3</v>
          </cell>
          <cell r="G286">
            <v>16.000112814613761</v>
          </cell>
          <cell r="H286">
            <v>20</v>
          </cell>
          <cell r="K286">
            <v>0</v>
          </cell>
          <cell r="L286">
            <v>0</v>
          </cell>
          <cell r="M286">
            <v>0</v>
          </cell>
          <cell r="N286">
            <v>1</v>
          </cell>
          <cell r="O286">
            <v>0</v>
          </cell>
          <cell r="P286">
            <v>0</v>
          </cell>
          <cell r="Q286">
            <v>0</v>
          </cell>
          <cell r="R286">
            <v>0</v>
          </cell>
          <cell r="S286">
            <v>0</v>
          </cell>
          <cell r="T286">
            <v>0</v>
          </cell>
          <cell r="U286">
            <v>0</v>
          </cell>
          <cell r="V286">
            <v>0</v>
          </cell>
          <cell r="W286">
            <v>0</v>
          </cell>
          <cell r="X286">
            <v>0</v>
          </cell>
          <cell r="Y286">
            <v>0</v>
          </cell>
          <cell r="Z286">
            <v>0</v>
          </cell>
          <cell r="AA286">
            <v>0</v>
          </cell>
          <cell r="AB286">
            <v>0</v>
          </cell>
          <cell r="AC286">
            <v>0</v>
          </cell>
          <cell r="AD286">
            <v>0</v>
          </cell>
          <cell r="AE286">
            <v>0</v>
          </cell>
          <cell r="AF286">
            <v>0</v>
          </cell>
          <cell r="AG286">
            <v>0</v>
          </cell>
          <cell r="AH286">
            <v>0</v>
          </cell>
          <cell r="AI286">
            <v>0</v>
          </cell>
          <cell r="AJ286">
            <v>0</v>
          </cell>
          <cell r="AK286">
            <v>0</v>
          </cell>
          <cell r="AL286">
            <v>0</v>
          </cell>
        </row>
        <row r="287">
          <cell r="A287">
            <v>3505</v>
          </cell>
          <cell r="B287" t="str">
            <v>Ñ51-42C</v>
          </cell>
          <cell r="C287" t="str">
            <v>Ñôõ thaúng</v>
          </cell>
          <cell r="D287" t="str">
            <v>4T38 - 38D</v>
          </cell>
          <cell r="E287">
            <v>12.244999999999999</v>
          </cell>
          <cell r="F287" t="str">
            <v>1T-1</v>
          </cell>
          <cell r="G287">
            <v>0.46265386451895196</v>
          </cell>
          <cell r="H287">
            <v>10</v>
          </cell>
          <cell r="K287">
            <v>0</v>
          </cell>
          <cell r="L287">
            <v>1</v>
          </cell>
          <cell r="M287">
            <v>0</v>
          </cell>
          <cell r="N287">
            <v>0</v>
          </cell>
          <cell r="O287">
            <v>0</v>
          </cell>
          <cell r="P287">
            <v>0</v>
          </cell>
          <cell r="Q287">
            <v>0</v>
          </cell>
          <cell r="R287">
            <v>0</v>
          </cell>
          <cell r="S287">
            <v>0</v>
          </cell>
          <cell r="T287">
            <v>0</v>
          </cell>
          <cell r="U287">
            <v>0</v>
          </cell>
          <cell r="V287">
            <v>0</v>
          </cell>
          <cell r="W287">
            <v>0</v>
          </cell>
          <cell r="X287">
            <v>0</v>
          </cell>
          <cell r="Y287">
            <v>0</v>
          </cell>
          <cell r="Z287">
            <v>0</v>
          </cell>
          <cell r="AA287">
            <v>0</v>
          </cell>
          <cell r="AB287">
            <v>0</v>
          </cell>
          <cell r="AC287">
            <v>0</v>
          </cell>
          <cell r="AD287">
            <v>0</v>
          </cell>
          <cell r="AE287">
            <v>0</v>
          </cell>
          <cell r="AF287">
            <v>0</v>
          </cell>
          <cell r="AG287">
            <v>0</v>
          </cell>
          <cell r="AH287">
            <v>0</v>
          </cell>
          <cell r="AI287">
            <v>0</v>
          </cell>
          <cell r="AJ287">
            <v>0</v>
          </cell>
          <cell r="AK287">
            <v>0</v>
          </cell>
          <cell r="AL287">
            <v>0</v>
          </cell>
        </row>
        <row r="288">
          <cell r="A288">
            <v>3506</v>
          </cell>
          <cell r="B288" t="str">
            <v>Ñ51-42C</v>
          </cell>
          <cell r="C288" t="str">
            <v>Ñôõ thaúng</v>
          </cell>
          <cell r="D288" t="str">
            <v>4T38 - 38D</v>
          </cell>
          <cell r="E288">
            <v>452.16</v>
          </cell>
          <cell r="F288" t="str">
            <v>1TC-1</v>
          </cell>
          <cell r="G288">
            <v>13.39345688815909</v>
          </cell>
          <cell r="H288">
            <v>15</v>
          </cell>
          <cell r="K288">
            <v>0</v>
          </cell>
          <cell r="L288">
            <v>0</v>
          </cell>
          <cell r="M288">
            <v>0</v>
          </cell>
          <cell r="N288">
            <v>0</v>
          </cell>
          <cell r="O288">
            <v>0</v>
          </cell>
          <cell r="P288">
            <v>0</v>
          </cell>
          <cell r="Q288">
            <v>0</v>
          </cell>
          <cell r="R288">
            <v>0</v>
          </cell>
          <cell r="S288">
            <v>0</v>
          </cell>
          <cell r="T288">
            <v>0</v>
          </cell>
          <cell r="U288">
            <v>0</v>
          </cell>
          <cell r="V288">
            <v>0</v>
          </cell>
          <cell r="W288">
            <v>1</v>
          </cell>
          <cell r="X288">
            <v>0</v>
          </cell>
          <cell r="Y288">
            <v>0</v>
          </cell>
          <cell r="Z288">
            <v>0</v>
          </cell>
          <cell r="AA288">
            <v>0</v>
          </cell>
          <cell r="AB288">
            <v>0</v>
          </cell>
          <cell r="AC288">
            <v>0</v>
          </cell>
          <cell r="AD288">
            <v>0</v>
          </cell>
          <cell r="AE288">
            <v>0</v>
          </cell>
          <cell r="AF288">
            <v>0</v>
          </cell>
          <cell r="AG288">
            <v>0</v>
          </cell>
          <cell r="AH288">
            <v>0</v>
          </cell>
          <cell r="AI288">
            <v>0</v>
          </cell>
          <cell r="AJ288">
            <v>0</v>
          </cell>
          <cell r="AK288">
            <v>0</v>
          </cell>
          <cell r="AL288">
            <v>0</v>
          </cell>
        </row>
        <row r="289">
          <cell r="A289">
            <v>3507</v>
          </cell>
          <cell r="B289" t="str">
            <v>Ñ51-42D</v>
          </cell>
          <cell r="C289" t="str">
            <v>Ñôõ thaúng</v>
          </cell>
          <cell r="D289" t="str">
            <v>4T38 - 38D</v>
          </cell>
          <cell r="E289">
            <v>301.44</v>
          </cell>
          <cell r="F289" t="str">
            <v>1T-1</v>
          </cell>
          <cell r="G289">
            <v>9.4072952452186929</v>
          </cell>
          <cell r="H289">
            <v>15</v>
          </cell>
          <cell r="K289">
            <v>0</v>
          </cell>
          <cell r="L289">
            <v>1</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row>
        <row r="290">
          <cell r="A290">
            <v>3508</v>
          </cell>
          <cell r="B290" t="str">
            <v>Ñ51-42D</v>
          </cell>
          <cell r="C290" t="str">
            <v>Ñôõ thaúng</v>
          </cell>
          <cell r="D290" t="str">
            <v>4T38 - 38D</v>
          </cell>
          <cell r="E290">
            <v>998.52</v>
          </cell>
          <cell r="F290" t="str">
            <v>1T-3</v>
          </cell>
          <cell r="G290">
            <v>19.277244354956338</v>
          </cell>
          <cell r="H290">
            <v>20</v>
          </cell>
          <cell r="K290">
            <v>0</v>
          </cell>
          <cell r="L290">
            <v>0</v>
          </cell>
          <cell r="M290">
            <v>0</v>
          </cell>
          <cell r="N290">
            <v>1</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row>
        <row r="291">
          <cell r="A291">
            <v>3509</v>
          </cell>
          <cell r="B291" t="str">
            <v>Ñ51-38D</v>
          </cell>
          <cell r="C291" t="str">
            <v>Ñôõ thaúng</v>
          </cell>
          <cell r="D291" t="str">
            <v>4T38 - 34C</v>
          </cell>
          <cell r="E291">
            <v>442.74</v>
          </cell>
          <cell r="F291" t="str">
            <v>1TC-1</v>
          </cell>
          <cell r="G291">
            <v>13.099095198309442</v>
          </cell>
          <cell r="H291">
            <v>15</v>
          </cell>
          <cell r="K291">
            <v>0</v>
          </cell>
          <cell r="L291">
            <v>0</v>
          </cell>
          <cell r="M291">
            <v>0</v>
          </cell>
          <cell r="N291">
            <v>0</v>
          </cell>
          <cell r="O291">
            <v>0</v>
          </cell>
          <cell r="P291">
            <v>0</v>
          </cell>
          <cell r="Q291">
            <v>0</v>
          </cell>
          <cell r="R291">
            <v>0</v>
          </cell>
          <cell r="S291">
            <v>0</v>
          </cell>
          <cell r="T291">
            <v>0</v>
          </cell>
          <cell r="U291">
            <v>0</v>
          </cell>
          <cell r="V291">
            <v>0</v>
          </cell>
          <cell r="W291">
            <v>1</v>
          </cell>
          <cell r="X291">
            <v>0</v>
          </cell>
          <cell r="Y291">
            <v>0</v>
          </cell>
          <cell r="Z291">
            <v>0</v>
          </cell>
          <cell r="AA291">
            <v>0</v>
          </cell>
          <cell r="AB291">
            <v>0</v>
          </cell>
          <cell r="AC291">
            <v>0</v>
          </cell>
          <cell r="AD291">
            <v>0</v>
          </cell>
          <cell r="AE291">
            <v>0</v>
          </cell>
          <cell r="AF291">
            <v>0</v>
          </cell>
          <cell r="AG291">
            <v>0</v>
          </cell>
          <cell r="AH291">
            <v>0</v>
          </cell>
          <cell r="AI291">
            <v>0</v>
          </cell>
          <cell r="AJ291">
            <v>0</v>
          </cell>
          <cell r="AK291">
            <v>0</v>
          </cell>
          <cell r="AL291">
            <v>0</v>
          </cell>
        </row>
        <row r="292">
          <cell r="A292">
            <v>3510</v>
          </cell>
          <cell r="B292" t="str">
            <v>Ñ51-42D</v>
          </cell>
          <cell r="C292" t="str">
            <v>Ñôõ thaúng</v>
          </cell>
          <cell r="D292" t="str">
            <v>4T38 - 38D</v>
          </cell>
          <cell r="E292">
            <v>442.74</v>
          </cell>
          <cell r="F292" t="str">
            <v>1TC-1</v>
          </cell>
          <cell r="G292">
            <v>13.099095198309442</v>
          </cell>
          <cell r="H292">
            <v>15</v>
          </cell>
          <cell r="K292">
            <v>0</v>
          </cell>
          <cell r="L292">
            <v>0</v>
          </cell>
          <cell r="M292">
            <v>0</v>
          </cell>
          <cell r="N292">
            <v>0</v>
          </cell>
          <cell r="O292">
            <v>0</v>
          </cell>
          <cell r="P292">
            <v>0</v>
          </cell>
          <cell r="Q292">
            <v>0</v>
          </cell>
          <cell r="R292">
            <v>0</v>
          </cell>
          <cell r="S292">
            <v>0</v>
          </cell>
          <cell r="T292">
            <v>0</v>
          </cell>
          <cell r="U292">
            <v>0</v>
          </cell>
          <cell r="V292">
            <v>0</v>
          </cell>
          <cell r="W292">
            <v>1</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row>
        <row r="293">
          <cell r="A293">
            <v>3511</v>
          </cell>
          <cell r="B293" t="str">
            <v>Ñ51-38C</v>
          </cell>
          <cell r="C293" t="str">
            <v>Ñôõ thaúng</v>
          </cell>
          <cell r="D293" t="str">
            <v>4T38 - 38C</v>
          </cell>
          <cell r="E293">
            <v>791.28</v>
          </cell>
          <cell r="F293" t="str">
            <v>1T-2</v>
          </cell>
          <cell r="G293">
            <v>21.733492405050573</v>
          </cell>
          <cell r="H293">
            <v>20</v>
          </cell>
          <cell r="K293">
            <v>1</v>
          </cell>
          <cell r="L293">
            <v>0</v>
          </cell>
          <cell r="M293">
            <v>1</v>
          </cell>
          <cell r="N293">
            <v>0</v>
          </cell>
          <cell r="O293">
            <v>0</v>
          </cell>
          <cell r="P293">
            <v>0</v>
          </cell>
          <cell r="Q293">
            <v>0</v>
          </cell>
          <cell r="R293">
            <v>0</v>
          </cell>
          <cell r="S293">
            <v>0</v>
          </cell>
          <cell r="T293">
            <v>0</v>
          </cell>
          <cell r="U293">
            <v>0</v>
          </cell>
          <cell r="V293">
            <v>0</v>
          </cell>
          <cell r="W293">
            <v>0</v>
          </cell>
          <cell r="X293">
            <v>0</v>
          </cell>
          <cell r="Y293">
            <v>0</v>
          </cell>
          <cell r="Z293">
            <v>0</v>
          </cell>
          <cell r="AA293">
            <v>0</v>
          </cell>
          <cell r="AB293">
            <v>0</v>
          </cell>
          <cell r="AC293">
            <v>0</v>
          </cell>
          <cell r="AD293">
            <v>0</v>
          </cell>
          <cell r="AE293">
            <v>0</v>
          </cell>
          <cell r="AF293">
            <v>0</v>
          </cell>
          <cell r="AG293">
            <v>0</v>
          </cell>
          <cell r="AH293">
            <v>0</v>
          </cell>
          <cell r="AI293">
            <v>0</v>
          </cell>
          <cell r="AJ293">
            <v>0</v>
          </cell>
          <cell r="AK293">
            <v>0</v>
          </cell>
          <cell r="AL293">
            <v>0</v>
          </cell>
        </row>
        <row r="294">
          <cell r="A294">
            <v>3512</v>
          </cell>
          <cell r="B294" t="str">
            <v>Ñ51-42D</v>
          </cell>
          <cell r="C294" t="str">
            <v>Ñôõ thaúng</v>
          </cell>
          <cell r="D294" t="str">
            <v>4T38 - 38D</v>
          </cell>
          <cell r="E294">
            <v>452.16</v>
          </cell>
          <cell r="F294" t="str">
            <v>1TC-1</v>
          </cell>
          <cell r="G294">
            <v>13.39345688815909</v>
          </cell>
          <cell r="H294">
            <v>15</v>
          </cell>
          <cell r="K294">
            <v>0</v>
          </cell>
          <cell r="L294">
            <v>0</v>
          </cell>
          <cell r="M294">
            <v>0</v>
          </cell>
          <cell r="N294">
            <v>0</v>
          </cell>
          <cell r="O294">
            <v>0</v>
          </cell>
          <cell r="P294">
            <v>0</v>
          </cell>
          <cell r="Q294">
            <v>0</v>
          </cell>
          <cell r="R294">
            <v>0</v>
          </cell>
          <cell r="S294">
            <v>0</v>
          </cell>
          <cell r="T294">
            <v>0</v>
          </cell>
          <cell r="U294">
            <v>0</v>
          </cell>
          <cell r="V294">
            <v>0</v>
          </cell>
          <cell r="W294">
            <v>1</v>
          </cell>
          <cell r="X294">
            <v>0</v>
          </cell>
          <cell r="Y294">
            <v>0</v>
          </cell>
          <cell r="Z294">
            <v>0</v>
          </cell>
          <cell r="AA294">
            <v>0</v>
          </cell>
          <cell r="AB294">
            <v>0</v>
          </cell>
          <cell r="AC294">
            <v>0</v>
          </cell>
          <cell r="AD294">
            <v>0</v>
          </cell>
          <cell r="AE294">
            <v>0</v>
          </cell>
          <cell r="AF294">
            <v>0</v>
          </cell>
          <cell r="AG294">
            <v>0</v>
          </cell>
          <cell r="AH294">
            <v>0</v>
          </cell>
          <cell r="AI294">
            <v>0</v>
          </cell>
          <cell r="AJ294">
            <v>0</v>
          </cell>
          <cell r="AK294">
            <v>0</v>
          </cell>
          <cell r="AL294">
            <v>0</v>
          </cell>
        </row>
        <row r="295">
          <cell r="A295">
            <v>3513</v>
          </cell>
          <cell r="B295" t="str">
            <v>Ñ51-42D</v>
          </cell>
          <cell r="C295" t="str">
            <v>Ñôõ thaúng</v>
          </cell>
          <cell r="D295" t="str">
            <v>4T38 - 38D</v>
          </cell>
          <cell r="E295">
            <v>715.92</v>
          </cell>
          <cell r="F295" t="str">
            <v>1TC-2</v>
          </cell>
          <cell r="G295">
            <v>18.437803458606151</v>
          </cell>
          <cell r="H295">
            <v>20</v>
          </cell>
          <cell r="K295">
            <v>0</v>
          </cell>
          <cell r="L295">
            <v>0</v>
          </cell>
          <cell r="M295">
            <v>0</v>
          </cell>
          <cell r="N295">
            <v>0</v>
          </cell>
          <cell r="O295">
            <v>0</v>
          </cell>
          <cell r="P295">
            <v>0</v>
          </cell>
          <cell r="Q295">
            <v>0</v>
          </cell>
          <cell r="R295">
            <v>0</v>
          </cell>
          <cell r="S295">
            <v>0</v>
          </cell>
          <cell r="T295">
            <v>0</v>
          </cell>
          <cell r="U295">
            <v>0</v>
          </cell>
          <cell r="V295">
            <v>0</v>
          </cell>
          <cell r="W295">
            <v>0</v>
          </cell>
          <cell r="X295">
            <v>1</v>
          </cell>
          <cell r="Y295">
            <v>0</v>
          </cell>
          <cell r="Z295">
            <v>0</v>
          </cell>
          <cell r="AA295">
            <v>0</v>
          </cell>
          <cell r="AB295">
            <v>0</v>
          </cell>
          <cell r="AC295">
            <v>0</v>
          </cell>
          <cell r="AD295">
            <v>0</v>
          </cell>
          <cell r="AE295">
            <v>0</v>
          </cell>
          <cell r="AF295">
            <v>0</v>
          </cell>
          <cell r="AG295">
            <v>0</v>
          </cell>
          <cell r="AH295">
            <v>0</v>
          </cell>
          <cell r="AI295">
            <v>0</v>
          </cell>
          <cell r="AJ295">
            <v>0</v>
          </cell>
          <cell r="AK295">
            <v>0</v>
          </cell>
          <cell r="AL295">
            <v>0</v>
          </cell>
        </row>
        <row r="296">
          <cell r="A296">
            <v>3514</v>
          </cell>
          <cell r="B296" t="str">
            <v>Ñ51-42D</v>
          </cell>
          <cell r="C296" t="str">
            <v>Ñôõ thaúng</v>
          </cell>
          <cell r="D296" t="str">
            <v>4T38 - 38D</v>
          </cell>
          <cell r="E296">
            <v>1055.04</v>
          </cell>
          <cell r="F296" t="str">
            <v>1T-3</v>
          </cell>
          <cell r="G296">
            <v>20.433879016253712</v>
          </cell>
          <cell r="H296">
            <v>30</v>
          </cell>
          <cell r="K296">
            <v>0</v>
          </cell>
          <cell r="L296">
            <v>0</v>
          </cell>
          <cell r="M296">
            <v>0</v>
          </cell>
          <cell r="N296">
            <v>1</v>
          </cell>
          <cell r="O296">
            <v>0</v>
          </cell>
          <cell r="P296">
            <v>0</v>
          </cell>
          <cell r="Q296">
            <v>0</v>
          </cell>
          <cell r="R296">
            <v>0</v>
          </cell>
          <cell r="S296">
            <v>0</v>
          </cell>
          <cell r="T296">
            <v>0</v>
          </cell>
          <cell r="U296">
            <v>0</v>
          </cell>
          <cell r="V296">
            <v>0</v>
          </cell>
          <cell r="W296">
            <v>0</v>
          </cell>
          <cell r="X296">
            <v>0</v>
          </cell>
          <cell r="Y296">
            <v>0</v>
          </cell>
          <cell r="Z296">
            <v>0</v>
          </cell>
          <cell r="AA296">
            <v>0</v>
          </cell>
          <cell r="AB296">
            <v>0</v>
          </cell>
          <cell r="AC296">
            <v>0</v>
          </cell>
          <cell r="AD296">
            <v>0</v>
          </cell>
          <cell r="AE296">
            <v>0</v>
          </cell>
          <cell r="AF296">
            <v>0</v>
          </cell>
          <cell r="AG296">
            <v>0</v>
          </cell>
          <cell r="AH296">
            <v>0</v>
          </cell>
          <cell r="AI296">
            <v>0</v>
          </cell>
          <cell r="AJ296">
            <v>0</v>
          </cell>
          <cell r="AK296">
            <v>0</v>
          </cell>
          <cell r="AL296">
            <v>0</v>
          </cell>
        </row>
        <row r="297">
          <cell r="A297">
            <v>3515</v>
          </cell>
          <cell r="B297" t="str">
            <v>Ñ51-48D</v>
          </cell>
          <cell r="C297" t="str">
            <v>Ñôõ thaúng</v>
          </cell>
          <cell r="D297" t="str">
            <v>4T38 - 42E</v>
          </cell>
          <cell r="E297">
            <v>734.76</v>
          </cell>
          <cell r="F297" t="str">
            <v>1TC-2</v>
          </cell>
          <cell r="G297">
            <v>18.82192436399378</v>
          </cell>
          <cell r="H297">
            <v>20</v>
          </cell>
          <cell r="K297">
            <v>0</v>
          </cell>
          <cell r="L297">
            <v>0</v>
          </cell>
          <cell r="M297">
            <v>0</v>
          </cell>
          <cell r="N297">
            <v>0</v>
          </cell>
          <cell r="O297">
            <v>0</v>
          </cell>
          <cell r="P297">
            <v>0</v>
          </cell>
          <cell r="Q297">
            <v>0</v>
          </cell>
          <cell r="R297">
            <v>0</v>
          </cell>
          <cell r="S297">
            <v>0</v>
          </cell>
          <cell r="T297">
            <v>0</v>
          </cell>
          <cell r="U297">
            <v>0</v>
          </cell>
          <cell r="V297">
            <v>0</v>
          </cell>
          <cell r="W297">
            <v>0</v>
          </cell>
          <cell r="X297">
            <v>1</v>
          </cell>
          <cell r="Y297">
            <v>0</v>
          </cell>
          <cell r="Z297">
            <v>0</v>
          </cell>
          <cell r="AA297">
            <v>0</v>
          </cell>
          <cell r="AB297">
            <v>0</v>
          </cell>
          <cell r="AC297">
            <v>0</v>
          </cell>
          <cell r="AD297">
            <v>0</v>
          </cell>
          <cell r="AE297">
            <v>0</v>
          </cell>
          <cell r="AF297">
            <v>0</v>
          </cell>
          <cell r="AG297">
            <v>0</v>
          </cell>
          <cell r="AH297">
            <v>0</v>
          </cell>
          <cell r="AI297">
            <v>0</v>
          </cell>
          <cell r="AJ297">
            <v>0</v>
          </cell>
          <cell r="AK297">
            <v>0</v>
          </cell>
          <cell r="AL297">
            <v>0</v>
          </cell>
        </row>
        <row r="298">
          <cell r="A298">
            <v>3516</v>
          </cell>
          <cell r="B298" t="str">
            <v>Ñ51-42D</v>
          </cell>
          <cell r="C298" t="str">
            <v>Ñôõ thaúng</v>
          </cell>
          <cell r="D298" t="str">
            <v>4T38 - 38D</v>
          </cell>
          <cell r="E298">
            <v>1149.24</v>
          </cell>
          <cell r="F298" t="str">
            <v>1T-3</v>
          </cell>
          <cell r="G298">
            <v>22.168831008199785</v>
          </cell>
          <cell r="H298">
            <v>30</v>
          </cell>
          <cell r="K298">
            <v>0</v>
          </cell>
          <cell r="L298">
            <v>0</v>
          </cell>
          <cell r="M298">
            <v>0</v>
          </cell>
          <cell r="N298">
            <v>1</v>
          </cell>
          <cell r="O298">
            <v>0</v>
          </cell>
          <cell r="P298">
            <v>0</v>
          </cell>
          <cell r="Q298">
            <v>0</v>
          </cell>
          <cell r="R298">
            <v>0</v>
          </cell>
          <cell r="S298">
            <v>0</v>
          </cell>
          <cell r="T298">
            <v>0</v>
          </cell>
          <cell r="U298">
            <v>0</v>
          </cell>
          <cell r="V298">
            <v>0</v>
          </cell>
          <cell r="W298">
            <v>0</v>
          </cell>
          <cell r="X298">
            <v>0</v>
          </cell>
          <cell r="Y298">
            <v>0</v>
          </cell>
          <cell r="Z298">
            <v>0</v>
          </cell>
          <cell r="AA298">
            <v>0</v>
          </cell>
          <cell r="AB298">
            <v>0</v>
          </cell>
          <cell r="AC298">
            <v>0</v>
          </cell>
          <cell r="AD298">
            <v>0</v>
          </cell>
          <cell r="AE298">
            <v>0</v>
          </cell>
          <cell r="AF298">
            <v>0</v>
          </cell>
          <cell r="AG298">
            <v>0</v>
          </cell>
          <cell r="AH298">
            <v>0</v>
          </cell>
          <cell r="AI298">
            <v>0</v>
          </cell>
          <cell r="AJ298">
            <v>0</v>
          </cell>
          <cell r="AK298">
            <v>0</v>
          </cell>
          <cell r="AL298">
            <v>0</v>
          </cell>
        </row>
        <row r="299">
          <cell r="A299">
            <v>3517</v>
          </cell>
          <cell r="B299" t="str">
            <v>N513-38C</v>
          </cell>
          <cell r="C299" t="str">
            <v>Neùo thaúng</v>
          </cell>
          <cell r="D299" t="str">
            <v>3x4T45 - 40D</v>
          </cell>
          <cell r="E299">
            <v>772.44</v>
          </cell>
          <cell r="F299" t="str">
            <v>3T-2</v>
          </cell>
          <cell r="G299">
            <v>14.056703243455285</v>
          </cell>
          <cell r="H299">
            <v>20</v>
          </cell>
          <cell r="K299">
            <v>0</v>
          </cell>
          <cell r="L299">
            <v>0</v>
          </cell>
          <cell r="M299">
            <v>0</v>
          </cell>
          <cell r="N299">
            <v>0</v>
          </cell>
          <cell r="O299">
            <v>0</v>
          </cell>
          <cell r="P299">
            <v>0</v>
          </cell>
          <cell r="Q299">
            <v>0</v>
          </cell>
          <cell r="R299">
            <v>0</v>
          </cell>
          <cell r="S299">
            <v>0</v>
          </cell>
          <cell r="T299">
            <v>0</v>
          </cell>
          <cell r="U299">
            <v>0</v>
          </cell>
          <cell r="V299">
            <v>0</v>
          </cell>
          <cell r="W299">
            <v>0</v>
          </cell>
          <cell r="X299">
            <v>0</v>
          </cell>
          <cell r="Y299">
            <v>0</v>
          </cell>
          <cell r="Z299">
            <v>0</v>
          </cell>
          <cell r="AA299">
            <v>0</v>
          </cell>
          <cell r="AB299">
            <v>0</v>
          </cell>
          <cell r="AC299">
            <v>0</v>
          </cell>
          <cell r="AD299">
            <v>0</v>
          </cell>
          <cell r="AE299">
            <v>1</v>
          </cell>
          <cell r="AF299">
            <v>0</v>
          </cell>
          <cell r="AG299">
            <v>0</v>
          </cell>
          <cell r="AH299">
            <v>0</v>
          </cell>
          <cell r="AI299">
            <v>0</v>
          </cell>
          <cell r="AJ299">
            <v>0</v>
          </cell>
          <cell r="AK299">
            <v>0</v>
          </cell>
          <cell r="AL299">
            <v>0</v>
          </cell>
        </row>
        <row r="300">
          <cell r="A300">
            <v>3518</v>
          </cell>
          <cell r="B300" t="str">
            <v>Ñ51-38C</v>
          </cell>
          <cell r="C300" t="str">
            <v>Ñôõ thaúng</v>
          </cell>
          <cell r="D300" t="str">
            <v>4T38 - 38C</v>
          </cell>
          <cell r="E300">
            <v>1299.96</v>
          </cell>
          <cell r="F300" t="str">
            <v>1T-3</v>
          </cell>
          <cell r="G300">
            <v>25.060417661443235</v>
          </cell>
          <cell r="H300">
            <v>30</v>
          </cell>
          <cell r="K300">
            <v>0</v>
          </cell>
          <cell r="L300">
            <v>0</v>
          </cell>
          <cell r="M300">
            <v>0</v>
          </cell>
          <cell r="N300">
            <v>1</v>
          </cell>
          <cell r="O300">
            <v>0</v>
          </cell>
          <cell r="P300">
            <v>0</v>
          </cell>
          <cell r="Q300">
            <v>0</v>
          </cell>
          <cell r="R300">
            <v>0</v>
          </cell>
          <cell r="S300">
            <v>0</v>
          </cell>
          <cell r="T300">
            <v>0</v>
          </cell>
          <cell r="U300">
            <v>0</v>
          </cell>
          <cell r="V300">
            <v>0</v>
          </cell>
          <cell r="W300">
            <v>0</v>
          </cell>
          <cell r="X300">
            <v>0</v>
          </cell>
          <cell r="Y300">
            <v>0</v>
          </cell>
          <cell r="Z300">
            <v>0</v>
          </cell>
          <cell r="AA300">
            <v>0</v>
          </cell>
          <cell r="AB300">
            <v>0</v>
          </cell>
          <cell r="AC300">
            <v>0</v>
          </cell>
          <cell r="AD300">
            <v>0</v>
          </cell>
          <cell r="AE300">
            <v>0</v>
          </cell>
          <cell r="AF300">
            <v>0</v>
          </cell>
          <cell r="AG300">
            <v>0</v>
          </cell>
          <cell r="AH300">
            <v>0</v>
          </cell>
          <cell r="AI300">
            <v>0</v>
          </cell>
          <cell r="AJ300">
            <v>0</v>
          </cell>
          <cell r="AK300">
            <v>0</v>
          </cell>
          <cell r="AL300">
            <v>0</v>
          </cell>
        </row>
        <row r="301">
          <cell r="A301">
            <v>3601</v>
          </cell>
          <cell r="B301" t="str">
            <v>N513-30C</v>
          </cell>
          <cell r="C301" t="str">
            <v>Neùo goùc G36</v>
          </cell>
          <cell r="D301" t="str">
            <v>3x4T45 - 40B</v>
          </cell>
          <cell r="E301">
            <v>1920.52</v>
          </cell>
          <cell r="F301" t="str">
            <v>3T-4</v>
          </cell>
          <cell r="G301">
            <v>22.341233323465005</v>
          </cell>
          <cell r="H301">
            <v>30</v>
          </cell>
          <cell r="K301">
            <v>0</v>
          </cell>
          <cell r="L301">
            <v>0</v>
          </cell>
          <cell r="M301">
            <v>0</v>
          </cell>
          <cell r="N301">
            <v>0</v>
          </cell>
          <cell r="O301">
            <v>0</v>
          </cell>
          <cell r="P301">
            <v>0</v>
          </cell>
          <cell r="Q301">
            <v>0</v>
          </cell>
          <cell r="R301">
            <v>0</v>
          </cell>
          <cell r="S301">
            <v>0</v>
          </cell>
          <cell r="T301">
            <v>0</v>
          </cell>
          <cell r="U301">
            <v>0</v>
          </cell>
          <cell r="V301">
            <v>0</v>
          </cell>
          <cell r="W301">
            <v>0</v>
          </cell>
          <cell r="X301">
            <v>0</v>
          </cell>
          <cell r="Y301">
            <v>0</v>
          </cell>
          <cell r="Z301">
            <v>0</v>
          </cell>
          <cell r="AA301">
            <v>0</v>
          </cell>
          <cell r="AB301">
            <v>0</v>
          </cell>
          <cell r="AC301">
            <v>0</v>
          </cell>
          <cell r="AD301">
            <v>0</v>
          </cell>
          <cell r="AE301">
            <v>0</v>
          </cell>
          <cell r="AF301">
            <v>0</v>
          </cell>
          <cell r="AG301">
            <v>1</v>
          </cell>
          <cell r="AH301">
            <v>0</v>
          </cell>
          <cell r="AI301">
            <v>0</v>
          </cell>
          <cell r="AJ301">
            <v>0</v>
          </cell>
          <cell r="AK301">
            <v>0</v>
          </cell>
          <cell r="AL301">
            <v>0</v>
          </cell>
        </row>
        <row r="302">
          <cell r="K302" t="str">
            <v>TOÅNG</v>
          </cell>
          <cell r="L302">
            <v>18</v>
          </cell>
          <cell r="M302">
            <v>5</v>
          </cell>
          <cell r="N302">
            <v>21</v>
          </cell>
          <cell r="O302">
            <v>17</v>
          </cell>
          <cell r="P302">
            <v>20</v>
          </cell>
          <cell r="Q302">
            <v>3</v>
          </cell>
          <cell r="R302">
            <v>12</v>
          </cell>
          <cell r="S302">
            <v>12</v>
          </cell>
          <cell r="T302">
            <v>8</v>
          </cell>
          <cell r="U302">
            <v>39</v>
          </cell>
          <cell r="V302">
            <v>1</v>
          </cell>
          <cell r="W302">
            <v>18</v>
          </cell>
          <cell r="X302">
            <v>12</v>
          </cell>
          <cell r="Y302">
            <v>2</v>
          </cell>
          <cell r="Z302">
            <v>0</v>
          </cell>
          <cell r="AA302">
            <v>2</v>
          </cell>
          <cell r="AB302">
            <v>2</v>
          </cell>
          <cell r="AC302">
            <v>1</v>
          </cell>
          <cell r="AD302">
            <v>6</v>
          </cell>
          <cell r="AE302">
            <v>8</v>
          </cell>
          <cell r="AF302">
            <v>2</v>
          </cell>
          <cell r="AG302">
            <v>7</v>
          </cell>
          <cell r="AH302">
            <v>4</v>
          </cell>
          <cell r="AI302">
            <v>4</v>
          </cell>
          <cell r="AJ302">
            <v>7</v>
          </cell>
          <cell r="AK302">
            <v>7</v>
          </cell>
          <cell r="AL302">
            <v>8</v>
          </cell>
          <cell r="AN302">
            <v>246</v>
          </cell>
        </row>
        <row r="303">
          <cell r="L303" t="str">
            <v>1T-1</v>
          </cell>
          <cell r="M303" t="str">
            <v>1T-2</v>
          </cell>
          <cell r="N303" t="str">
            <v>1T-3</v>
          </cell>
          <cell r="O303" t="str">
            <v>1T-4</v>
          </cell>
          <cell r="P303" t="str">
            <v>1T-5</v>
          </cell>
          <cell r="Q303" t="str">
            <v>1T-6</v>
          </cell>
          <cell r="R303" t="str">
            <v>1T-7</v>
          </cell>
          <cell r="S303" t="str">
            <v>1T-8</v>
          </cell>
          <cell r="T303" t="str">
            <v>1T-9</v>
          </cell>
          <cell r="U303" t="str">
            <v>1T-10</v>
          </cell>
          <cell r="V303" t="str">
            <v>1T-MB</v>
          </cell>
          <cell r="W303" t="str">
            <v>1TC-1</v>
          </cell>
          <cell r="X303" t="str">
            <v>1TC-2</v>
          </cell>
          <cell r="Y303" t="str">
            <v>1TC-3</v>
          </cell>
          <cell r="Z303" t="str">
            <v>1TC-4</v>
          </cell>
          <cell r="AA303" t="str">
            <v>3TC-1</v>
          </cell>
          <cell r="AB303" t="str">
            <v>3TC-2</v>
          </cell>
          <cell r="AC303" t="str">
            <v>3TC-3</v>
          </cell>
          <cell r="AD303" t="str">
            <v>3T-1</v>
          </cell>
          <cell r="AE303" t="str">
            <v>3T-2</v>
          </cell>
          <cell r="AF303" t="str">
            <v>3T-3</v>
          </cell>
          <cell r="AG303" t="str">
            <v>3T-4</v>
          </cell>
          <cell r="AH303" t="str">
            <v>3T-5</v>
          </cell>
          <cell r="AI303" t="str">
            <v>3T-6</v>
          </cell>
          <cell r="AJ303" t="str">
            <v>3T-7</v>
          </cell>
          <cell r="AK303" t="str">
            <v>3T-8</v>
          </cell>
          <cell r="AL303" t="str">
            <v>3T-9</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n 1 dot 1"/>
      <sheetName val="Lan 2 dot 1"/>
      <sheetName val="Sheet3"/>
      <sheetName val="XL4Poppy"/>
      <sheetName val="TT-35KV+TBA"/>
      <sheetName val="giathanh1"/>
      <sheetName val="CHITIET VL-NC-TT-3p"/>
      <sheetName val="VCV-BE-TON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ITIET VL-NC-TT-3p"/>
      <sheetName val="VCV-BE-TONG"/>
      <sheetName val="TONG HOP VL-NC TT"/>
      <sheetName val="CHITIET VL-NC-TT -1p"/>
      <sheetName val="TDTKP1"/>
      <sheetName val="KPVC-BD "/>
      <sheetName val="Tiepdia"/>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uatb+ng¨n lé"/>
      <sheetName val="L¾p ®Æt TB+ng¨n lé"/>
      <sheetName val="TNghiªm TB +ng¨ lé"/>
      <sheetName val="TB-VL-TTin"/>
      <sheetName val="L¾p ®Æt TB-VL-TTin"/>
      <sheetName val="TNghiªm TT"/>
      <sheetName val="VËt liÖu"/>
      <sheetName val="Lap ®at ®iÖn"/>
      <sheetName val="TNghiÖm VL"/>
      <sheetName val="tt-xd"/>
      <sheetName val="tt-ng¨n lé"/>
      <sheetName val="th ng¨n lé"/>
      <sheetName val="mong ng¨n lé"/>
      <sheetName val="mong"/>
      <sheetName val="tt-35"/>
      <sheetName val="th-tt-35"/>
      <sheetName val="ttcap22"/>
      <sheetName val="cap22"/>
      <sheetName val="KSTK"/>
      <sheetName val="KS(TKKT)"/>
      <sheetName val="KS(BCKT)"/>
      <sheetName val="TH-TB"/>
      <sheetName val="TH-DK"/>
      <sheetName val="th-xd "/>
      <sheetName val="tien luong"/>
      <sheetName val="dt-xd"/>
      <sheetName val="PACS"/>
      <sheetName val="PACS (2)"/>
      <sheetName val="PACS (3)"/>
      <sheetName val="PACS (4)"/>
      <sheetName val="th-110"/>
      <sheetName val="Sheet1"/>
      <sheetName val="Sheet2"/>
      <sheetName val="TNHC"/>
      <sheetName val="XL4Poppy"/>
      <sheetName val="giathanh1"/>
      <sheetName val="CHITIET VL-NC-TT-3p"/>
      <sheetName val="VCV-BE-TONG"/>
      <sheetName val="Tiepdi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gct"/>
      <sheetName val="dtct"/>
      <sheetName val="gvl"/>
      <sheetName val="Sheet10"/>
      <sheetName val="Sheet11"/>
      <sheetName val="Sheet12"/>
      <sheetName val="Sheet13"/>
      <sheetName val="Sheet14"/>
      <sheetName val="Sheet15"/>
      <sheetName val="Sheet16"/>
      <sheetName val="XL4Poppy"/>
      <sheetName val="VCV-BE-TONG"/>
    </sheetNames>
    <sheetDataSet>
      <sheetData sheetId="0"/>
      <sheetData sheetId="1" refreshError="1"/>
      <sheetData sheetId="2">
        <row r="16">
          <cell r="N16">
            <v>759</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6017.320744560187" createdVersion="8" refreshedVersion="8" minRefreshableVersion="3" recordCount="464" xr:uid="{2B1A4E50-9886-4497-8597-0D4EC93480BD}">
  <cacheSource type="worksheet">
    <worksheetSource ref="E4:F468" sheet="TCW"/>
  </cacheSource>
  <cacheFields count="2">
    <cacheField name="ID Welder_x000a_Mã số thợ hàn" numFmtId="0">
      <sharedItems containsBlank="1" count="95">
        <m/>
        <s v="W-0165"/>
        <s v="W-251225"/>
        <s v="W-0177"/>
        <s v="W-021"/>
        <s v="W-023"/>
        <s v="W-024"/>
        <s v="W-0288"/>
        <s v="W-031"/>
        <s v="W-032"/>
        <s v="W-0332"/>
        <s v="W-0428"/>
        <s v="W-0440"/>
        <s v="W-0556"/>
        <s v="W-0714"/>
        <s v="W-0811"/>
        <s v="W-0959"/>
        <s v="W-096"/>
        <s v="W-0984"/>
        <s v="W-1020"/>
        <s v="W-1026"/>
        <s v="W-1027"/>
        <s v="W-1042"/>
        <s v="W-10428"/>
        <s v="W-1144"/>
        <s v="W-1753"/>
        <s v="W-209"/>
        <s v="W-2111"/>
        <s v="W-2786"/>
        <s v="W-3055"/>
        <s v="W-321"/>
        <s v="W-3276"/>
        <s v="W-3418"/>
        <s v="W-3515"/>
        <s v="W-3594"/>
        <s v="W-3604"/>
        <s v="W-3712"/>
        <s v="W-4063"/>
        <s v="W-4233"/>
        <s v="W-4303"/>
        <s v="W-4537"/>
        <s v="W-4905"/>
        <s v="W-5151"/>
        <s v="W-5345"/>
        <s v="W-5465"/>
        <s v="W-577"/>
        <s v="W-5955"/>
        <s v="W-6033"/>
        <s v="W-6106"/>
        <s v="W-611"/>
        <s v="W-6222"/>
        <s v="W-6225"/>
        <s v="W-646"/>
        <s v="W-662"/>
        <s v="W-6867"/>
        <s v="W-706"/>
        <s v="W-7164"/>
        <s v="W-746"/>
        <s v="W-7534"/>
        <s v="W-7738"/>
        <s v="W-780"/>
        <s v="W-781"/>
        <s v="W-782"/>
        <s v="W-801"/>
        <s v="W-816"/>
        <s v="W-8185"/>
        <s v="W-8356"/>
        <s v="W-841"/>
        <s v="W-842"/>
        <s v="W-844"/>
        <s v="W-865"/>
        <s v="W-884"/>
        <s v="W-8855"/>
        <s v="W-886"/>
        <s v="W-888"/>
        <s v="W-8888"/>
        <s v="W-889"/>
        <s v="W-8899"/>
        <s v="W-9001"/>
        <s v="W-9007"/>
        <s v="W-9012"/>
        <s v="W-935"/>
        <s v="W-943"/>
        <s v="W-9479"/>
        <s v="W-981"/>
        <s v="W-982"/>
        <s v="W-992"/>
        <s v="W-U001"/>
        <s v="W-U002"/>
        <s v="W-U003"/>
        <s v="W-U004"/>
        <s v="W-U005"/>
        <s v="W-U006"/>
        <s v="W-U007"/>
        <s v="W-U008"/>
      </sharedItems>
    </cacheField>
    <cacheField name="Welder name_x000a_Họ tên thợ hà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4">
  <r>
    <x v="0"/>
    <m/>
  </r>
  <r>
    <x v="0"/>
    <m/>
  </r>
  <r>
    <x v="1"/>
    <s v="Nguyen Bien ca"/>
  </r>
  <r>
    <x v="2"/>
    <s v="Huu"/>
  </r>
  <r>
    <x v="1"/>
    <s v="Nguyen Bien ca"/>
  </r>
  <r>
    <x v="3"/>
    <s v="Bui Dinh Hung"/>
  </r>
  <r>
    <x v="4"/>
    <s v="Le Van San"/>
  </r>
  <r>
    <x v="4"/>
    <s v="Le Van San"/>
  </r>
  <r>
    <x v="4"/>
    <s v="Le Van San"/>
  </r>
  <r>
    <x v="4"/>
    <s v="Le Van San"/>
  </r>
  <r>
    <x v="4"/>
    <s v="Le Van San"/>
  </r>
  <r>
    <x v="4"/>
    <s v="Le Van San"/>
  </r>
  <r>
    <x v="4"/>
    <s v="Le Van San"/>
  </r>
  <r>
    <x v="4"/>
    <s v="Le Van San"/>
  </r>
  <r>
    <x v="4"/>
    <s v="Le Van San"/>
  </r>
  <r>
    <x v="4"/>
    <s v="Le Van San"/>
  </r>
  <r>
    <x v="4"/>
    <s v="Le Van San"/>
  </r>
  <r>
    <x v="4"/>
    <s v="Le Van San"/>
  </r>
  <r>
    <x v="4"/>
    <s v="Le Van San"/>
  </r>
  <r>
    <x v="4"/>
    <s v="Le Van San"/>
  </r>
  <r>
    <x v="4"/>
    <s v="Le Van San"/>
  </r>
  <r>
    <x v="4"/>
    <s v="Le Van San"/>
  </r>
  <r>
    <x v="4"/>
    <s v="Le Van San"/>
  </r>
  <r>
    <x v="4"/>
    <s v="Le Van San"/>
  </r>
  <r>
    <x v="4"/>
    <s v="Le Van San"/>
  </r>
  <r>
    <x v="5"/>
    <s v="Ngo Van Trang"/>
  </r>
  <r>
    <x v="5"/>
    <s v="Ngo Van Trang"/>
  </r>
  <r>
    <x v="5"/>
    <s v="Ngo Van Trang"/>
  </r>
  <r>
    <x v="5"/>
    <s v="Ngo Van Trang"/>
  </r>
  <r>
    <x v="6"/>
    <s v="Le Quy Thuan"/>
  </r>
  <r>
    <x v="6"/>
    <s v="Le Quy Thuan"/>
  </r>
  <r>
    <x v="6"/>
    <s v="Le Quy Thuan"/>
  </r>
  <r>
    <x v="6"/>
    <s v="Le Quy Thuan"/>
  </r>
  <r>
    <x v="6"/>
    <s v="Le Quy Thuan"/>
  </r>
  <r>
    <x v="6"/>
    <s v="Le Quy Thuan"/>
  </r>
  <r>
    <x v="6"/>
    <s v="Le Quy Thuan"/>
  </r>
  <r>
    <x v="6"/>
    <s v="Le Quy Thuan"/>
  </r>
  <r>
    <x v="7"/>
    <s v="Pham Van Dinh"/>
  </r>
  <r>
    <x v="7"/>
    <s v="Pham Van Dinh"/>
  </r>
  <r>
    <x v="8"/>
    <s v="Nguyen Dinh Quang"/>
  </r>
  <r>
    <x v="8"/>
    <s v="Nguyen Dinh Quang"/>
  </r>
  <r>
    <x v="8"/>
    <s v="Nguyen Dinh Quang"/>
  </r>
  <r>
    <x v="8"/>
    <s v="Nguyen Dinh Quang"/>
  </r>
  <r>
    <x v="8"/>
    <s v="Nguyen Dinh Quang"/>
  </r>
  <r>
    <x v="8"/>
    <s v="Nguyen Dinh Quang"/>
  </r>
  <r>
    <x v="8"/>
    <s v="Nguyen Dinh Quang"/>
  </r>
  <r>
    <x v="8"/>
    <s v="Nguyen Dinh Quang"/>
  </r>
  <r>
    <x v="8"/>
    <s v="Nguyen Dinh Quang"/>
  </r>
  <r>
    <x v="9"/>
    <s v="Tieu Quang Huy"/>
  </r>
  <r>
    <x v="9"/>
    <s v="Tieu Quang Huy"/>
  </r>
  <r>
    <x v="9"/>
    <s v="Tieu Quang Huy"/>
  </r>
  <r>
    <x v="9"/>
    <s v="Tieu Quang Huy"/>
  </r>
  <r>
    <x v="9"/>
    <s v="Tieu Quang Huy"/>
  </r>
  <r>
    <x v="9"/>
    <s v="Tieu Quang Huy"/>
  </r>
  <r>
    <x v="9"/>
    <s v="Tieu Quang Huy"/>
  </r>
  <r>
    <x v="9"/>
    <s v="Tieu Quang Huy"/>
  </r>
  <r>
    <x v="9"/>
    <s v="Tieu Quang Huy"/>
  </r>
  <r>
    <x v="9"/>
    <s v="Tieu Quang Huy"/>
  </r>
  <r>
    <x v="9"/>
    <s v="Tieu Quang Huy"/>
  </r>
  <r>
    <x v="9"/>
    <s v="Tieu Quang Huy"/>
  </r>
  <r>
    <x v="9"/>
    <s v="Tieu Quang Huy"/>
  </r>
  <r>
    <x v="9"/>
    <s v="Tieu Quang Huy"/>
  </r>
  <r>
    <x v="9"/>
    <s v="Tieu Quang Huy"/>
  </r>
  <r>
    <x v="9"/>
    <s v="Tieu Quang Huy"/>
  </r>
  <r>
    <x v="9"/>
    <s v="Tieu Quang Huy"/>
  </r>
  <r>
    <x v="10"/>
    <s v="Le Dac Dung"/>
  </r>
  <r>
    <x v="11"/>
    <s v="Vu Van Minh"/>
  </r>
  <r>
    <x v="11"/>
    <s v="Vu Van Minh"/>
  </r>
  <r>
    <x v="12"/>
    <s v="Nguyen Van An"/>
  </r>
  <r>
    <x v="12"/>
    <s v="Nguyen Van An"/>
  </r>
  <r>
    <x v="12"/>
    <s v="Nguyen Van An"/>
  </r>
  <r>
    <x v="12"/>
    <s v="Nguyen Van An"/>
  </r>
  <r>
    <x v="13"/>
    <s v="Nguyen Van Huong"/>
  </r>
  <r>
    <x v="14"/>
    <s v="Nguyen Van Tho"/>
  </r>
  <r>
    <x v="15"/>
    <s v="Le Van Huyen"/>
  </r>
  <r>
    <x v="15"/>
    <s v="Le Van Huyen"/>
  </r>
  <r>
    <x v="16"/>
    <s v="Nguyen Ba Viet"/>
  </r>
  <r>
    <x v="17"/>
    <s v="Nguyen Van Diep"/>
  </r>
  <r>
    <x v="17"/>
    <s v="Nguyen Van Diep"/>
  </r>
  <r>
    <x v="17"/>
    <s v="Nguyen Van Diep"/>
  </r>
  <r>
    <x v="17"/>
    <s v="Nguyen Van Diep"/>
  </r>
  <r>
    <x v="17"/>
    <s v="Nguyen Van Diep"/>
  </r>
  <r>
    <x v="17"/>
    <s v="Nguyen Van Diep"/>
  </r>
  <r>
    <x v="17"/>
    <s v="Nguyen Van Diep"/>
  </r>
  <r>
    <x v="17"/>
    <s v="Nguyen Van Diep"/>
  </r>
  <r>
    <x v="17"/>
    <s v="Nguyen Van Diep"/>
  </r>
  <r>
    <x v="17"/>
    <s v="Nguyen Van Diep"/>
  </r>
  <r>
    <x v="17"/>
    <s v="Nguyen Van Diep"/>
  </r>
  <r>
    <x v="17"/>
    <s v="Nguyen Van Diep"/>
  </r>
  <r>
    <x v="17"/>
    <s v="Nguyen Van Diep"/>
  </r>
  <r>
    <x v="17"/>
    <s v="Nguyen Van Diep"/>
  </r>
  <r>
    <x v="17"/>
    <s v="Nguyen Van Diep"/>
  </r>
  <r>
    <x v="17"/>
    <s v="Nguyen Van Diep"/>
  </r>
  <r>
    <x v="17"/>
    <s v="Nguyen Van Diep"/>
  </r>
  <r>
    <x v="17"/>
    <s v="Nguyen Van Diep"/>
  </r>
  <r>
    <x v="17"/>
    <s v="Nguyen Van Diep"/>
  </r>
  <r>
    <x v="17"/>
    <s v="Nguyen Van Diep"/>
  </r>
  <r>
    <x v="17"/>
    <s v="Nguyen Van Diep"/>
  </r>
  <r>
    <x v="17"/>
    <s v="Nguyen Van Diep"/>
  </r>
  <r>
    <x v="17"/>
    <s v="Nguyen Van Diep"/>
  </r>
  <r>
    <x v="18"/>
    <s v="Le Huu Tung"/>
  </r>
  <r>
    <x v="19"/>
    <s v="Nguyen Manh Khuong"/>
  </r>
  <r>
    <x v="19"/>
    <s v="Nguyen Manh Khuong"/>
  </r>
  <r>
    <x v="20"/>
    <s v="Duong Tien Dung"/>
  </r>
  <r>
    <x v="20"/>
    <s v="Duong Tien Dung"/>
  </r>
  <r>
    <x v="21"/>
    <s v="Doan Van Bien"/>
  </r>
  <r>
    <x v="22"/>
    <s v="Tu Ngoc Phan"/>
  </r>
  <r>
    <x v="22"/>
    <s v="Tu Ngoc Phan"/>
  </r>
  <r>
    <x v="23"/>
    <s v="Bui Dinh Thai"/>
  </r>
  <r>
    <x v="23"/>
    <s v="Bui Dinh Thai"/>
  </r>
  <r>
    <x v="24"/>
    <s v="Vu Van Tam"/>
  </r>
  <r>
    <x v="25"/>
    <s v="Ha Duyen Bac"/>
  </r>
  <r>
    <x v="26"/>
    <s v="Nguyen Hong Hieu"/>
  </r>
  <r>
    <x v="26"/>
    <s v="Nguyen Hong Hieu"/>
  </r>
  <r>
    <x v="26"/>
    <s v="Nguyen Hong Hieu"/>
  </r>
  <r>
    <x v="27"/>
    <s v="Hoang Van Hien"/>
  </r>
  <r>
    <x v="27"/>
    <s v="Hoang Van Hien"/>
  </r>
  <r>
    <x v="27"/>
    <s v="Hoang Van Hien"/>
  </r>
  <r>
    <x v="28"/>
    <s v="Hoang Van Hung"/>
  </r>
  <r>
    <x v="29"/>
    <s v="Bui Phat Trieu"/>
  </r>
  <r>
    <x v="29"/>
    <s v="Bui Phat Trieu"/>
  </r>
  <r>
    <x v="29"/>
    <s v="Bui Phat Trieu"/>
  </r>
  <r>
    <x v="29"/>
    <s v="Bui Phat Trieu"/>
  </r>
  <r>
    <x v="30"/>
    <s v="Ngo Tien Manh"/>
  </r>
  <r>
    <x v="30"/>
    <s v="Ngo Tien Manh"/>
  </r>
  <r>
    <x v="30"/>
    <s v="Ngo Tien Manh"/>
  </r>
  <r>
    <x v="30"/>
    <s v="Ngo Tien Manh"/>
  </r>
  <r>
    <x v="30"/>
    <s v="Ngo Tien Manh"/>
  </r>
  <r>
    <x v="30"/>
    <s v="Ngo Tien Manh"/>
  </r>
  <r>
    <x v="30"/>
    <s v="Ngo Tien Manh"/>
  </r>
  <r>
    <x v="30"/>
    <s v="Ngo Tien Manh"/>
  </r>
  <r>
    <x v="30"/>
    <s v="Ngo Tien Manh"/>
  </r>
  <r>
    <x v="30"/>
    <s v="Ngo Tien Manh"/>
  </r>
  <r>
    <x v="30"/>
    <s v="Ngo Tien Manh"/>
  </r>
  <r>
    <x v="30"/>
    <s v="Ngo Tien Manh"/>
  </r>
  <r>
    <x v="30"/>
    <s v="Ngo Tien Manh"/>
  </r>
  <r>
    <x v="30"/>
    <s v="Ngo Tien Manh"/>
  </r>
  <r>
    <x v="30"/>
    <s v="Ngo Tien Manh"/>
  </r>
  <r>
    <x v="30"/>
    <s v="Ngo Tien Manh"/>
  </r>
  <r>
    <x v="30"/>
    <s v="Ngo Tien Manh"/>
  </r>
  <r>
    <x v="30"/>
    <s v="Ngo Tien Manh"/>
  </r>
  <r>
    <x v="30"/>
    <s v="Ngo Tien Manh"/>
  </r>
  <r>
    <x v="30"/>
    <s v="Ngo Tien Manh"/>
  </r>
  <r>
    <x v="30"/>
    <s v="Ngo Tien Manh"/>
  </r>
  <r>
    <x v="30"/>
    <s v="Ngo Tien Manh"/>
  </r>
  <r>
    <x v="30"/>
    <s v="Ngo Tien Manh"/>
  </r>
  <r>
    <x v="31"/>
    <s v="Bui Huy Hien"/>
  </r>
  <r>
    <x v="31"/>
    <s v="Bui Huy Hien"/>
  </r>
  <r>
    <x v="31"/>
    <s v="Bui Huy Hien"/>
  </r>
  <r>
    <x v="31"/>
    <s v="Bui Huy Hien"/>
  </r>
  <r>
    <x v="32"/>
    <s v="Nguyen Thanh Doan"/>
  </r>
  <r>
    <x v="33"/>
    <s v="Bui Thanh Chuong"/>
  </r>
  <r>
    <x v="34"/>
    <s v="Nguyen Huu Toan"/>
  </r>
  <r>
    <x v="34"/>
    <s v="Nguyen Huu Toan"/>
  </r>
  <r>
    <x v="35"/>
    <s v="Ngo Van Quyet"/>
  </r>
  <r>
    <x v="36"/>
    <s v="Le Van Tho"/>
  </r>
  <r>
    <x v="37"/>
    <s v="Do Van Vuong"/>
  </r>
  <r>
    <x v="37"/>
    <s v="Do Van Vuong"/>
  </r>
  <r>
    <x v="38"/>
    <s v="Dinh Xuan Linh"/>
  </r>
  <r>
    <x v="39"/>
    <s v="Nguyen Tuan Manh"/>
  </r>
  <r>
    <x v="39"/>
    <s v="Nguyen Tuan Manh"/>
  </r>
  <r>
    <x v="40"/>
    <s v="Pham Van Chinh"/>
  </r>
  <r>
    <x v="40"/>
    <s v="Pham Van Chinh"/>
  </r>
  <r>
    <x v="40"/>
    <s v="Pham Van Chinh"/>
  </r>
  <r>
    <x v="41"/>
    <s v="Hoang Cong Nam"/>
  </r>
  <r>
    <x v="42"/>
    <s v="Nguyen Van Binh"/>
  </r>
  <r>
    <x v="43"/>
    <s v="Nguyen Van Sinh"/>
  </r>
  <r>
    <x v="44"/>
    <s v="Nguyen Van Son"/>
  </r>
  <r>
    <x v="45"/>
    <s v="Nguyen Van Hiep"/>
  </r>
  <r>
    <x v="45"/>
    <s v="Nguyen Van Hiep"/>
  </r>
  <r>
    <x v="45"/>
    <s v="Nguyen Van Hiep"/>
  </r>
  <r>
    <x v="45"/>
    <s v="Nguyen Van Hiep"/>
  </r>
  <r>
    <x v="46"/>
    <s v="Bui Van Thanh"/>
  </r>
  <r>
    <x v="47"/>
    <s v="Nguyen Huu Manh"/>
  </r>
  <r>
    <x v="47"/>
    <s v="Nguyen Huu Manh"/>
  </r>
  <r>
    <x v="48"/>
    <s v="Nguyen Xuan Quang"/>
  </r>
  <r>
    <x v="48"/>
    <s v="Nguyen Xuan Quang"/>
  </r>
  <r>
    <x v="49"/>
    <s v="Hoang Van Ha"/>
  </r>
  <r>
    <x v="49"/>
    <s v="Hoang Van Ha"/>
  </r>
  <r>
    <x v="49"/>
    <s v="Hoang Van Ha"/>
  </r>
  <r>
    <x v="49"/>
    <s v="Hoang Van Ha"/>
  </r>
  <r>
    <x v="49"/>
    <s v="Hoang Van Ha"/>
  </r>
  <r>
    <x v="49"/>
    <s v="Hoang Van Ha"/>
  </r>
  <r>
    <x v="49"/>
    <s v="Hoang Van Ha"/>
  </r>
  <r>
    <x v="49"/>
    <s v="Hoang Van Ha"/>
  </r>
  <r>
    <x v="49"/>
    <s v="Hoang Van Ha"/>
  </r>
  <r>
    <x v="49"/>
    <s v="Hoang Van Ha"/>
  </r>
  <r>
    <x v="49"/>
    <s v="Hoang Van Ha"/>
  </r>
  <r>
    <x v="49"/>
    <s v="Hoang Van Ha"/>
  </r>
  <r>
    <x v="49"/>
    <s v="Hoang Van Ha"/>
  </r>
  <r>
    <x v="49"/>
    <s v="Hoang Van Ha"/>
  </r>
  <r>
    <x v="49"/>
    <s v="Hoang Van Ha"/>
  </r>
  <r>
    <x v="49"/>
    <s v="Hoang Van Ha"/>
  </r>
  <r>
    <x v="49"/>
    <s v="Hoang Van Ha"/>
  </r>
  <r>
    <x v="50"/>
    <s v="Nguyen Van Viet"/>
  </r>
  <r>
    <x v="51"/>
    <s v="Nguyen Duc Thuan"/>
  </r>
  <r>
    <x v="52"/>
    <s v="Nguyen Dinh Hoang"/>
  </r>
  <r>
    <x v="52"/>
    <s v="Nguyen Dinh Hoang"/>
  </r>
  <r>
    <x v="52"/>
    <s v="Nguyen Dinh Hoang"/>
  </r>
  <r>
    <x v="52"/>
    <s v="Nguyen Dinh Hoang"/>
  </r>
  <r>
    <x v="52"/>
    <s v="Nguyen Dinh Hoang"/>
  </r>
  <r>
    <x v="52"/>
    <s v="Nguyen Dinh Hoang"/>
  </r>
  <r>
    <x v="52"/>
    <s v="Nguyen Dinh Hoang"/>
  </r>
  <r>
    <x v="52"/>
    <s v="Nguyen Dinh Hoang"/>
  </r>
  <r>
    <x v="52"/>
    <s v="Nguyen Dinh Hoang"/>
  </r>
  <r>
    <x v="52"/>
    <s v="Nguyen Dinh Hoang"/>
  </r>
  <r>
    <x v="53"/>
    <s v="Tran Duc Van"/>
  </r>
  <r>
    <x v="53"/>
    <s v="Tran Duc Van"/>
  </r>
  <r>
    <x v="53"/>
    <s v="Tran Duc Van"/>
  </r>
  <r>
    <x v="53"/>
    <s v="Tran Duc Van"/>
  </r>
  <r>
    <x v="53"/>
    <s v="Tran Duc Van"/>
  </r>
  <r>
    <x v="53"/>
    <s v="Tran Duc Van"/>
  </r>
  <r>
    <x v="53"/>
    <s v="Tran Duc Van"/>
  </r>
  <r>
    <x v="53"/>
    <s v="Tran Duc Van"/>
  </r>
  <r>
    <x v="53"/>
    <s v="Tran Duc Van"/>
  </r>
  <r>
    <x v="53"/>
    <s v="Tran Duc Van"/>
  </r>
  <r>
    <x v="53"/>
    <s v="Tran Duc Van"/>
  </r>
  <r>
    <x v="53"/>
    <s v="Tran Duc Van"/>
  </r>
  <r>
    <x v="53"/>
    <s v="Tran Duc Van"/>
  </r>
  <r>
    <x v="53"/>
    <s v="Tran Duc Van"/>
  </r>
  <r>
    <x v="53"/>
    <s v="Tran Duc Van"/>
  </r>
  <r>
    <x v="53"/>
    <s v="Tran Duc Van"/>
  </r>
  <r>
    <x v="54"/>
    <s v="Nguyen Xuan Tu"/>
  </r>
  <r>
    <x v="55"/>
    <s v="Ngo Van Tung"/>
  </r>
  <r>
    <x v="55"/>
    <s v="Ngo Van Tung"/>
  </r>
  <r>
    <x v="55"/>
    <s v="Ngo Van Tung"/>
  </r>
  <r>
    <x v="55"/>
    <s v="Ngo Van Tung"/>
  </r>
  <r>
    <x v="55"/>
    <s v="Ngo Van Tung"/>
  </r>
  <r>
    <x v="55"/>
    <s v="Ngo Van Tung"/>
  </r>
  <r>
    <x v="55"/>
    <s v="Ngo Van Tung"/>
  </r>
  <r>
    <x v="55"/>
    <s v="Ngo Van Tung"/>
  </r>
  <r>
    <x v="55"/>
    <s v="Ngo Van Tung"/>
  </r>
  <r>
    <x v="55"/>
    <s v="Ngo Van Tung"/>
  </r>
  <r>
    <x v="55"/>
    <s v="Ngo Van Tung"/>
  </r>
  <r>
    <x v="55"/>
    <s v="Ngo Van Tung"/>
  </r>
  <r>
    <x v="55"/>
    <s v="Ngo Van Tung"/>
  </r>
  <r>
    <x v="55"/>
    <s v="Ngo Van Tung"/>
  </r>
  <r>
    <x v="55"/>
    <s v="Ngo Van Tung"/>
  </r>
  <r>
    <x v="55"/>
    <s v="Ngo Van Tung"/>
  </r>
  <r>
    <x v="55"/>
    <s v="Ngo Van Tung"/>
  </r>
  <r>
    <x v="55"/>
    <s v="Ngo Van Tung"/>
  </r>
  <r>
    <x v="55"/>
    <s v="Ngo Van Tung"/>
  </r>
  <r>
    <x v="55"/>
    <s v="Ngo Van Tung"/>
  </r>
  <r>
    <x v="55"/>
    <s v="Ngo Van Tung"/>
  </r>
  <r>
    <x v="55"/>
    <s v="Ngo Van Tung"/>
  </r>
  <r>
    <x v="55"/>
    <s v="Ngo Van Tung"/>
  </r>
  <r>
    <x v="55"/>
    <s v="Ngo Van Tung"/>
  </r>
  <r>
    <x v="56"/>
    <s v="Ngo Van Thien"/>
  </r>
  <r>
    <x v="57"/>
    <s v="Vu Van Do"/>
  </r>
  <r>
    <x v="57"/>
    <s v="Vu Van Do"/>
  </r>
  <r>
    <x v="57"/>
    <s v="Vu Van Do"/>
  </r>
  <r>
    <x v="57"/>
    <s v="Vu Van Do"/>
  </r>
  <r>
    <x v="57"/>
    <s v="Vu Van Do"/>
  </r>
  <r>
    <x v="57"/>
    <s v="Vu Van Do"/>
  </r>
  <r>
    <x v="57"/>
    <s v="Vu Van Do"/>
  </r>
  <r>
    <x v="57"/>
    <s v="Vu Van Do"/>
  </r>
  <r>
    <x v="57"/>
    <s v="Vu Van Do"/>
  </r>
  <r>
    <x v="57"/>
    <s v="Vu Van Do"/>
  </r>
  <r>
    <x v="58"/>
    <s v="Ca Van Thuy"/>
  </r>
  <r>
    <x v="58"/>
    <s v="Ca Van Thuy"/>
  </r>
  <r>
    <x v="58"/>
    <s v="Ca Van Thuy"/>
  </r>
  <r>
    <x v="58"/>
    <s v="Ca Van Thuy"/>
  </r>
  <r>
    <x v="59"/>
    <s v="Nguyen Van Bac"/>
  </r>
  <r>
    <x v="60"/>
    <s v="Duong Van Trung"/>
  </r>
  <r>
    <x v="60"/>
    <s v="Duong Van Trung"/>
  </r>
  <r>
    <x v="60"/>
    <s v="Duong Van Trung"/>
  </r>
  <r>
    <x v="60"/>
    <s v="Duong Van Trung"/>
  </r>
  <r>
    <x v="60"/>
    <s v="Duong Van Trung"/>
  </r>
  <r>
    <x v="60"/>
    <s v="Duong Van Trung"/>
  </r>
  <r>
    <x v="60"/>
    <s v="Duong Van Trung"/>
  </r>
  <r>
    <x v="60"/>
    <s v="Duong Van Trung"/>
  </r>
  <r>
    <x v="60"/>
    <s v="Duong Van Trung"/>
  </r>
  <r>
    <x v="60"/>
    <s v="Duong Van Trung"/>
  </r>
  <r>
    <x v="60"/>
    <s v="Duong Van Trung"/>
  </r>
  <r>
    <x v="60"/>
    <s v="Duong Van Trung"/>
  </r>
  <r>
    <x v="60"/>
    <s v="Duong Van Trung"/>
  </r>
  <r>
    <x v="60"/>
    <s v="Duong Van Trung"/>
  </r>
  <r>
    <x v="60"/>
    <s v="Duong Van Trung"/>
  </r>
  <r>
    <x v="60"/>
    <s v="Duong Van Trung"/>
  </r>
  <r>
    <x v="61"/>
    <s v="Do Van Trung"/>
  </r>
  <r>
    <x v="61"/>
    <s v="Do Van Trung"/>
  </r>
  <r>
    <x v="61"/>
    <s v="Do Van Trung"/>
  </r>
  <r>
    <x v="61"/>
    <s v="Do Van Trung"/>
  </r>
  <r>
    <x v="61"/>
    <s v="Do Van Trung"/>
  </r>
  <r>
    <x v="61"/>
    <s v="Do Van Trung"/>
  </r>
  <r>
    <x v="61"/>
    <s v="Do Van Trung"/>
  </r>
  <r>
    <x v="61"/>
    <s v="Do Van Trung"/>
  </r>
  <r>
    <x v="61"/>
    <s v="Do Van Trung"/>
  </r>
  <r>
    <x v="62"/>
    <s v="Pham The Anh"/>
  </r>
  <r>
    <x v="62"/>
    <s v="Pham The Anh"/>
  </r>
  <r>
    <x v="62"/>
    <s v="Pham The Anh"/>
  </r>
  <r>
    <x v="62"/>
    <s v="Pham The Anh"/>
  </r>
  <r>
    <x v="62"/>
    <s v="Pham The Anh"/>
  </r>
  <r>
    <x v="62"/>
    <s v="Pham The Anh"/>
  </r>
  <r>
    <x v="62"/>
    <s v="Pham The Anh"/>
  </r>
  <r>
    <x v="62"/>
    <s v="Pham The Anh"/>
  </r>
  <r>
    <x v="62"/>
    <s v="Pham The Anh"/>
  </r>
  <r>
    <x v="62"/>
    <s v="Pham The Anh"/>
  </r>
  <r>
    <x v="62"/>
    <s v="Pham The Anh"/>
  </r>
  <r>
    <x v="63"/>
    <s v="Nguyen Trong Tan"/>
  </r>
  <r>
    <x v="63"/>
    <s v="Nguyen Trong Tan"/>
  </r>
  <r>
    <x v="63"/>
    <s v="Nguyen Trong Tan"/>
  </r>
  <r>
    <x v="63"/>
    <s v="Nguyen Trong Tan"/>
  </r>
  <r>
    <x v="63"/>
    <s v="Nguyen Trong Tan"/>
  </r>
  <r>
    <x v="63"/>
    <s v="Nguyen Trong Tan"/>
  </r>
  <r>
    <x v="63"/>
    <s v="Nguyen Trong Tan"/>
  </r>
  <r>
    <x v="63"/>
    <s v="Nguyen Trong Tan"/>
  </r>
  <r>
    <x v="63"/>
    <s v="Nguyen Trong Tan"/>
  </r>
  <r>
    <x v="63"/>
    <s v="Nguyen Trong Tan"/>
  </r>
  <r>
    <x v="63"/>
    <s v="Nguyen Trong Tan"/>
  </r>
  <r>
    <x v="63"/>
    <s v="Nguyen Trong Tan"/>
  </r>
  <r>
    <x v="63"/>
    <s v="Nguyen Trong Tan"/>
  </r>
  <r>
    <x v="63"/>
    <s v="Nguyen Trong Tan"/>
  </r>
  <r>
    <x v="63"/>
    <s v="Nguyen Trong Tan"/>
  </r>
  <r>
    <x v="63"/>
    <s v="Nguyen Trong Tan"/>
  </r>
  <r>
    <x v="63"/>
    <s v="Nguyen Trong Tan"/>
  </r>
  <r>
    <x v="63"/>
    <s v="Nguyen Trong Tan"/>
  </r>
  <r>
    <x v="64"/>
    <s v="Dinh Cong Trang"/>
  </r>
  <r>
    <x v="64"/>
    <s v="Dinh Cong Trang"/>
  </r>
  <r>
    <x v="64"/>
    <s v="Dinh Cong Trang"/>
  </r>
  <r>
    <x v="64"/>
    <s v="Dinh Cong Trang"/>
  </r>
  <r>
    <x v="64"/>
    <s v="Dinh Cong Trang"/>
  </r>
  <r>
    <x v="64"/>
    <s v="Dinh Cong Trang"/>
  </r>
  <r>
    <x v="64"/>
    <s v="Dinh Cong Trang"/>
  </r>
  <r>
    <x v="64"/>
    <s v="Dinh Cong Trang"/>
  </r>
  <r>
    <x v="64"/>
    <s v="Dinh Cong Trang"/>
  </r>
  <r>
    <x v="64"/>
    <s v="Dinh Cong Trang"/>
  </r>
  <r>
    <x v="64"/>
    <s v="Dinh Cong Trang"/>
  </r>
  <r>
    <x v="64"/>
    <s v="Dinh Cong Trang"/>
  </r>
  <r>
    <x v="64"/>
    <s v="Dinh Cong Trang"/>
  </r>
  <r>
    <x v="64"/>
    <s v="Dinh Cong Trang"/>
  </r>
  <r>
    <x v="65"/>
    <s v="Dao Van Trung"/>
  </r>
  <r>
    <x v="65"/>
    <s v="Dao Van Trung"/>
  </r>
  <r>
    <x v="65"/>
    <s v="Dao Van Trung"/>
  </r>
  <r>
    <x v="66"/>
    <s v="Nguyen Van Linh"/>
  </r>
  <r>
    <x v="67"/>
    <s v="Doan Trung Hieu"/>
  </r>
  <r>
    <x v="67"/>
    <s v="Doan Trung Hieu"/>
  </r>
  <r>
    <x v="67"/>
    <s v="Doan Trung Hieu"/>
  </r>
  <r>
    <x v="67"/>
    <s v="Doan Trung Hieu"/>
  </r>
  <r>
    <x v="67"/>
    <s v="Doan Trung Hieu"/>
  </r>
  <r>
    <x v="67"/>
    <s v="Doan Trung Hieu"/>
  </r>
  <r>
    <x v="67"/>
    <s v="Doan Trung Hieu"/>
  </r>
  <r>
    <x v="67"/>
    <s v="Doan Trung Hieu"/>
  </r>
  <r>
    <x v="68"/>
    <s v="Dinh Van Khang"/>
  </r>
  <r>
    <x v="68"/>
    <s v="Dinh Van Khang"/>
  </r>
  <r>
    <x v="68"/>
    <s v="Dinh Van Khang"/>
  </r>
  <r>
    <x v="68"/>
    <s v="Dinh Van Khang"/>
  </r>
  <r>
    <x v="68"/>
    <s v="Dinh Van Khang"/>
  </r>
  <r>
    <x v="68"/>
    <s v="Dinh Van Khang"/>
  </r>
  <r>
    <x v="68"/>
    <s v="Dinh Van Khang"/>
  </r>
  <r>
    <x v="68"/>
    <s v="Dinh Van Khang"/>
  </r>
  <r>
    <x v="68"/>
    <s v="Dinh Van Khang"/>
  </r>
  <r>
    <x v="68"/>
    <s v="Dinh Van Khang"/>
  </r>
  <r>
    <x v="69"/>
    <s v="Nguyen Van Chan"/>
  </r>
  <r>
    <x v="69"/>
    <s v="Nguyen Van Chan"/>
  </r>
  <r>
    <x v="69"/>
    <s v="Nguyen Van Chan"/>
  </r>
  <r>
    <x v="69"/>
    <s v="Nguyen Van Chan"/>
  </r>
  <r>
    <x v="69"/>
    <s v="Nguyen Van Chan"/>
  </r>
  <r>
    <x v="69"/>
    <s v="Nguyen Van Chan"/>
  </r>
  <r>
    <x v="69"/>
    <s v="Nguyen Van Chan"/>
  </r>
  <r>
    <x v="69"/>
    <s v="Nguyen Van Chan"/>
  </r>
  <r>
    <x v="69"/>
    <s v="Nguyen Van Chan"/>
  </r>
  <r>
    <x v="69"/>
    <s v="Nguyen Van Chan"/>
  </r>
  <r>
    <x v="69"/>
    <s v="Nguyen Van Chan"/>
  </r>
  <r>
    <x v="69"/>
    <s v="Nguyen Van Chan"/>
  </r>
  <r>
    <x v="69"/>
    <s v="Nguyen Van Chan"/>
  </r>
  <r>
    <x v="69"/>
    <s v="Nguyen Van Chan"/>
  </r>
  <r>
    <x v="70"/>
    <s v="Phan Hung Sang"/>
  </r>
  <r>
    <x v="70"/>
    <s v="Phan Hung Sang"/>
  </r>
  <r>
    <x v="70"/>
    <s v="Phan Hung Sang"/>
  </r>
  <r>
    <x v="70"/>
    <s v="Phan Hung Sang"/>
  </r>
  <r>
    <x v="70"/>
    <s v="Phan Hung Sang"/>
  </r>
  <r>
    <x v="70"/>
    <s v="Phan Hung Sang"/>
  </r>
  <r>
    <x v="70"/>
    <s v="Phan Hung Sang"/>
  </r>
  <r>
    <x v="70"/>
    <s v="Phan Hung Sang"/>
  </r>
  <r>
    <x v="70"/>
    <s v="Phan Hung Sang"/>
  </r>
  <r>
    <x v="70"/>
    <s v="Phan Hung Sang"/>
  </r>
  <r>
    <x v="70"/>
    <s v="Phan Hung Sang"/>
  </r>
  <r>
    <x v="70"/>
    <s v="Phan Hung Sang"/>
  </r>
  <r>
    <x v="70"/>
    <s v="Phan Hung Sang"/>
  </r>
  <r>
    <x v="70"/>
    <s v="Phan Hung Sang"/>
  </r>
  <r>
    <x v="70"/>
    <s v="Phan Hung Sang"/>
  </r>
  <r>
    <x v="70"/>
    <s v="Phan Hung Sang"/>
  </r>
  <r>
    <x v="70"/>
    <s v="Phan Hung Sang"/>
  </r>
  <r>
    <x v="70"/>
    <s v="Phan Hung Sang"/>
  </r>
  <r>
    <x v="70"/>
    <s v="Phan Hung Sang"/>
  </r>
  <r>
    <x v="71"/>
    <s v="Vu Thi Thu Hang"/>
  </r>
  <r>
    <x v="71"/>
    <s v="Vu Thi Thu Hang"/>
  </r>
  <r>
    <x v="71"/>
    <s v="Vu Thi Thu Hang"/>
  </r>
  <r>
    <x v="71"/>
    <s v="Vu Thi Thu Hang"/>
  </r>
  <r>
    <x v="71"/>
    <s v="Vu Thi Thu Hang"/>
  </r>
  <r>
    <x v="71"/>
    <s v="Vu Thi Thu Hang"/>
  </r>
  <r>
    <x v="71"/>
    <s v="Vu Thi Thu Hang"/>
  </r>
  <r>
    <x v="71"/>
    <s v="Vu Thi Thu Hang"/>
  </r>
  <r>
    <x v="72"/>
    <s v="Do Tung Giang"/>
  </r>
  <r>
    <x v="73"/>
    <s v="Do Van Hai"/>
  </r>
  <r>
    <x v="74"/>
    <s v="Nguyen Khac Chien"/>
  </r>
  <r>
    <x v="74"/>
    <s v="Nguyen Khac Chien"/>
  </r>
  <r>
    <x v="74"/>
    <s v="Nguyen Khac Chien"/>
  </r>
  <r>
    <x v="74"/>
    <s v="Nguyen Khac Chien"/>
  </r>
  <r>
    <x v="74"/>
    <s v="Nguyen Khac Chien"/>
  </r>
  <r>
    <x v="74"/>
    <s v="Nguyen Khac Chien"/>
  </r>
  <r>
    <x v="75"/>
    <s v="Ha Van Tinh"/>
  </r>
  <r>
    <x v="75"/>
    <s v="Ha Van Tinh"/>
  </r>
  <r>
    <x v="76"/>
    <s v="Dam Van Bang"/>
  </r>
  <r>
    <x v="77"/>
    <s v="Nguyen Xuan Bach"/>
  </r>
  <r>
    <x v="78"/>
    <s v="Nguyen Van Hong"/>
  </r>
  <r>
    <x v="78"/>
    <s v="Nguyen Van Hong"/>
  </r>
  <r>
    <x v="78"/>
    <s v="Nguyen Van Hong"/>
  </r>
  <r>
    <x v="79"/>
    <s v="Nguyen Van Lam"/>
  </r>
  <r>
    <x v="79"/>
    <s v="Nguyen Van Lam"/>
  </r>
  <r>
    <x v="79"/>
    <s v="Nguyen Van Lam"/>
  </r>
  <r>
    <x v="79"/>
    <s v="Nguyen Van Lam"/>
  </r>
  <r>
    <x v="79"/>
    <s v="Nguyen Van Lam"/>
  </r>
  <r>
    <x v="79"/>
    <s v="Nguyen Van Lam"/>
  </r>
  <r>
    <x v="79"/>
    <s v="Nguyen Van Lam"/>
  </r>
  <r>
    <x v="79"/>
    <s v="Nguyen Van Lam"/>
  </r>
  <r>
    <x v="79"/>
    <s v="Nguyen Van Lam"/>
  </r>
  <r>
    <x v="79"/>
    <s v="Nguyen Van Lam"/>
  </r>
  <r>
    <x v="79"/>
    <s v="Nguyen Van Lam"/>
  </r>
  <r>
    <x v="79"/>
    <s v="Nguyen Van Lam"/>
  </r>
  <r>
    <x v="79"/>
    <s v="Nguyen Van Lam"/>
  </r>
  <r>
    <x v="79"/>
    <s v="Nguyen Van Lam"/>
  </r>
  <r>
    <x v="79"/>
    <s v="Nguyen Van Lam"/>
  </r>
  <r>
    <x v="79"/>
    <s v="Nguyen Van Lam"/>
  </r>
  <r>
    <x v="79"/>
    <s v="Nguyen Van Lam"/>
  </r>
  <r>
    <x v="79"/>
    <s v="Nguyen Van Lam"/>
  </r>
  <r>
    <x v="79"/>
    <s v="Nguyen Van Lam"/>
  </r>
  <r>
    <x v="80"/>
    <s v="Do Xuan Vinh"/>
  </r>
  <r>
    <x v="80"/>
    <s v="Do Xuan Vinh"/>
  </r>
  <r>
    <x v="80"/>
    <s v="Do Xuan Vinh"/>
  </r>
  <r>
    <x v="80"/>
    <s v="Do Xuan Vinh"/>
  </r>
  <r>
    <x v="80"/>
    <s v="Do Xuan Vinh"/>
  </r>
  <r>
    <x v="80"/>
    <s v="Do Xuan Vinh"/>
  </r>
  <r>
    <x v="80"/>
    <s v="Do Xuan Vinh"/>
  </r>
  <r>
    <x v="80"/>
    <s v="Do Xuan Vinh"/>
  </r>
  <r>
    <x v="80"/>
    <s v="Do Xuan Vinh"/>
  </r>
  <r>
    <x v="80"/>
    <s v="Do Xuan Vinh"/>
  </r>
  <r>
    <x v="81"/>
    <s v="Vu Anh Duong"/>
  </r>
  <r>
    <x v="81"/>
    <s v="Vu Anh Duong"/>
  </r>
  <r>
    <x v="81"/>
    <s v="Vu Anh Duong"/>
  </r>
  <r>
    <x v="81"/>
    <s v="Vu Anh Duong"/>
  </r>
  <r>
    <x v="81"/>
    <s v="Vu Anh Duong"/>
  </r>
  <r>
    <x v="82"/>
    <s v="Nguyen Khanh Toan"/>
  </r>
  <r>
    <x v="82"/>
    <s v="Nguyen Khanh Toan"/>
  </r>
  <r>
    <x v="83"/>
    <s v="Luong Van Quan"/>
  </r>
  <r>
    <x v="84"/>
    <s v="Vu Tien Manh"/>
  </r>
  <r>
    <x v="85"/>
    <s v="Dong Xuan Hung"/>
  </r>
  <r>
    <x v="85"/>
    <s v="Dong Xuan Hung"/>
  </r>
  <r>
    <x v="85"/>
    <s v="Dong Xuan Hung"/>
  </r>
  <r>
    <x v="85"/>
    <s v="Dong Xuan Hung"/>
  </r>
  <r>
    <x v="86"/>
    <s v="Truong Cong Nhat"/>
  </r>
  <r>
    <x v="86"/>
    <s v="Truong Cong Nhat"/>
  </r>
  <r>
    <x v="86"/>
    <s v="Truong Cong Nhat"/>
  </r>
  <r>
    <x v="87"/>
    <s v="Trinh Van Vy"/>
  </r>
  <r>
    <x v="88"/>
    <s v="Pham Dang Duy"/>
  </r>
  <r>
    <x v="89"/>
    <s v="Dam Quang Thinh"/>
  </r>
  <r>
    <x v="90"/>
    <s v="Bui Thị Hậu"/>
  </r>
  <r>
    <x v="91"/>
    <s v="Nguyen Thi Thanh Thuy"/>
  </r>
  <r>
    <x v="92"/>
    <s v="Nguyen Thanh Hai"/>
  </r>
  <r>
    <x v="93"/>
    <s v="Do Huu Thuan"/>
  </r>
  <r>
    <x v="93"/>
    <s v="Do Huu Thuan"/>
  </r>
  <r>
    <x v="94"/>
    <s v="Vu Ba Tu"/>
  </r>
  <r>
    <x v="94"/>
    <s v="Vu Ba Tu"/>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A24E646-A34E-4C02-9D70-10EFC5297086}" name="PivotTable1"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S7:Y9" firstHeaderRow="2" firstDataRow="2" firstDataCol="1"/>
  <pivotFields count="2">
    <pivotField axis="axisRow" compact="0" outline="0" showAll="0" defaultSubtotal="0">
      <items count="95">
        <item h="1" x="1"/>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0"/>
        <item x="2"/>
      </items>
    </pivotField>
    <pivotField compact="0" outline="0" showAll="0" defaultSubtotal="0"/>
  </pivotFields>
  <rowFields count="1">
    <field x="0"/>
  </rowFields>
  <rowItems count="1">
    <i>
      <x v="94"/>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https://github.com/OSRvn/ID-Welder/blob/main/W-0165.pdf" TargetMode="External"/><Relationship Id="rId2" Type="http://schemas.openxmlformats.org/officeDocument/2006/relationships/hyperlink" Target="https://github.com/OSRvn/ID-Welder/blob/main/W-0165.pdf" TargetMode="External"/><Relationship Id="rId1" Type="http://schemas.openxmlformats.org/officeDocument/2006/relationships/pivotTable" Target="../pivotTables/pivotTable1.xml"/><Relationship Id="rId5" Type="http://schemas.openxmlformats.org/officeDocument/2006/relationships/drawing" Target="../drawings/drawing3.xml"/><Relationship Id="rId4"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EBF9D-FA0D-4FBD-95AC-5B8A829EBB08}">
  <sheetPr codeName="Sheet1"/>
  <dimension ref="A1"/>
  <sheetViews>
    <sheetView showGridLines="0" defaultGridColor="0" view="pageBreakPreview" colorId="0" workbookViewId="0">
      <pane activePane="bottomRight" state="frozenSplit"/>
    </sheetView>
  </sheetViews>
  <sheetFormatPr defaultRowHeight="15"/>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2B9A6-7CCF-4CA6-8BC7-FF00E5808677}">
  <sheetPr codeName="Sheet2" filterMode="1">
    <tabColor rgb="FF00B050"/>
    <pageSetUpPr fitToPage="1"/>
  </sheetPr>
  <dimension ref="A1:AI212"/>
  <sheetViews>
    <sheetView view="pageBreakPreview" zoomScale="85" zoomScaleNormal="85" zoomScaleSheetLayoutView="85" workbookViewId="0">
      <pane ySplit="4" topLeftCell="A113" activePane="bottomLeft" state="frozen"/>
      <selection pane="bottomLeft" activeCell="C99" sqref="C99"/>
    </sheetView>
  </sheetViews>
  <sheetFormatPr defaultColWidth="10.28515625" defaultRowHeight="15.75"/>
  <cols>
    <col min="1" max="1" width="1.85546875" style="169" customWidth="1"/>
    <col min="2" max="2" width="6.28515625" style="169" customWidth="1"/>
    <col min="3" max="3" width="10.5703125" style="207" customWidth="1"/>
    <col min="4" max="4" width="30.7109375" style="208" customWidth="1"/>
    <col min="5" max="5" width="10.5703125" style="208" customWidth="1"/>
    <col min="6" max="6" width="34.140625" style="209" customWidth="1"/>
    <col min="7" max="7" width="18.140625" style="210" customWidth="1"/>
    <col min="8" max="8" width="9.85546875" style="169" customWidth="1"/>
    <col min="9" max="9" width="28.42578125" style="169" customWidth="1"/>
    <col min="10" max="10" width="14" style="169" customWidth="1"/>
    <col min="11" max="11" width="25.5703125" style="210" customWidth="1"/>
    <col min="12" max="12" width="10.140625" style="169" customWidth="1"/>
    <col min="13" max="13" width="11.42578125" style="211" customWidth="1"/>
    <col min="14" max="29" width="5" style="210" customWidth="1"/>
    <col min="30" max="30" width="24" style="169" customWidth="1"/>
    <col min="31" max="31" width="26.7109375" style="169" bestFit="1" customWidth="1"/>
    <col min="32" max="33" width="10.7109375" style="169" customWidth="1"/>
    <col min="34" max="34" width="33" style="169" bestFit="1" customWidth="1"/>
    <col min="35" max="85" width="10.28515625" style="169"/>
    <col min="86" max="86" width="4.140625" style="169" customWidth="1"/>
    <col min="87" max="87" width="5.28515625" style="169" customWidth="1"/>
    <col min="88" max="88" width="29.28515625" style="169" customWidth="1"/>
    <col min="89" max="89" width="16.7109375" style="169" customWidth="1"/>
    <col min="90" max="90" width="8.140625" style="169" customWidth="1"/>
    <col min="91" max="91" width="20.5703125" style="169" customWidth="1"/>
    <col min="92" max="92" width="29.140625" style="169" customWidth="1"/>
    <col min="93" max="94" width="8.42578125" style="169" customWidth="1"/>
    <col min="95" max="95" width="18" style="169" customWidth="1"/>
    <col min="96" max="96" width="19.85546875" style="169" customWidth="1"/>
    <col min="97" max="97" width="19" style="169" bestFit="1" customWidth="1"/>
    <col min="98" max="98" width="13.7109375" style="169" customWidth="1"/>
    <col min="99" max="16384" width="10.28515625" style="169"/>
  </cols>
  <sheetData>
    <row r="1" spans="1:35" ht="15" customHeight="1">
      <c r="N1" s="211"/>
      <c r="O1" s="211"/>
      <c r="P1" s="211"/>
      <c r="Q1" s="386" t="s">
        <v>325</v>
      </c>
      <c r="R1" s="386"/>
      <c r="S1" s="386"/>
      <c r="T1" s="386"/>
    </row>
    <row r="2" spans="1:35" ht="54" customHeight="1" thickBot="1">
      <c r="A2" s="212"/>
      <c r="B2" s="381" t="s">
        <v>342</v>
      </c>
      <c r="C2" s="381"/>
      <c r="D2" s="381"/>
      <c r="E2" s="381"/>
      <c r="F2" s="382"/>
      <c r="G2" s="381"/>
      <c r="H2" s="381"/>
      <c r="I2" s="381"/>
      <c r="J2" s="381"/>
      <c r="K2" s="381"/>
      <c r="L2" s="381"/>
      <c r="M2" s="381"/>
      <c r="N2" s="213"/>
      <c r="O2" s="214"/>
      <c r="P2" s="214"/>
      <c r="Q2" s="387">
        <f ca="1">TODAY()</f>
        <v>46017</v>
      </c>
      <c r="R2" s="387"/>
      <c r="S2" s="387"/>
      <c r="T2" s="387"/>
      <c r="AD2" s="210"/>
    </row>
    <row r="3" spans="1:35" ht="21" customHeight="1" thickTop="1" thickBot="1">
      <c r="B3" s="215"/>
      <c r="C3" s="216"/>
      <c r="D3" s="217"/>
      <c r="E3" s="217"/>
      <c r="F3" s="218"/>
      <c r="H3" s="215"/>
      <c r="I3" s="215"/>
      <c r="J3" s="215"/>
      <c r="K3" s="219"/>
      <c r="L3" s="220"/>
      <c r="M3" s="221"/>
      <c r="N3" s="383" t="s">
        <v>132</v>
      </c>
      <c r="O3" s="384"/>
      <c r="P3" s="384"/>
      <c r="Q3" s="384"/>
      <c r="R3" s="384"/>
      <c r="S3" s="384"/>
      <c r="T3" s="384"/>
      <c r="U3" s="384"/>
      <c r="V3" s="384"/>
      <c r="W3" s="384"/>
      <c r="X3" s="384"/>
      <c r="Y3" s="384"/>
      <c r="Z3" s="384"/>
      <c r="AA3" s="384"/>
      <c r="AB3" s="384"/>
      <c r="AC3" s="385"/>
      <c r="AD3" s="215"/>
      <c r="AF3" s="215"/>
      <c r="AG3" s="215"/>
      <c r="AH3" s="215"/>
    </row>
    <row r="4" spans="1:35" s="210" customFormat="1" ht="85.5" customHeight="1" thickTop="1">
      <c r="B4" s="222" t="s">
        <v>1441</v>
      </c>
      <c r="C4" s="223" t="s">
        <v>1819</v>
      </c>
      <c r="D4" s="224" t="s">
        <v>973</v>
      </c>
      <c r="E4" s="225" t="s">
        <v>974</v>
      </c>
      <c r="F4" s="226" t="s">
        <v>1817</v>
      </c>
      <c r="G4" s="226" t="s">
        <v>1192</v>
      </c>
      <c r="H4" s="227" t="s">
        <v>347</v>
      </c>
      <c r="I4" s="227"/>
      <c r="J4" s="227" t="s">
        <v>346</v>
      </c>
      <c r="K4" s="226" t="s">
        <v>343</v>
      </c>
      <c r="L4" s="227" t="s">
        <v>345</v>
      </c>
      <c r="M4" s="228" t="s">
        <v>349</v>
      </c>
      <c r="N4" s="229">
        <v>100</v>
      </c>
      <c r="O4" s="230">
        <v>101</v>
      </c>
      <c r="P4" s="231">
        <v>103</v>
      </c>
      <c r="Q4" s="230">
        <v>104</v>
      </c>
      <c r="R4" s="231">
        <v>105</v>
      </c>
      <c r="S4" s="230">
        <v>106</v>
      </c>
      <c r="T4" s="231">
        <v>107</v>
      </c>
      <c r="U4" s="230">
        <v>108</v>
      </c>
      <c r="V4" s="231">
        <v>112</v>
      </c>
      <c r="W4" s="232" t="s">
        <v>1249</v>
      </c>
      <c r="X4" s="231">
        <v>113</v>
      </c>
      <c r="Y4" s="233">
        <v>114</v>
      </c>
      <c r="Z4" s="231">
        <v>115</v>
      </c>
      <c r="AA4" s="230">
        <v>116</v>
      </c>
      <c r="AB4" s="234">
        <v>121</v>
      </c>
      <c r="AC4" s="235">
        <v>122</v>
      </c>
      <c r="AD4" s="227" t="s">
        <v>344</v>
      </c>
      <c r="AF4" s="227" t="s">
        <v>344</v>
      </c>
      <c r="AG4" s="236"/>
      <c r="AH4" s="227" t="s">
        <v>348</v>
      </c>
    </row>
    <row r="5" spans="1:35" ht="50.1" hidden="1" customHeight="1">
      <c r="B5" s="237">
        <f>IF(D5="","",SUBTOTAL(3,$D$5:D5))</f>
        <v>0</v>
      </c>
      <c r="C5" s="238" t="s">
        <v>718</v>
      </c>
      <c r="D5" s="280" t="s">
        <v>106</v>
      </c>
      <c r="E5" s="239" t="s">
        <v>103</v>
      </c>
      <c r="F5" s="284" t="s">
        <v>1659</v>
      </c>
      <c r="G5" s="240" t="s">
        <v>1844</v>
      </c>
      <c r="H5" s="240" t="s">
        <v>1656</v>
      </c>
      <c r="I5" s="290" t="s">
        <v>1787</v>
      </c>
      <c r="J5" s="240" t="s">
        <v>1</v>
      </c>
      <c r="K5" s="241" t="s">
        <v>1280</v>
      </c>
      <c r="L5" s="241">
        <v>10</v>
      </c>
      <c r="M5" s="242" t="s">
        <v>444</v>
      </c>
      <c r="N5" s="243" t="s">
        <v>356</v>
      </c>
      <c r="O5" s="244"/>
      <c r="P5" s="244"/>
      <c r="Q5" s="244"/>
      <c r="R5" s="244"/>
      <c r="S5" s="244"/>
      <c r="T5" s="244"/>
      <c r="U5" s="238"/>
      <c r="V5" s="244"/>
      <c r="W5" s="244"/>
      <c r="X5" s="244"/>
      <c r="Y5" s="245"/>
      <c r="Z5" s="244"/>
      <c r="AA5" s="244"/>
      <c r="AB5" s="246"/>
      <c r="AC5" s="246"/>
      <c r="AD5" s="247" t="s">
        <v>1580</v>
      </c>
      <c r="AE5" s="210"/>
      <c r="AF5" s="241" t="s">
        <v>1159</v>
      </c>
      <c r="AG5" s="241" t="s">
        <v>1159</v>
      </c>
      <c r="AH5" s="248" t="s">
        <v>443</v>
      </c>
      <c r="AI5" s="249"/>
    </row>
    <row r="6" spans="1:35" ht="50.1" hidden="1" customHeight="1">
      <c r="B6" s="170">
        <f>IF(D6="","",SUBTOTAL(3,$D$5:D6))</f>
        <v>0</v>
      </c>
      <c r="C6" s="171" t="s">
        <v>719</v>
      </c>
      <c r="D6" s="281" t="s">
        <v>108</v>
      </c>
      <c r="E6" s="167" t="s">
        <v>103</v>
      </c>
      <c r="F6" s="285" t="s">
        <v>1659</v>
      </c>
      <c r="G6" s="168" t="s">
        <v>1845</v>
      </c>
      <c r="H6" s="168" t="s">
        <v>1658</v>
      </c>
      <c r="I6" s="287" t="s">
        <v>1787</v>
      </c>
      <c r="J6" s="168" t="s">
        <v>1</v>
      </c>
      <c r="K6" s="247" t="s">
        <v>1280</v>
      </c>
      <c r="L6" s="247">
        <v>25</v>
      </c>
      <c r="M6" s="250" t="s">
        <v>444</v>
      </c>
      <c r="N6" s="251" t="s">
        <v>356</v>
      </c>
      <c r="O6" s="171"/>
      <c r="P6" s="171"/>
      <c r="Q6" s="171"/>
      <c r="R6" s="171"/>
      <c r="S6" s="171"/>
      <c r="T6" s="171"/>
      <c r="U6" s="171"/>
      <c r="V6" s="171"/>
      <c r="W6" s="171"/>
      <c r="X6" s="171"/>
      <c r="Y6" s="252"/>
      <c r="Z6" s="171"/>
      <c r="AA6" s="171"/>
      <c r="AB6" s="253"/>
      <c r="AC6" s="253"/>
      <c r="AD6" s="247" t="s">
        <v>1580</v>
      </c>
      <c r="AE6" s="210"/>
      <c r="AF6" s="247" t="s">
        <v>1159</v>
      </c>
      <c r="AG6" s="247" t="s">
        <v>1159</v>
      </c>
      <c r="AH6" s="254" t="s">
        <v>443</v>
      </c>
      <c r="AI6" s="249"/>
    </row>
    <row r="7" spans="1:35" ht="50.1" hidden="1" customHeight="1">
      <c r="B7" s="170">
        <f>IF(D7="","",SUBTOTAL(3,$D$5:D7))</f>
        <v>0</v>
      </c>
      <c r="C7" s="171" t="s">
        <v>720</v>
      </c>
      <c r="D7" s="281" t="s">
        <v>109</v>
      </c>
      <c r="E7" s="167" t="s">
        <v>110</v>
      </c>
      <c r="F7" s="285" t="s">
        <v>447</v>
      </c>
      <c r="G7" s="168" t="s">
        <v>1846</v>
      </c>
      <c r="H7" s="168" t="s">
        <v>1658</v>
      </c>
      <c r="I7" s="287" t="s">
        <v>1143</v>
      </c>
      <c r="J7" s="168" t="s">
        <v>80</v>
      </c>
      <c r="K7" s="247" t="s">
        <v>445</v>
      </c>
      <c r="L7" s="247">
        <v>6</v>
      </c>
      <c r="M7" s="250" t="s">
        <v>444</v>
      </c>
      <c r="N7" s="251"/>
      <c r="O7" s="171"/>
      <c r="P7" s="171"/>
      <c r="Q7" s="171"/>
      <c r="R7" s="171"/>
      <c r="S7" s="171"/>
      <c r="T7" s="171"/>
      <c r="U7" s="171"/>
      <c r="V7" s="171"/>
      <c r="W7" s="171"/>
      <c r="X7" s="171"/>
      <c r="Y7" s="252"/>
      <c r="Z7" s="171"/>
      <c r="AA7" s="171"/>
      <c r="AB7" s="253"/>
      <c r="AC7" s="253"/>
      <c r="AD7" s="247" t="s">
        <v>987</v>
      </c>
      <c r="AE7" s="210"/>
      <c r="AF7" s="247" t="s">
        <v>1176</v>
      </c>
      <c r="AG7" s="247" t="s">
        <v>1176</v>
      </c>
      <c r="AH7" s="254" t="s">
        <v>447</v>
      </c>
      <c r="AI7" s="249"/>
    </row>
    <row r="8" spans="1:35" ht="50.1" hidden="1" customHeight="1">
      <c r="B8" s="170">
        <f>IF(D8="","",SUBTOTAL(3,$D$5:D8))</f>
        <v>0</v>
      </c>
      <c r="C8" s="171" t="s">
        <v>721</v>
      </c>
      <c r="D8" s="281" t="s">
        <v>101</v>
      </c>
      <c r="E8" s="167" t="s">
        <v>103</v>
      </c>
      <c r="F8" s="285" t="s">
        <v>449</v>
      </c>
      <c r="G8" s="168" t="s">
        <v>1847</v>
      </c>
      <c r="H8" s="168" t="s">
        <v>1472</v>
      </c>
      <c r="I8" s="287" t="s">
        <v>1143</v>
      </c>
      <c r="J8" s="168" t="s">
        <v>102</v>
      </c>
      <c r="K8" s="247" t="s">
        <v>446</v>
      </c>
      <c r="L8" s="247" t="s">
        <v>1429</v>
      </c>
      <c r="M8" s="250" t="s">
        <v>444</v>
      </c>
      <c r="N8" s="251"/>
      <c r="O8" s="171"/>
      <c r="P8" s="171"/>
      <c r="Q8" s="171"/>
      <c r="R8" s="171"/>
      <c r="S8" s="171"/>
      <c r="T8" s="171"/>
      <c r="U8" s="171"/>
      <c r="V8" s="171"/>
      <c r="W8" s="171"/>
      <c r="X8" s="171"/>
      <c r="Y8" s="252"/>
      <c r="Z8" s="171"/>
      <c r="AA8" s="171"/>
      <c r="AB8" s="253"/>
      <c r="AC8" s="253"/>
      <c r="AD8" s="247" t="s">
        <v>1279</v>
      </c>
      <c r="AE8" s="210"/>
      <c r="AF8" s="247" t="s">
        <v>1166</v>
      </c>
      <c r="AG8" s="247" t="s">
        <v>1166</v>
      </c>
      <c r="AH8" s="254" t="s">
        <v>449</v>
      </c>
      <c r="AI8" s="249"/>
    </row>
    <row r="9" spans="1:35" ht="50.1" hidden="1" customHeight="1">
      <c r="B9" s="170">
        <f>IF(D9="","",SUBTOTAL(3,$D$5:D9))</f>
        <v>0</v>
      </c>
      <c r="C9" s="171" t="s">
        <v>722</v>
      </c>
      <c r="D9" s="281" t="s">
        <v>111</v>
      </c>
      <c r="E9" s="167" t="s">
        <v>113</v>
      </c>
      <c r="F9" s="285" t="s">
        <v>404</v>
      </c>
      <c r="G9" s="168" t="s">
        <v>1848</v>
      </c>
      <c r="H9" s="168" t="s">
        <v>1472</v>
      </c>
      <c r="I9" s="287" t="s">
        <v>1787</v>
      </c>
      <c r="J9" s="168" t="s">
        <v>112</v>
      </c>
      <c r="K9" s="247" t="s">
        <v>448</v>
      </c>
      <c r="L9" s="247">
        <v>8</v>
      </c>
      <c r="M9" s="250" t="s">
        <v>444</v>
      </c>
      <c r="N9" s="251" t="s">
        <v>95</v>
      </c>
      <c r="O9" s="171"/>
      <c r="P9" s="171"/>
      <c r="Q9" s="171"/>
      <c r="R9" s="171"/>
      <c r="S9" s="171"/>
      <c r="T9" s="171"/>
      <c r="U9" s="171"/>
      <c r="V9" s="171"/>
      <c r="W9" s="171"/>
      <c r="X9" s="171"/>
      <c r="Y9" s="252"/>
      <c r="Z9" s="171"/>
      <c r="AA9" s="171"/>
      <c r="AB9" s="253"/>
      <c r="AC9" s="253"/>
      <c r="AD9" s="247" t="s">
        <v>1539</v>
      </c>
      <c r="AE9" s="210" t="s">
        <v>1534</v>
      </c>
      <c r="AF9" s="247" t="s">
        <v>1176</v>
      </c>
      <c r="AG9" s="247" t="s">
        <v>1159</v>
      </c>
      <c r="AH9" s="254" t="s">
        <v>404</v>
      </c>
      <c r="AI9" s="249"/>
    </row>
    <row r="10" spans="1:35" ht="50.1" hidden="1" customHeight="1">
      <c r="B10" s="170">
        <f>IF(D10="","",SUBTOTAL(3,$D$5:D10))</f>
        <v>0</v>
      </c>
      <c r="C10" s="171" t="s">
        <v>723</v>
      </c>
      <c r="D10" s="281" t="s">
        <v>120</v>
      </c>
      <c r="E10" s="167" t="s">
        <v>113</v>
      </c>
      <c r="F10" s="285" t="s">
        <v>451</v>
      </c>
      <c r="G10" s="168" t="s">
        <v>1848</v>
      </c>
      <c r="H10" s="168" t="s">
        <v>1472</v>
      </c>
      <c r="I10" s="287" t="s">
        <v>1787</v>
      </c>
      <c r="J10" s="168" t="s">
        <v>112</v>
      </c>
      <c r="K10" s="247" t="s">
        <v>450</v>
      </c>
      <c r="L10" s="247">
        <v>8</v>
      </c>
      <c r="M10" s="250" t="s">
        <v>444</v>
      </c>
      <c r="N10" s="251" t="s">
        <v>356</v>
      </c>
      <c r="O10" s="171"/>
      <c r="P10" s="171"/>
      <c r="Q10" s="171"/>
      <c r="R10" s="171"/>
      <c r="S10" s="171"/>
      <c r="T10" s="171"/>
      <c r="U10" s="171"/>
      <c r="V10" s="171"/>
      <c r="W10" s="171"/>
      <c r="X10" s="171"/>
      <c r="Y10" s="252"/>
      <c r="Z10" s="171"/>
      <c r="AA10" s="171"/>
      <c r="AB10" s="253"/>
      <c r="AC10" s="253"/>
      <c r="AD10" s="247" t="s">
        <v>1540</v>
      </c>
      <c r="AE10" s="210" t="s">
        <v>1533</v>
      </c>
      <c r="AF10" s="247">
        <v>43</v>
      </c>
      <c r="AG10" s="247" t="s">
        <v>1159</v>
      </c>
      <c r="AH10" s="254" t="s">
        <v>451</v>
      </c>
      <c r="AI10" s="249"/>
    </row>
    <row r="11" spans="1:35" ht="50.1" hidden="1" customHeight="1">
      <c r="B11" s="170">
        <f>IF(D11="","",SUBTOTAL(3,$D$5:D11))</f>
        <v>0</v>
      </c>
      <c r="C11" s="171" t="s">
        <v>724</v>
      </c>
      <c r="D11" s="281" t="s">
        <v>118</v>
      </c>
      <c r="E11" s="167" t="s">
        <v>119</v>
      </c>
      <c r="F11" s="285" t="s">
        <v>404</v>
      </c>
      <c r="G11" s="168" t="s">
        <v>1848</v>
      </c>
      <c r="H11" s="168" t="s">
        <v>1472</v>
      </c>
      <c r="I11" s="287" t="s">
        <v>1787</v>
      </c>
      <c r="J11" s="168" t="s">
        <v>112</v>
      </c>
      <c r="K11" s="247" t="s">
        <v>448</v>
      </c>
      <c r="L11" s="247">
        <v>8</v>
      </c>
      <c r="M11" s="250" t="s">
        <v>444</v>
      </c>
      <c r="N11" s="251" t="s">
        <v>95</v>
      </c>
      <c r="O11" s="171"/>
      <c r="P11" s="171"/>
      <c r="Q11" s="171"/>
      <c r="R11" s="171"/>
      <c r="S11" s="171"/>
      <c r="T11" s="171"/>
      <c r="U11" s="171"/>
      <c r="V11" s="171"/>
      <c r="W11" s="171"/>
      <c r="X11" s="171"/>
      <c r="Y11" s="252"/>
      <c r="Z11" s="171"/>
      <c r="AA11" s="171"/>
      <c r="AB11" s="253"/>
      <c r="AC11" s="253"/>
      <c r="AD11" s="247" t="s">
        <v>1539</v>
      </c>
      <c r="AE11" s="210" t="s">
        <v>1534</v>
      </c>
      <c r="AF11" s="247" t="s">
        <v>1176</v>
      </c>
      <c r="AG11" s="247" t="s">
        <v>1159</v>
      </c>
      <c r="AH11" s="254" t="s">
        <v>404</v>
      </c>
      <c r="AI11" s="249"/>
    </row>
    <row r="12" spans="1:35" ht="50.1" hidden="1" customHeight="1">
      <c r="B12" s="170">
        <f>IF(D12="","",SUBTOTAL(3,$D$5:D12))</f>
        <v>0</v>
      </c>
      <c r="C12" s="171" t="s">
        <v>725</v>
      </c>
      <c r="D12" s="281" t="s">
        <v>452</v>
      </c>
      <c r="E12" s="167" t="s">
        <v>119</v>
      </c>
      <c r="F12" s="285" t="s">
        <v>407</v>
      </c>
      <c r="G12" s="168" t="s">
        <v>1848</v>
      </c>
      <c r="H12" s="168" t="s">
        <v>1472</v>
      </c>
      <c r="I12" s="287" t="s">
        <v>1787</v>
      </c>
      <c r="J12" s="168" t="s">
        <v>112</v>
      </c>
      <c r="K12" s="247" t="s">
        <v>450</v>
      </c>
      <c r="L12" s="247">
        <v>8</v>
      </c>
      <c r="M12" s="250" t="s">
        <v>444</v>
      </c>
      <c r="N12" s="251" t="s">
        <v>356</v>
      </c>
      <c r="O12" s="171"/>
      <c r="P12" s="171"/>
      <c r="Q12" s="171"/>
      <c r="R12" s="171"/>
      <c r="S12" s="171"/>
      <c r="T12" s="171"/>
      <c r="U12" s="171"/>
      <c r="V12" s="171"/>
      <c r="W12" s="171"/>
      <c r="X12" s="171"/>
      <c r="Y12" s="252"/>
      <c r="Z12" s="171"/>
      <c r="AA12" s="171"/>
      <c r="AB12" s="253"/>
      <c r="AC12" s="253"/>
      <c r="AD12" s="247" t="s">
        <v>1540</v>
      </c>
      <c r="AE12" s="210" t="s">
        <v>1533</v>
      </c>
      <c r="AF12" s="247">
        <v>43</v>
      </c>
      <c r="AG12" s="247" t="s">
        <v>1159</v>
      </c>
      <c r="AH12" s="254" t="s">
        <v>407</v>
      </c>
      <c r="AI12" s="249"/>
    </row>
    <row r="13" spans="1:35" ht="50.1" hidden="1" customHeight="1">
      <c r="B13" s="170">
        <f>IF(D13="","",SUBTOTAL(3,$D$5:D13))</f>
        <v>0</v>
      </c>
      <c r="C13" s="171" t="s">
        <v>726</v>
      </c>
      <c r="D13" s="281" t="s">
        <v>453</v>
      </c>
      <c r="E13" s="167" t="s">
        <v>113</v>
      </c>
      <c r="F13" s="285" t="s">
        <v>454</v>
      </c>
      <c r="G13" s="168" t="s">
        <v>1848</v>
      </c>
      <c r="H13" s="168" t="s">
        <v>1472</v>
      </c>
      <c r="I13" s="287" t="s">
        <v>1143</v>
      </c>
      <c r="J13" s="168" t="s">
        <v>114</v>
      </c>
      <c r="K13" s="247" t="s">
        <v>1280</v>
      </c>
      <c r="L13" s="247">
        <v>8</v>
      </c>
      <c r="M13" s="250" t="s">
        <v>444</v>
      </c>
      <c r="N13" s="251"/>
      <c r="O13" s="171"/>
      <c r="P13" s="171"/>
      <c r="Q13" s="171"/>
      <c r="R13" s="171"/>
      <c r="S13" s="171"/>
      <c r="T13" s="171"/>
      <c r="U13" s="171"/>
      <c r="V13" s="171"/>
      <c r="W13" s="171"/>
      <c r="X13" s="171"/>
      <c r="Y13" s="252"/>
      <c r="Z13" s="171"/>
      <c r="AA13" s="171"/>
      <c r="AB13" s="253"/>
      <c r="AC13" s="253"/>
      <c r="AD13" s="247" t="s">
        <v>1538</v>
      </c>
      <c r="AE13" s="210"/>
      <c r="AF13" s="247" t="s">
        <v>1159</v>
      </c>
      <c r="AG13" s="247" t="s">
        <v>1159</v>
      </c>
      <c r="AH13" s="254" t="s">
        <v>454</v>
      </c>
      <c r="AI13" s="249"/>
    </row>
    <row r="14" spans="1:35" ht="50.1" hidden="1" customHeight="1">
      <c r="B14" s="170">
        <f>IF(D14="","",SUBTOTAL(3,$D$5:D14))</f>
        <v>0</v>
      </c>
      <c r="C14" s="171" t="s">
        <v>727</v>
      </c>
      <c r="D14" s="281" t="s">
        <v>121</v>
      </c>
      <c r="E14" s="167" t="s">
        <v>110</v>
      </c>
      <c r="F14" s="285" t="s">
        <v>404</v>
      </c>
      <c r="G14" s="168" t="s">
        <v>1849</v>
      </c>
      <c r="H14" s="168" t="s">
        <v>1472</v>
      </c>
      <c r="I14" s="287" t="s">
        <v>1787</v>
      </c>
      <c r="J14" s="168" t="s">
        <v>122</v>
      </c>
      <c r="K14" s="247" t="s">
        <v>448</v>
      </c>
      <c r="L14" s="247">
        <v>10</v>
      </c>
      <c r="M14" s="250" t="s">
        <v>444</v>
      </c>
      <c r="N14" s="251" t="s">
        <v>356</v>
      </c>
      <c r="O14" s="171"/>
      <c r="P14" s="171"/>
      <c r="Q14" s="171"/>
      <c r="R14" s="171"/>
      <c r="S14" s="171"/>
      <c r="T14" s="171"/>
      <c r="U14" s="171"/>
      <c r="V14" s="171"/>
      <c r="W14" s="171"/>
      <c r="X14" s="171"/>
      <c r="Y14" s="252"/>
      <c r="Z14" s="171"/>
      <c r="AA14" s="171"/>
      <c r="AB14" s="253"/>
      <c r="AC14" s="253"/>
      <c r="AD14" s="247" t="s">
        <v>1539</v>
      </c>
      <c r="AE14" s="210" t="s">
        <v>1532</v>
      </c>
      <c r="AF14" s="247" t="s">
        <v>1176</v>
      </c>
      <c r="AG14" s="247" t="s">
        <v>1159</v>
      </c>
      <c r="AH14" s="254" t="s">
        <v>404</v>
      </c>
      <c r="AI14" s="249"/>
    </row>
    <row r="15" spans="1:35" ht="50.1" hidden="1" customHeight="1">
      <c r="B15" s="170">
        <f>IF(D15="","",SUBTOTAL(3,$D$5:D15))</f>
        <v>0</v>
      </c>
      <c r="C15" s="171" t="s">
        <v>728</v>
      </c>
      <c r="D15" s="281" t="s">
        <v>125</v>
      </c>
      <c r="E15" s="167" t="s">
        <v>110</v>
      </c>
      <c r="F15" s="285" t="s">
        <v>407</v>
      </c>
      <c r="G15" s="168" t="s">
        <v>1849</v>
      </c>
      <c r="H15" s="168" t="s">
        <v>1472</v>
      </c>
      <c r="I15" s="287" t="s">
        <v>1787</v>
      </c>
      <c r="J15" s="168" t="s">
        <v>122</v>
      </c>
      <c r="K15" s="247" t="s">
        <v>450</v>
      </c>
      <c r="L15" s="247">
        <v>10</v>
      </c>
      <c r="M15" s="250" t="s">
        <v>444</v>
      </c>
      <c r="N15" s="251" t="s">
        <v>356</v>
      </c>
      <c r="O15" s="171"/>
      <c r="P15" s="171"/>
      <c r="Q15" s="171"/>
      <c r="R15" s="171"/>
      <c r="S15" s="171"/>
      <c r="T15" s="171"/>
      <c r="U15" s="171"/>
      <c r="V15" s="171"/>
      <c r="W15" s="171"/>
      <c r="X15" s="171"/>
      <c r="Y15" s="252"/>
      <c r="Z15" s="171"/>
      <c r="AA15" s="171"/>
      <c r="AB15" s="253"/>
      <c r="AC15" s="253"/>
      <c r="AD15" s="247" t="s">
        <v>1540</v>
      </c>
      <c r="AE15" s="210" t="s">
        <v>1533</v>
      </c>
      <c r="AF15" s="247">
        <v>43</v>
      </c>
      <c r="AG15" s="247" t="s">
        <v>1159</v>
      </c>
      <c r="AH15" s="254" t="s">
        <v>407</v>
      </c>
      <c r="AI15" s="249"/>
    </row>
    <row r="16" spans="1:35" ht="50.1" hidden="1" customHeight="1">
      <c r="B16" s="170">
        <f>IF(D16="","",SUBTOTAL(3,$D$5:D16))</f>
        <v>0</v>
      </c>
      <c r="C16" s="171" t="s">
        <v>729</v>
      </c>
      <c r="D16" s="281" t="s">
        <v>231</v>
      </c>
      <c r="E16" s="167" t="s">
        <v>455</v>
      </c>
      <c r="F16" s="286" t="s">
        <v>1659</v>
      </c>
      <c r="G16" s="168" t="s">
        <v>1850</v>
      </c>
      <c r="H16" s="168" t="s">
        <v>1472</v>
      </c>
      <c r="I16" s="287" t="s">
        <v>1787</v>
      </c>
      <c r="J16" s="168" t="s">
        <v>238</v>
      </c>
      <c r="K16" s="247" t="s">
        <v>1297</v>
      </c>
      <c r="L16" s="247" t="s">
        <v>1430</v>
      </c>
      <c r="M16" s="250" t="s">
        <v>444</v>
      </c>
      <c r="N16" s="251" t="s">
        <v>356</v>
      </c>
      <c r="O16" s="171"/>
      <c r="P16" s="171"/>
      <c r="Q16" s="171"/>
      <c r="R16" s="171"/>
      <c r="S16" s="171"/>
      <c r="T16" s="171"/>
      <c r="U16" s="171"/>
      <c r="V16" s="171"/>
      <c r="W16" s="171"/>
      <c r="X16" s="171"/>
      <c r="Y16" s="252"/>
      <c r="Z16" s="171"/>
      <c r="AA16" s="171"/>
      <c r="AB16" s="253"/>
      <c r="AC16" s="253"/>
      <c r="AD16" s="247" t="s">
        <v>986</v>
      </c>
      <c r="AE16" s="210"/>
      <c r="AF16" s="247" t="s">
        <v>1156</v>
      </c>
      <c r="AG16" s="247" t="s">
        <v>1156</v>
      </c>
      <c r="AH16" s="247" t="s">
        <v>456</v>
      </c>
      <c r="AI16" s="249"/>
    </row>
    <row r="17" spans="2:35" ht="50.1" hidden="1" customHeight="1">
      <c r="B17" s="170">
        <f>IF(D17="","",SUBTOTAL(3,$D$5:D17))</f>
        <v>0</v>
      </c>
      <c r="C17" s="171" t="s">
        <v>1537</v>
      </c>
      <c r="D17" s="281" t="s">
        <v>1536</v>
      </c>
      <c r="E17" s="167" t="s">
        <v>469</v>
      </c>
      <c r="F17" s="286" t="s">
        <v>1659</v>
      </c>
      <c r="G17" s="168" t="s">
        <v>1851</v>
      </c>
      <c r="H17" s="168" t="s">
        <v>1472</v>
      </c>
      <c r="I17" s="287" t="s">
        <v>1787</v>
      </c>
      <c r="J17" s="168" t="s">
        <v>1780</v>
      </c>
      <c r="K17" s="247" t="s">
        <v>454</v>
      </c>
      <c r="L17" s="247"/>
      <c r="M17" s="250" t="s">
        <v>444</v>
      </c>
      <c r="N17" s="251" t="s">
        <v>356</v>
      </c>
      <c r="O17" s="171"/>
      <c r="P17" s="171"/>
      <c r="Q17" s="171"/>
      <c r="R17" s="171"/>
      <c r="S17" s="171"/>
      <c r="T17" s="171"/>
      <c r="U17" s="171"/>
      <c r="V17" s="171"/>
      <c r="W17" s="171"/>
      <c r="X17" s="171"/>
      <c r="Y17" s="252"/>
      <c r="Z17" s="171"/>
      <c r="AA17" s="171"/>
      <c r="AB17" s="253"/>
      <c r="AC17" s="253"/>
      <c r="AD17" s="247" t="s">
        <v>1538</v>
      </c>
      <c r="AE17" s="210"/>
      <c r="AF17" s="247" t="s">
        <v>1156</v>
      </c>
      <c r="AG17" s="247" t="s">
        <v>1156</v>
      </c>
      <c r="AH17" s="247" t="s">
        <v>456</v>
      </c>
      <c r="AI17" s="249"/>
    </row>
    <row r="18" spans="2:35" ht="50.1" hidden="1" customHeight="1">
      <c r="B18" s="170">
        <f>IF(D18="","",SUBTOTAL(3,$D$5:D18))</f>
        <v>0</v>
      </c>
      <c r="C18" s="171" t="s">
        <v>1541</v>
      </c>
      <c r="D18" s="281" t="s">
        <v>1542</v>
      </c>
      <c r="E18" s="167" t="s">
        <v>113</v>
      </c>
      <c r="F18" s="286" t="s">
        <v>1563</v>
      </c>
      <c r="G18" s="168" t="s">
        <v>1852</v>
      </c>
      <c r="H18" s="168" t="s">
        <v>1472</v>
      </c>
      <c r="I18" s="287" t="s">
        <v>1654</v>
      </c>
      <c r="J18" s="168" t="s">
        <v>1544</v>
      </c>
      <c r="K18" s="247" t="s">
        <v>1564</v>
      </c>
      <c r="L18" s="247" t="s">
        <v>1545</v>
      </c>
      <c r="M18" s="250" t="s">
        <v>444</v>
      </c>
      <c r="N18" s="251"/>
      <c r="O18" s="171"/>
      <c r="P18" s="171"/>
      <c r="Q18" s="171"/>
      <c r="R18" s="171"/>
      <c r="S18" s="171"/>
      <c r="T18" s="171"/>
      <c r="U18" s="171"/>
      <c r="V18" s="171"/>
      <c r="W18" s="171"/>
      <c r="X18" s="171"/>
      <c r="Y18" s="252"/>
      <c r="Z18" s="171" t="s">
        <v>364</v>
      </c>
      <c r="AA18" s="171" t="s">
        <v>364</v>
      </c>
      <c r="AB18" s="253"/>
      <c r="AC18" s="253"/>
      <c r="AD18" s="247" t="s">
        <v>1546</v>
      </c>
      <c r="AE18" s="210"/>
      <c r="AF18" s="247" t="s">
        <v>1156</v>
      </c>
      <c r="AG18" s="247" t="s">
        <v>1156</v>
      </c>
      <c r="AH18" s="247" t="s">
        <v>456</v>
      </c>
      <c r="AI18" s="249"/>
    </row>
    <row r="19" spans="2:35" ht="50.1" hidden="1" customHeight="1">
      <c r="B19" s="170">
        <f>IF(D19="","",SUBTOTAL(3,$D$5:D19))</f>
        <v>0</v>
      </c>
      <c r="C19" s="171" t="s">
        <v>1543</v>
      </c>
      <c r="D19" s="281" t="s">
        <v>1547</v>
      </c>
      <c r="E19" s="167" t="s">
        <v>455</v>
      </c>
      <c r="F19" s="286" t="s">
        <v>1563</v>
      </c>
      <c r="G19" s="168" t="s">
        <v>1846</v>
      </c>
      <c r="H19" s="168" t="s">
        <v>1472</v>
      </c>
      <c r="I19" s="287" t="s">
        <v>1653</v>
      </c>
      <c r="J19" s="168" t="s">
        <v>1548</v>
      </c>
      <c r="K19" s="247" t="s">
        <v>1564</v>
      </c>
      <c r="L19" s="247">
        <v>6</v>
      </c>
      <c r="M19" s="250" t="s">
        <v>444</v>
      </c>
      <c r="N19" s="251"/>
      <c r="O19" s="171"/>
      <c r="P19" s="171"/>
      <c r="Q19" s="171"/>
      <c r="R19" s="171"/>
      <c r="S19" s="171"/>
      <c r="T19" s="171"/>
      <c r="U19" s="171"/>
      <c r="V19" s="171"/>
      <c r="W19" s="171"/>
      <c r="X19" s="171"/>
      <c r="Y19" s="252"/>
      <c r="Z19" s="171" t="s">
        <v>364</v>
      </c>
      <c r="AA19" s="171" t="s">
        <v>364</v>
      </c>
      <c r="AB19" s="253"/>
      <c r="AC19" s="253"/>
      <c r="AD19" s="247" t="s">
        <v>986</v>
      </c>
      <c r="AE19" s="210"/>
      <c r="AF19" s="247" t="s">
        <v>1156</v>
      </c>
      <c r="AG19" s="247" t="s">
        <v>1156</v>
      </c>
      <c r="AH19" s="247" t="s">
        <v>456</v>
      </c>
      <c r="AI19" s="249"/>
    </row>
    <row r="20" spans="2:35" ht="50.1" hidden="1" customHeight="1">
      <c r="B20" s="170">
        <f>IF(D20="","",SUBTOTAL(3,$D$5:D20))</f>
        <v>0</v>
      </c>
      <c r="C20" s="171" t="s">
        <v>1684</v>
      </c>
      <c r="D20" s="281" t="s">
        <v>1685</v>
      </c>
      <c r="E20" s="167" t="s">
        <v>110</v>
      </c>
      <c r="F20" s="286" t="s">
        <v>1659</v>
      </c>
      <c r="G20" s="168" t="s">
        <v>1846</v>
      </c>
      <c r="H20" s="168" t="s">
        <v>1472</v>
      </c>
      <c r="I20" s="287" t="s">
        <v>1787</v>
      </c>
      <c r="J20" s="168" t="s">
        <v>526</v>
      </c>
      <c r="K20" s="247" t="s">
        <v>1686</v>
      </c>
      <c r="L20" s="247">
        <v>6</v>
      </c>
      <c r="M20" s="250" t="s">
        <v>444</v>
      </c>
      <c r="N20" s="251" t="s">
        <v>356</v>
      </c>
      <c r="O20" s="171"/>
      <c r="P20" s="171"/>
      <c r="Q20" s="171"/>
      <c r="R20" s="171"/>
      <c r="S20" s="171"/>
      <c r="T20" s="171"/>
      <c r="U20" s="171"/>
      <c r="V20" s="171"/>
      <c r="W20" s="171"/>
      <c r="X20" s="171"/>
      <c r="Y20" s="252"/>
      <c r="Z20" s="171"/>
      <c r="AA20" s="171"/>
      <c r="AB20" s="253"/>
      <c r="AC20" s="253"/>
      <c r="AD20" s="247" t="s">
        <v>1610</v>
      </c>
      <c r="AE20" s="210"/>
      <c r="AF20" s="247">
        <v>1</v>
      </c>
      <c r="AG20" s="247">
        <v>1</v>
      </c>
      <c r="AH20" s="247" t="s">
        <v>456</v>
      </c>
      <c r="AI20" s="249"/>
    </row>
    <row r="21" spans="2:35" ht="50.1" hidden="1" customHeight="1">
      <c r="B21" s="170">
        <f>IF(D21="","",SUBTOTAL(3,$D$5:D21))</f>
        <v>0</v>
      </c>
      <c r="C21" s="171" t="s">
        <v>1608</v>
      </c>
      <c r="D21" s="281" t="s">
        <v>1609</v>
      </c>
      <c r="E21" s="167" t="s">
        <v>103</v>
      </c>
      <c r="F21" s="286" t="s">
        <v>1659</v>
      </c>
      <c r="G21" s="168" t="s">
        <v>1853</v>
      </c>
      <c r="H21" s="168" t="s">
        <v>1656</v>
      </c>
      <c r="I21" s="287" t="s">
        <v>1657</v>
      </c>
      <c r="J21" s="168" t="s">
        <v>1</v>
      </c>
      <c r="K21" s="247" t="s">
        <v>1613</v>
      </c>
      <c r="L21" s="247">
        <v>28</v>
      </c>
      <c r="M21" s="250" t="s">
        <v>444</v>
      </c>
      <c r="N21" s="251" t="s">
        <v>356</v>
      </c>
      <c r="O21" s="171"/>
      <c r="P21" s="171"/>
      <c r="Q21" s="171"/>
      <c r="R21" s="171"/>
      <c r="S21" s="171"/>
      <c r="T21" s="171"/>
      <c r="U21" s="171"/>
      <c r="V21" s="171"/>
      <c r="W21" s="171"/>
      <c r="X21" s="171"/>
      <c r="Y21" s="252"/>
      <c r="Z21" s="171"/>
      <c r="AA21" s="171"/>
      <c r="AB21" s="253"/>
      <c r="AC21" s="253"/>
      <c r="AD21" s="247" t="s">
        <v>1610</v>
      </c>
      <c r="AE21" s="210"/>
      <c r="AF21" s="247">
        <v>1</v>
      </c>
      <c r="AG21" s="247">
        <v>1</v>
      </c>
      <c r="AH21" s="247" t="s">
        <v>456</v>
      </c>
      <c r="AI21" s="249"/>
    </row>
    <row r="22" spans="2:35" ht="50.1" hidden="1" customHeight="1">
      <c r="B22" s="170">
        <f>IF(D22="","",SUBTOTAL(3,$D$5:D22))</f>
        <v>0</v>
      </c>
      <c r="C22" s="171" t="s">
        <v>1650</v>
      </c>
      <c r="D22" s="281" t="s">
        <v>1651</v>
      </c>
      <c r="E22" s="167" t="s">
        <v>1652</v>
      </c>
      <c r="F22" s="286" t="s">
        <v>1659</v>
      </c>
      <c r="G22" s="168" t="s">
        <v>1854</v>
      </c>
      <c r="H22" s="168" t="s">
        <v>1472</v>
      </c>
      <c r="I22" s="287" t="s">
        <v>1786</v>
      </c>
      <c r="J22" s="168" t="s">
        <v>823</v>
      </c>
      <c r="K22" s="247" t="s">
        <v>454</v>
      </c>
      <c r="L22" s="247">
        <v>6</v>
      </c>
      <c r="M22" s="250" t="s">
        <v>444</v>
      </c>
      <c r="N22" s="251" t="s">
        <v>356</v>
      </c>
      <c r="O22" s="171"/>
      <c r="P22" s="171"/>
      <c r="Q22" s="171"/>
      <c r="R22" s="171"/>
      <c r="S22" s="171"/>
      <c r="T22" s="171"/>
      <c r="U22" s="171"/>
      <c r="V22" s="171"/>
      <c r="W22" s="171"/>
      <c r="X22" s="171"/>
      <c r="Y22" s="252"/>
      <c r="Z22" s="171"/>
      <c r="AA22" s="171"/>
      <c r="AB22" s="253"/>
      <c r="AC22" s="253"/>
      <c r="AD22" s="247" t="s">
        <v>1655</v>
      </c>
      <c r="AE22" s="210"/>
      <c r="AF22" s="247">
        <v>2</v>
      </c>
      <c r="AG22" s="247">
        <v>2</v>
      </c>
      <c r="AH22" s="247" t="s">
        <v>454</v>
      </c>
      <c r="AI22" s="249"/>
    </row>
    <row r="23" spans="2:35" ht="50.1" hidden="1" customHeight="1">
      <c r="B23" s="170">
        <f>IF(D23="","",SUBTOTAL(3,$D$5:D23))</f>
        <v>0</v>
      </c>
      <c r="C23" s="171" t="s">
        <v>657</v>
      </c>
      <c r="D23" s="281" t="s">
        <v>350</v>
      </c>
      <c r="E23" s="167">
        <v>136</v>
      </c>
      <c r="F23" s="287" t="s">
        <v>1122</v>
      </c>
      <c r="G23" s="168" t="s">
        <v>1870</v>
      </c>
      <c r="H23" s="168" t="s">
        <v>351</v>
      </c>
      <c r="I23" s="287" t="s">
        <v>352</v>
      </c>
      <c r="J23" s="247" t="s">
        <v>1</v>
      </c>
      <c r="K23" s="247" t="s">
        <v>1298</v>
      </c>
      <c r="L23" s="247">
        <v>9</v>
      </c>
      <c r="M23" s="172" t="s">
        <v>1804</v>
      </c>
      <c r="N23" s="255"/>
      <c r="O23" s="256"/>
      <c r="P23" s="256"/>
      <c r="Q23" s="256"/>
      <c r="R23" s="256"/>
      <c r="S23" s="256"/>
      <c r="T23" s="256"/>
      <c r="U23" s="256"/>
      <c r="V23" s="256"/>
      <c r="W23" s="256"/>
      <c r="X23" s="256"/>
      <c r="Y23" s="257"/>
      <c r="Z23" s="256"/>
      <c r="AA23" s="256"/>
      <c r="AB23" s="258"/>
      <c r="AC23" s="258"/>
      <c r="AD23" s="247" t="s">
        <v>986</v>
      </c>
      <c r="AE23" s="210"/>
      <c r="AF23" s="247" t="s">
        <v>1156</v>
      </c>
      <c r="AG23" s="247" t="s">
        <v>1156</v>
      </c>
      <c r="AH23" s="168" t="s">
        <v>1122</v>
      </c>
      <c r="AI23" s="249"/>
    </row>
    <row r="24" spans="2:35" ht="50.1" hidden="1" customHeight="1">
      <c r="B24" s="170">
        <f>IF(D24="","",SUBTOTAL(3,$D$5:D24))</f>
        <v>0</v>
      </c>
      <c r="C24" s="171" t="s">
        <v>658</v>
      </c>
      <c r="D24" s="281" t="s">
        <v>353</v>
      </c>
      <c r="E24" s="167">
        <v>111</v>
      </c>
      <c r="F24" s="287" t="s">
        <v>1122</v>
      </c>
      <c r="G24" s="168" t="s">
        <v>1870</v>
      </c>
      <c r="H24" s="168" t="s">
        <v>351</v>
      </c>
      <c r="I24" s="287" t="s">
        <v>352</v>
      </c>
      <c r="J24" s="247" t="s">
        <v>6</v>
      </c>
      <c r="K24" s="247" t="s">
        <v>1298</v>
      </c>
      <c r="L24" s="247">
        <v>9</v>
      </c>
      <c r="M24" s="172" t="s">
        <v>1804</v>
      </c>
      <c r="N24" s="255"/>
      <c r="O24" s="256"/>
      <c r="P24" s="256"/>
      <c r="Q24" s="256"/>
      <c r="R24" s="256"/>
      <c r="S24" s="256"/>
      <c r="T24" s="256"/>
      <c r="U24" s="256"/>
      <c r="V24" s="256"/>
      <c r="W24" s="256"/>
      <c r="X24" s="256"/>
      <c r="Y24" s="257"/>
      <c r="Z24" s="256"/>
      <c r="AA24" s="256"/>
      <c r="AB24" s="258"/>
      <c r="AC24" s="258"/>
      <c r="AD24" s="247" t="s">
        <v>986</v>
      </c>
      <c r="AE24" s="210"/>
      <c r="AF24" s="247" t="s">
        <v>1156</v>
      </c>
      <c r="AG24" s="247" t="s">
        <v>1156</v>
      </c>
      <c r="AH24" s="168" t="s">
        <v>1122</v>
      </c>
      <c r="AI24" s="249"/>
    </row>
    <row r="25" spans="2:35" ht="50.1" hidden="1" customHeight="1">
      <c r="B25" s="170">
        <f>IF(D25="","",SUBTOTAL(3,$D$5:D25))</f>
        <v>0</v>
      </c>
      <c r="C25" s="171" t="s">
        <v>659</v>
      </c>
      <c r="D25" s="281" t="s">
        <v>222</v>
      </c>
      <c r="E25" s="167">
        <v>111</v>
      </c>
      <c r="F25" s="287" t="s">
        <v>1122</v>
      </c>
      <c r="G25" s="168" t="s">
        <v>1870</v>
      </c>
      <c r="H25" s="168" t="s">
        <v>351</v>
      </c>
      <c r="I25" s="287" t="s">
        <v>352</v>
      </c>
      <c r="J25" s="247" t="s">
        <v>6</v>
      </c>
      <c r="K25" s="247" t="s">
        <v>1299</v>
      </c>
      <c r="L25" s="247">
        <v>9</v>
      </c>
      <c r="M25" s="172" t="s">
        <v>1804</v>
      </c>
      <c r="N25" s="255"/>
      <c r="O25" s="256"/>
      <c r="P25" s="256"/>
      <c r="Q25" s="256"/>
      <c r="R25" s="256"/>
      <c r="S25" s="256"/>
      <c r="T25" s="256"/>
      <c r="U25" s="256"/>
      <c r="V25" s="256"/>
      <c r="W25" s="256"/>
      <c r="X25" s="256"/>
      <c r="Y25" s="257"/>
      <c r="Z25" s="256"/>
      <c r="AA25" s="256"/>
      <c r="AB25" s="258"/>
      <c r="AC25" s="258"/>
      <c r="AD25" s="247" t="s">
        <v>986</v>
      </c>
      <c r="AE25" s="210"/>
      <c r="AF25" s="247" t="s">
        <v>1156</v>
      </c>
      <c r="AG25" s="247" t="s">
        <v>1156</v>
      </c>
      <c r="AH25" s="168" t="s">
        <v>1122</v>
      </c>
      <c r="AI25" s="249"/>
    </row>
    <row r="26" spans="2:35" ht="50.1" hidden="1" customHeight="1">
      <c r="B26" s="170">
        <f>IF(D26="","",SUBTOTAL(3,$D$5:D26))</f>
        <v>0</v>
      </c>
      <c r="C26" s="171" t="s">
        <v>660</v>
      </c>
      <c r="D26" s="281" t="s">
        <v>225</v>
      </c>
      <c r="E26" s="167">
        <v>136</v>
      </c>
      <c r="F26" s="287" t="s">
        <v>1122</v>
      </c>
      <c r="G26" s="168" t="s">
        <v>1870</v>
      </c>
      <c r="H26" s="168" t="s">
        <v>351</v>
      </c>
      <c r="I26" s="287" t="s">
        <v>352</v>
      </c>
      <c r="J26" s="247" t="s">
        <v>1</v>
      </c>
      <c r="K26" s="247" t="s">
        <v>1299</v>
      </c>
      <c r="L26" s="247">
        <v>9</v>
      </c>
      <c r="M26" s="172" t="s">
        <v>1804</v>
      </c>
      <c r="N26" s="255"/>
      <c r="O26" s="256"/>
      <c r="P26" s="256"/>
      <c r="Q26" s="256"/>
      <c r="R26" s="256"/>
      <c r="S26" s="256"/>
      <c r="T26" s="256"/>
      <c r="U26" s="256"/>
      <c r="V26" s="256"/>
      <c r="W26" s="256"/>
      <c r="X26" s="256"/>
      <c r="Y26" s="257"/>
      <c r="Z26" s="256"/>
      <c r="AA26" s="256"/>
      <c r="AB26" s="258"/>
      <c r="AC26" s="258"/>
      <c r="AD26" s="247" t="s">
        <v>986</v>
      </c>
      <c r="AE26" s="210"/>
      <c r="AF26" s="247" t="s">
        <v>1156</v>
      </c>
      <c r="AG26" s="247" t="s">
        <v>1156</v>
      </c>
      <c r="AH26" s="168" t="s">
        <v>1122</v>
      </c>
      <c r="AI26" s="249"/>
    </row>
    <row r="27" spans="2:35" ht="50.1" hidden="1" customHeight="1">
      <c r="B27" s="170">
        <f>IF(D27="","",SUBTOTAL(3,$D$5:D27))</f>
        <v>0</v>
      </c>
      <c r="C27" s="171" t="s">
        <v>661</v>
      </c>
      <c r="D27" s="281" t="s">
        <v>218</v>
      </c>
      <c r="E27" s="167">
        <v>136</v>
      </c>
      <c r="F27" s="286" t="s">
        <v>1678</v>
      </c>
      <c r="G27" s="168" t="s">
        <v>1863</v>
      </c>
      <c r="H27" s="168" t="s">
        <v>355</v>
      </c>
      <c r="I27" s="287" t="s">
        <v>352</v>
      </c>
      <c r="J27" s="247" t="s">
        <v>1</v>
      </c>
      <c r="K27" s="247" t="s">
        <v>1133</v>
      </c>
      <c r="L27" s="247">
        <v>12</v>
      </c>
      <c r="M27" s="172" t="s">
        <v>1804</v>
      </c>
      <c r="N27" s="251"/>
      <c r="O27" s="171"/>
      <c r="P27" s="171"/>
      <c r="Q27" s="171"/>
      <c r="R27" s="171" t="s">
        <v>356</v>
      </c>
      <c r="S27" s="171" t="s">
        <v>356</v>
      </c>
      <c r="T27" s="171" t="s">
        <v>356</v>
      </c>
      <c r="U27" s="171"/>
      <c r="V27" s="171"/>
      <c r="W27" s="171"/>
      <c r="X27" s="171" t="s">
        <v>356</v>
      </c>
      <c r="Y27" s="252"/>
      <c r="Z27" s="171"/>
      <c r="AA27" s="171"/>
      <c r="AB27" s="253"/>
      <c r="AC27" s="253"/>
      <c r="AD27" s="247" t="s">
        <v>985</v>
      </c>
      <c r="AE27" s="210"/>
      <c r="AF27" s="247" t="s">
        <v>1159</v>
      </c>
      <c r="AG27" s="247" t="s">
        <v>1159</v>
      </c>
      <c r="AH27" s="247" t="s">
        <v>1133</v>
      </c>
      <c r="AI27" s="249"/>
    </row>
    <row r="28" spans="2:35" ht="50.1" hidden="1" customHeight="1">
      <c r="B28" s="170">
        <f>IF(D28="","",SUBTOTAL(3,$D$5:D28))</f>
        <v>0</v>
      </c>
      <c r="C28" s="171" t="s">
        <v>662</v>
      </c>
      <c r="D28" s="281" t="s">
        <v>228</v>
      </c>
      <c r="E28" s="167">
        <v>136</v>
      </c>
      <c r="F28" s="286" t="s">
        <v>1678</v>
      </c>
      <c r="G28" s="168" t="s">
        <v>1877</v>
      </c>
      <c r="H28" s="168" t="s">
        <v>357</v>
      </c>
      <c r="I28" s="287" t="s">
        <v>352</v>
      </c>
      <c r="J28" s="247" t="s">
        <v>1</v>
      </c>
      <c r="K28" s="247" t="s">
        <v>1133</v>
      </c>
      <c r="L28" s="247">
        <v>25</v>
      </c>
      <c r="M28" s="172" t="s">
        <v>1804</v>
      </c>
      <c r="N28" s="255"/>
      <c r="O28" s="256"/>
      <c r="P28" s="256"/>
      <c r="Q28" s="256"/>
      <c r="R28" s="256" t="s">
        <v>356</v>
      </c>
      <c r="S28" s="256" t="s">
        <v>356</v>
      </c>
      <c r="T28" s="256" t="s">
        <v>356</v>
      </c>
      <c r="U28" s="256"/>
      <c r="V28" s="256"/>
      <c r="W28" s="256"/>
      <c r="X28" s="256"/>
      <c r="Y28" s="257"/>
      <c r="Z28" s="256"/>
      <c r="AA28" s="256"/>
      <c r="AB28" s="258"/>
      <c r="AC28" s="258"/>
      <c r="AD28" s="247" t="s">
        <v>985</v>
      </c>
      <c r="AE28" s="210"/>
      <c r="AF28" s="247" t="s">
        <v>1159</v>
      </c>
      <c r="AG28" s="247" t="s">
        <v>1159</v>
      </c>
      <c r="AH28" s="247" t="s">
        <v>1133</v>
      </c>
      <c r="AI28" s="249"/>
    </row>
    <row r="29" spans="2:35" ht="50.1" hidden="1" customHeight="1">
      <c r="B29" s="170">
        <f>IF(D29="","",SUBTOTAL(3,$D$5:D29))</f>
        <v>0</v>
      </c>
      <c r="C29" s="171" t="s">
        <v>663</v>
      </c>
      <c r="D29" s="281" t="s">
        <v>220</v>
      </c>
      <c r="E29" s="167">
        <v>136</v>
      </c>
      <c r="F29" s="286" t="s">
        <v>1678</v>
      </c>
      <c r="G29" s="168" t="s">
        <v>1890</v>
      </c>
      <c r="H29" s="168" t="s">
        <v>357</v>
      </c>
      <c r="I29" s="287" t="s">
        <v>358</v>
      </c>
      <c r="J29" s="247" t="s">
        <v>1</v>
      </c>
      <c r="K29" s="247" t="s">
        <v>1133</v>
      </c>
      <c r="L29" s="168" t="s">
        <v>858</v>
      </c>
      <c r="M29" s="172" t="s">
        <v>1804</v>
      </c>
      <c r="N29" s="251"/>
      <c r="O29" s="171"/>
      <c r="P29" s="171"/>
      <c r="Q29" s="171"/>
      <c r="R29" s="171" t="s">
        <v>356</v>
      </c>
      <c r="S29" s="171" t="s">
        <v>356</v>
      </c>
      <c r="T29" s="171" t="s">
        <v>356</v>
      </c>
      <c r="U29" s="171"/>
      <c r="V29" s="171"/>
      <c r="W29" s="171"/>
      <c r="X29" s="171" t="s">
        <v>356</v>
      </c>
      <c r="Y29" s="252"/>
      <c r="Z29" s="171"/>
      <c r="AA29" s="171"/>
      <c r="AB29" s="253"/>
      <c r="AC29" s="253"/>
      <c r="AD29" s="247" t="s">
        <v>985</v>
      </c>
      <c r="AE29" s="210"/>
      <c r="AF29" s="247" t="s">
        <v>1159</v>
      </c>
      <c r="AG29" s="247" t="s">
        <v>1159</v>
      </c>
      <c r="AH29" s="247" t="s">
        <v>1133</v>
      </c>
      <c r="AI29" s="249"/>
    </row>
    <row r="30" spans="2:35" ht="50.1" hidden="1" customHeight="1">
      <c r="B30" s="170">
        <f>IF(D30="","",SUBTOTAL(3,$D$5:D30))</f>
        <v>0</v>
      </c>
      <c r="C30" s="171" t="s">
        <v>664</v>
      </c>
      <c r="D30" s="281" t="s">
        <v>226</v>
      </c>
      <c r="E30" s="167">
        <v>136</v>
      </c>
      <c r="F30" s="286" t="s">
        <v>1142</v>
      </c>
      <c r="G30" s="168" t="s">
        <v>1891</v>
      </c>
      <c r="H30" s="168" t="s">
        <v>357</v>
      </c>
      <c r="I30" s="287" t="s">
        <v>358</v>
      </c>
      <c r="J30" s="247" t="s">
        <v>360</v>
      </c>
      <c r="K30" s="247" t="s">
        <v>1142</v>
      </c>
      <c r="L30" s="168" t="s">
        <v>359</v>
      </c>
      <c r="M30" s="172" t="s">
        <v>1804</v>
      </c>
      <c r="N30" s="251"/>
      <c r="O30" s="171"/>
      <c r="P30" s="171"/>
      <c r="Q30" s="171"/>
      <c r="R30" s="171" t="s">
        <v>356</v>
      </c>
      <c r="S30" s="171" t="s">
        <v>356</v>
      </c>
      <c r="T30" s="171"/>
      <c r="U30" s="171"/>
      <c r="V30" s="171"/>
      <c r="W30" s="171"/>
      <c r="X30" s="171" t="s">
        <v>356</v>
      </c>
      <c r="Y30" s="252"/>
      <c r="Z30" s="171"/>
      <c r="AA30" s="171"/>
      <c r="AB30" s="253"/>
      <c r="AC30" s="253"/>
      <c r="AD30" s="168" t="s">
        <v>979</v>
      </c>
      <c r="AE30" s="210"/>
      <c r="AF30" s="168" t="s">
        <v>979</v>
      </c>
      <c r="AG30" s="168" t="s">
        <v>980</v>
      </c>
      <c r="AH30" s="247" t="s">
        <v>1142</v>
      </c>
      <c r="AI30" s="249"/>
    </row>
    <row r="31" spans="2:35" ht="50.1" hidden="1" customHeight="1">
      <c r="B31" s="170">
        <f>IF(D31="","",SUBTOTAL(3,$D$5:D31))</f>
        <v>0</v>
      </c>
      <c r="C31" s="171" t="s">
        <v>665</v>
      </c>
      <c r="D31" s="281" t="s">
        <v>219</v>
      </c>
      <c r="E31" s="167">
        <v>136</v>
      </c>
      <c r="F31" s="286" t="s">
        <v>1133</v>
      </c>
      <c r="G31" s="168" t="s">
        <v>1878</v>
      </c>
      <c r="H31" s="168" t="s">
        <v>357</v>
      </c>
      <c r="I31" s="287" t="s">
        <v>361</v>
      </c>
      <c r="J31" s="247" t="s">
        <v>1</v>
      </c>
      <c r="K31" s="247" t="s">
        <v>1133</v>
      </c>
      <c r="L31" s="247">
        <v>30</v>
      </c>
      <c r="M31" s="172" t="s">
        <v>1804</v>
      </c>
      <c r="N31" s="251"/>
      <c r="O31" s="171"/>
      <c r="P31" s="171"/>
      <c r="Q31" s="171"/>
      <c r="R31" s="171"/>
      <c r="S31" s="171"/>
      <c r="T31" s="171"/>
      <c r="U31" s="171"/>
      <c r="V31" s="171"/>
      <c r="W31" s="171"/>
      <c r="X31" s="171"/>
      <c r="Y31" s="252"/>
      <c r="Z31" s="171"/>
      <c r="AA31" s="171"/>
      <c r="AB31" s="253"/>
      <c r="AC31" s="253"/>
      <c r="AD31" s="247" t="s">
        <v>985</v>
      </c>
      <c r="AE31" s="210"/>
      <c r="AF31" s="247" t="s">
        <v>1159</v>
      </c>
      <c r="AG31" s="247" t="s">
        <v>1159</v>
      </c>
      <c r="AH31" s="247" t="s">
        <v>1133</v>
      </c>
      <c r="AI31" s="249"/>
    </row>
    <row r="32" spans="2:35" ht="50.1" hidden="1" customHeight="1">
      <c r="B32" s="170">
        <f>IF(D32="","",SUBTOTAL(3,$D$5:D32))</f>
        <v>0</v>
      </c>
      <c r="C32" s="171" t="s">
        <v>666</v>
      </c>
      <c r="D32" s="281" t="s">
        <v>230</v>
      </c>
      <c r="E32" s="167">
        <v>136</v>
      </c>
      <c r="F32" s="286" t="s">
        <v>1670</v>
      </c>
      <c r="G32" s="168" t="s">
        <v>1805</v>
      </c>
      <c r="H32" s="168" t="s">
        <v>351</v>
      </c>
      <c r="I32" s="287" t="s">
        <v>362</v>
      </c>
      <c r="J32" s="247" t="s">
        <v>1</v>
      </c>
      <c r="K32" s="247" t="s">
        <v>1131</v>
      </c>
      <c r="L32" s="247">
        <v>6</v>
      </c>
      <c r="M32" s="172" t="s">
        <v>1804</v>
      </c>
      <c r="N32" s="255"/>
      <c r="O32" s="256"/>
      <c r="P32" s="256"/>
      <c r="Q32" s="256"/>
      <c r="R32" s="256"/>
      <c r="S32" s="256"/>
      <c r="T32" s="256"/>
      <c r="U32" s="256"/>
      <c r="V32" s="256"/>
      <c r="W32" s="256"/>
      <c r="X32" s="256"/>
      <c r="Y32" s="257" t="s">
        <v>356</v>
      </c>
      <c r="Z32" s="256"/>
      <c r="AA32" s="256"/>
      <c r="AB32" s="258"/>
      <c r="AC32" s="258"/>
      <c r="AD32" s="247" t="s">
        <v>985</v>
      </c>
      <c r="AE32" s="210"/>
      <c r="AF32" s="247" t="s">
        <v>1159</v>
      </c>
      <c r="AG32" s="247" t="s">
        <v>1159</v>
      </c>
      <c r="AH32" s="247" t="s">
        <v>1131</v>
      </c>
      <c r="AI32" s="249"/>
    </row>
    <row r="33" spans="2:35" ht="50.1" hidden="1" customHeight="1">
      <c r="B33" s="170">
        <f>IF(D33="","",SUBTOTAL(3,$D$5:D33))</f>
        <v>0</v>
      </c>
      <c r="C33" s="171" t="s">
        <v>667</v>
      </c>
      <c r="D33" s="281" t="s">
        <v>227</v>
      </c>
      <c r="E33" s="167">
        <v>136</v>
      </c>
      <c r="F33" s="286" t="s">
        <v>1131</v>
      </c>
      <c r="G33" s="168" t="s">
        <v>1233</v>
      </c>
      <c r="H33" s="168" t="s">
        <v>351</v>
      </c>
      <c r="I33" s="287" t="s">
        <v>362</v>
      </c>
      <c r="J33" s="247" t="s">
        <v>1</v>
      </c>
      <c r="K33" s="247" t="s">
        <v>1131</v>
      </c>
      <c r="L33" s="247">
        <v>20</v>
      </c>
      <c r="M33" s="172" t="s">
        <v>1804</v>
      </c>
      <c r="N33" s="251"/>
      <c r="O33" s="171"/>
      <c r="P33" s="171"/>
      <c r="Q33" s="171"/>
      <c r="R33" s="171"/>
      <c r="S33" s="171"/>
      <c r="T33" s="171"/>
      <c r="U33" s="171"/>
      <c r="V33" s="171"/>
      <c r="W33" s="171"/>
      <c r="X33" s="171"/>
      <c r="Y33" s="252"/>
      <c r="Z33" s="171"/>
      <c r="AA33" s="171"/>
      <c r="AB33" s="253"/>
      <c r="AC33" s="253"/>
      <c r="AD33" s="247" t="s">
        <v>985</v>
      </c>
      <c r="AE33" s="210"/>
      <c r="AF33" s="247" t="s">
        <v>1159</v>
      </c>
      <c r="AG33" s="247" t="s">
        <v>1159</v>
      </c>
      <c r="AH33" s="247" t="s">
        <v>1131</v>
      </c>
      <c r="AI33" s="249"/>
    </row>
    <row r="34" spans="2:35" ht="50.1" hidden="1" customHeight="1">
      <c r="B34" s="170">
        <f>IF(D34="","",SUBTOTAL(3,$D$5:D34))</f>
        <v>0</v>
      </c>
      <c r="C34" s="171" t="s">
        <v>668</v>
      </c>
      <c r="D34" s="281" t="s">
        <v>224</v>
      </c>
      <c r="E34" s="167">
        <v>136</v>
      </c>
      <c r="F34" s="286" t="s">
        <v>363</v>
      </c>
      <c r="G34" s="168" t="s">
        <v>1871</v>
      </c>
      <c r="H34" s="168" t="s">
        <v>351</v>
      </c>
      <c r="I34" s="287"/>
      <c r="J34" s="247" t="s">
        <v>365</v>
      </c>
      <c r="K34" s="247" t="s">
        <v>363</v>
      </c>
      <c r="L34" s="247">
        <v>6</v>
      </c>
      <c r="M34" s="172" t="s">
        <v>1804</v>
      </c>
      <c r="N34" s="255"/>
      <c r="O34" s="256"/>
      <c r="P34" s="256"/>
      <c r="Q34" s="256"/>
      <c r="R34" s="256"/>
      <c r="S34" s="256"/>
      <c r="T34" s="256"/>
      <c r="U34" s="256"/>
      <c r="V34" s="256"/>
      <c r="W34" s="256"/>
      <c r="X34" s="256"/>
      <c r="Y34" s="257"/>
      <c r="Z34" s="256"/>
      <c r="AA34" s="256"/>
      <c r="AB34" s="258"/>
      <c r="AC34" s="258"/>
      <c r="AD34" s="247" t="s">
        <v>364</v>
      </c>
      <c r="AE34" s="210"/>
      <c r="AF34" s="247" t="s">
        <v>364</v>
      </c>
      <c r="AG34" s="247" t="s">
        <v>364</v>
      </c>
      <c r="AH34" s="247" t="s">
        <v>363</v>
      </c>
      <c r="AI34" s="249"/>
    </row>
    <row r="35" spans="2:35" ht="50.1" hidden="1" customHeight="1">
      <c r="B35" s="170">
        <f>IF(D35="","",SUBTOTAL(3,$D$5:D35))</f>
        <v>0</v>
      </c>
      <c r="C35" s="171" t="s">
        <v>669</v>
      </c>
      <c r="D35" s="281" t="s">
        <v>229</v>
      </c>
      <c r="E35" s="167">
        <v>136</v>
      </c>
      <c r="F35" s="286" t="s">
        <v>1130</v>
      </c>
      <c r="G35" s="168" t="s">
        <v>1871</v>
      </c>
      <c r="H35" s="168" t="s">
        <v>351</v>
      </c>
      <c r="I35" s="287" t="s">
        <v>366</v>
      </c>
      <c r="J35" s="247" t="s">
        <v>365</v>
      </c>
      <c r="K35" s="247" t="s">
        <v>1130</v>
      </c>
      <c r="L35" s="247">
        <v>6</v>
      </c>
      <c r="M35" s="172" t="s">
        <v>1804</v>
      </c>
      <c r="N35" s="255"/>
      <c r="O35" s="256"/>
      <c r="P35" s="256"/>
      <c r="Q35" s="256"/>
      <c r="R35" s="256"/>
      <c r="S35" s="256"/>
      <c r="T35" s="256"/>
      <c r="U35" s="256"/>
      <c r="V35" s="256"/>
      <c r="W35" s="256"/>
      <c r="X35" s="256"/>
      <c r="Y35" s="257"/>
      <c r="Z35" s="256"/>
      <c r="AA35" s="256"/>
      <c r="AB35" s="258"/>
      <c r="AC35" s="258"/>
      <c r="AD35" s="247" t="s">
        <v>1159</v>
      </c>
      <c r="AE35" s="210"/>
      <c r="AF35" s="247" t="s">
        <v>1159</v>
      </c>
      <c r="AG35" s="247" t="s">
        <v>364</v>
      </c>
      <c r="AH35" s="247" t="s">
        <v>1130</v>
      </c>
      <c r="AI35" s="249"/>
    </row>
    <row r="36" spans="2:35" ht="50.1" hidden="1" customHeight="1">
      <c r="B36" s="170">
        <f>IF(D36="","",SUBTOTAL(3,$D$5:D36))</f>
        <v>0</v>
      </c>
      <c r="C36" s="171" t="s">
        <v>670</v>
      </c>
      <c r="D36" s="281" t="s">
        <v>329</v>
      </c>
      <c r="E36" s="167">
        <v>136</v>
      </c>
      <c r="F36" s="286" t="s">
        <v>363</v>
      </c>
      <c r="G36" s="168" t="s">
        <v>1871</v>
      </c>
      <c r="H36" s="168" t="s">
        <v>368</v>
      </c>
      <c r="I36" s="287"/>
      <c r="J36" s="168" t="s">
        <v>367</v>
      </c>
      <c r="K36" s="247" t="s">
        <v>1300</v>
      </c>
      <c r="L36" s="247">
        <v>6</v>
      </c>
      <c r="M36" s="172" t="s">
        <v>1804</v>
      </c>
      <c r="N36" s="255"/>
      <c r="O36" s="256"/>
      <c r="P36" s="256"/>
      <c r="Q36" s="256"/>
      <c r="R36" s="256"/>
      <c r="S36" s="256"/>
      <c r="T36" s="256"/>
      <c r="U36" s="256"/>
      <c r="V36" s="256"/>
      <c r="W36" s="256"/>
      <c r="X36" s="256"/>
      <c r="Y36" s="257"/>
      <c r="Z36" s="256"/>
      <c r="AA36" s="256"/>
      <c r="AB36" s="258"/>
      <c r="AC36" s="258"/>
      <c r="AD36" s="247" t="s">
        <v>364</v>
      </c>
      <c r="AE36" s="210"/>
      <c r="AF36" s="247" t="s">
        <v>364</v>
      </c>
      <c r="AG36" s="247" t="s">
        <v>364</v>
      </c>
      <c r="AH36" s="247" t="s">
        <v>363</v>
      </c>
      <c r="AI36" s="249"/>
    </row>
    <row r="37" spans="2:35" ht="50.1" hidden="1" customHeight="1">
      <c r="B37" s="170">
        <f>IF(D37="","",SUBTOTAL(3,$D$5:D37))</f>
        <v>0</v>
      </c>
      <c r="C37" s="171" t="s">
        <v>671</v>
      </c>
      <c r="D37" s="281" t="s">
        <v>330</v>
      </c>
      <c r="E37" s="167">
        <v>136</v>
      </c>
      <c r="F37" s="287" t="s">
        <v>1671</v>
      </c>
      <c r="G37" s="168" t="s">
        <v>1864</v>
      </c>
      <c r="H37" s="168" t="s">
        <v>369</v>
      </c>
      <c r="I37" s="287" t="s">
        <v>362</v>
      </c>
      <c r="J37" s="168" t="s">
        <v>1</v>
      </c>
      <c r="K37" s="247" t="s">
        <v>1301</v>
      </c>
      <c r="L37" s="247" t="s">
        <v>1431</v>
      </c>
      <c r="M37" s="172" t="s">
        <v>1804</v>
      </c>
      <c r="N37" s="255"/>
      <c r="O37" s="256"/>
      <c r="P37" s="256"/>
      <c r="Q37" s="256"/>
      <c r="R37" s="256"/>
      <c r="S37" s="256"/>
      <c r="T37" s="256"/>
      <c r="U37" s="256"/>
      <c r="V37" s="256"/>
      <c r="W37" s="256"/>
      <c r="X37" s="256" t="s">
        <v>356</v>
      </c>
      <c r="Y37" s="257"/>
      <c r="Z37" s="256"/>
      <c r="AA37" s="256"/>
      <c r="AB37" s="258"/>
      <c r="AC37" s="258"/>
      <c r="AD37" s="168" t="s">
        <v>1274</v>
      </c>
      <c r="AE37" s="210"/>
      <c r="AF37" s="168" t="s">
        <v>981</v>
      </c>
      <c r="AG37" s="168" t="s">
        <v>982</v>
      </c>
      <c r="AH37" s="168" t="s">
        <v>1124</v>
      </c>
      <c r="AI37" s="249"/>
    </row>
    <row r="38" spans="2:35" ht="50.1" hidden="1" customHeight="1">
      <c r="B38" s="170">
        <f>IF(D38="","",SUBTOTAL(3,$D$5:D38))</f>
        <v>0</v>
      </c>
      <c r="C38" s="171" t="s">
        <v>672</v>
      </c>
      <c r="D38" s="281" t="s">
        <v>331</v>
      </c>
      <c r="E38" s="167">
        <v>141</v>
      </c>
      <c r="F38" s="287" t="s">
        <v>978</v>
      </c>
      <c r="G38" s="168" t="s">
        <v>1908</v>
      </c>
      <c r="H38" s="168" t="s">
        <v>369</v>
      </c>
      <c r="I38" s="287" t="s">
        <v>372</v>
      </c>
      <c r="J38" s="168" t="s">
        <v>371</v>
      </c>
      <c r="K38" s="247" t="s">
        <v>1127</v>
      </c>
      <c r="L38" s="247">
        <v>10</v>
      </c>
      <c r="M38" s="172" t="s">
        <v>1804</v>
      </c>
      <c r="N38" s="255"/>
      <c r="O38" s="256"/>
      <c r="P38" s="256"/>
      <c r="Q38" s="256"/>
      <c r="R38" s="256"/>
      <c r="S38" s="256"/>
      <c r="T38" s="256"/>
      <c r="U38" s="256"/>
      <c r="V38" s="256"/>
      <c r="W38" s="256"/>
      <c r="X38" s="256"/>
      <c r="Y38" s="257"/>
      <c r="Z38" s="256"/>
      <c r="AA38" s="256"/>
      <c r="AB38" s="258"/>
      <c r="AC38" s="258"/>
      <c r="AD38" s="247" t="s">
        <v>1279</v>
      </c>
      <c r="AE38" s="210"/>
      <c r="AF38" s="247" t="s">
        <v>1166</v>
      </c>
      <c r="AG38" s="247" t="s">
        <v>1166</v>
      </c>
      <c r="AH38" s="168" t="s">
        <v>978</v>
      </c>
      <c r="AI38" s="249"/>
    </row>
    <row r="39" spans="2:35" ht="50.1" hidden="1" customHeight="1">
      <c r="B39" s="170">
        <f>IF(D39="","",SUBTOTAL(3,$D$5:D39))</f>
        <v>0</v>
      </c>
      <c r="C39" s="171" t="s">
        <v>673</v>
      </c>
      <c r="D39" s="281" t="s">
        <v>332</v>
      </c>
      <c r="E39" s="167" t="s">
        <v>1677</v>
      </c>
      <c r="F39" s="287" t="s">
        <v>1679</v>
      </c>
      <c r="G39" s="168" t="s">
        <v>1872</v>
      </c>
      <c r="H39" s="168" t="s">
        <v>369</v>
      </c>
      <c r="I39" s="287" t="s">
        <v>374</v>
      </c>
      <c r="J39" s="168" t="s">
        <v>1032</v>
      </c>
      <c r="K39" s="247" t="s">
        <v>1302</v>
      </c>
      <c r="L39" s="247" t="s">
        <v>373</v>
      </c>
      <c r="M39" s="172" t="s">
        <v>1804</v>
      </c>
      <c r="N39" s="255"/>
      <c r="O39" s="256"/>
      <c r="P39" s="256"/>
      <c r="Q39" s="256"/>
      <c r="R39" s="256"/>
      <c r="S39" s="256" t="s">
        <v>356</v>
      </c>
      <c r="T39" s="256"/>
      <c r="U39" s="256"/>
      <c r="V39" s="256"/>
      <c r="W39" s="256"/>
      <c r="X39" s="256"/>
      <c r="Y39" s="257"/>
      <c r="Z39" s="256"/>
      <c r="AA39" s="256"/>
      <c r="AB39" s="258"/>
      <c r="AC39" s="258"/>
      <c r="AD39" s="168" t="s">
        <v>1274</v>
      </c>
      <c r="AE39" s="210"/>
      <c r="AF39" s="168" t="s">
        <v>981</v>
      </c>
      <c r="AG39" s="168" t="s">
        <v>982</v>
      </c>
      <c r="AH39" s="168" t="s">
        <v>1125</v>
      </c>
      <c r="AI39" s="249"/>
    </row>
    <row r="40" spans="2:35" ht="50.1" hidden="1" customHeight="1">
      <c r="B40" s="170">
        <f>IF(D40="","",SUBTOTAL(3,$D$5:D40))</f>
        <v>0</v>
      </c>
      <c r="C40" s="171" t="s">
        <v>826</v>
      </c>
      <c r="D40" s="281" t="s">
        <v>333</v>
      </c>
      <c r="E40" s="167">
        <v>136</v>
      </c>
      <c r="F40" s="286" t="s">
        <v>375</v>
      </c>
      <c r="G40" s="168" t="s">
        <v>1873</v>
      </c>
      <c r="H40" s="168" t="s">
        <v>368</v>
      </c>
      <c r="I40" s="287" t="s">
        <v>398</v>
      </c>
      <c r="J40" s="168" t="s">
        <v>376</v>
      </c>
      <c r="K40" s="247" t="s">
        <v>1303</v>
      </c>
      <c r="L40" s="247">
        <v>10</v>
      </c>
      <c r="M40" s="172" t="s">
        <v>1804</v>
      </c>
      <c r="N40" s="255"/>
      <c r="O40" s="256"/>
      <c r="P40" s="256"/>
      <c r="Q40" s="256"/>
      <c r="R40" s="256"/>
      <c r="S40" s="256"/>
      <c r="T40" s="256"/>
      <c r="U40" s="256"/>
      <c r="V40" s="256"/>
      <c r="W40" s="256"/>
      <c r="X40" s="256"/>
      <c r="Y40" s="257"/>
      <c r="Z40" s="256"/>
      <c r="AA40" s="256"/>
      <c r="AB40" s="258"/>
      <c r="AC40" s="258"/>
      <c r="AD40" s="247" t="s">
        <v>1279</v>
      </c>
      <c r="AE40" s="210"/>
      <c r="AF40" s="247" t="s">
        <v>1166</v>
      </c>
      <c r="AG40" s="247" t="s">
        <v>1166</v>
      </c>
      <c r="AH40" s="247" t="s">
        <v>375</v>
      </c>
      <c r="AI40" s="249"/>
    </row>
    <row r="41" spans="2:35" ht="50.1" hidden="1" customHeight="1">
      <c r="B41" s="170">
        <f>IF(D41="","",SUBTOTAL(3,$D$5:D41))</f>
        <v>0</v>
      </c>
      <c r="C41" s="171" t="s">
        <v>674</v>
      </c>
      <c r="D41" s="281" t="s">
        <v>334</v>
      </c>
      <c r="E41" s="167">
        <v>141</v>
      </c>
      <c r="F41" s="286" t="s">
        <v>370</v>
      </c>
      <c r="G41" s="168" t="s">
        <v>1889</v>
      </c>
      <c r="H41" s="168" t="s">
        <v>368</v>
      </c>
      <c r="I41" s="287" t="s">
        <v>377</v>
      </c>
      <c r="J41" s="168" t="s">
        <v>371</v>
      </c>
      <c r="K41" s="247" t="s">
        <v>1127</v>
      </c>
      <c r="L41" s="247" t="s">
        <v>1432</v>
      </c>
      <c r="M41" s="172" t="s">
        <v>1804</v>
      </c>
      <c r="N41" s="255"/>
      <c r="O41" s="256"/>
      <c r="P41" s="256"/>
      <c r="Q41" s="256"/>
      <c r="R41" s="256"/>
      <c r="S41" s="256"/>
      <c r="T41" s="256"/>
      <c r="U41" s="256"/>
      <c r="V41" s="256" t="s">
        <v>356</v>
      </c>
      <c r="W41" s="256"/>
      <c r="X41" s="256"/>
      <c r="Y41" s="257"/>
      <c r="Z41" s="256"/>
      <c r="AA41" s="256"/>
      <c r="AB41" s="258"/>
      <c r="AC41" s="258"/>
      <c r="AD41" s="247" t="s">
        <v>1279</v>
      </c>
      <c r="AE41" s="210"/>
      <c r="AF41" s="247" t="s">
        <v>1166</v>
      </c>
      <c r="AG41" s="247" t="s">
        <v>1166</v>
      </c>
      <c r="AH41" s="247" t="s">
        <v>370</v>
      </c>
      <c r="AI41" s="249"/>
    </row>
    <row r="42" spans="2:35" ht="50.1" hidden="1" customHeight="1">
      <c r="B42" s="170">
        <f>IF(D42="","",SUBTOTAL(3,$D$5:D42))</f>
        <v>0</v>
      </c>
      <c r="C42" s="171" t="s">
        <v>675</v>
      </c>
      <c r="D42" s="281" t="s">
        <v>335</v>
      </c>
      <c r="E42" s="167">
        <v>136</v>
      </c>
      <c r="F42" s="287" t="s">
        <v>1669</v>
      </c>
      <c r="G42" s="168" t="s">
        <v>1453</v>
      </c>
      <c r="H42" s="168" t="s">
        <v>379</v>
      </c>
      <c r="I42" s="287" t="s">
        <v>362</v>
      </c>
      <c r="J42" s="168" t="s">
        <v>1</v>
      </c>
      <c r="K42" s="247" t="s">
        <v>1280</v>
      </c>
      <c r="L42" s="247">
        <v>10</v>
      </c>
      <c r="M42" s="172" t="s">
        <v>1804</v>
      </c>
      <c r="N42" s="255"/>
      <c r="O42" s="256"/>
      <c r="P42" s="256"/>
      <c r="Q42" s="256"/>
      <c r="R42" s="256"/>
      <c r="S42" s="256"/>
      <c r="T42" s="256"/>
      <c r="U42" s="256"/>
      <c r="V42" s="256" t="s">
        <v>356</v>
      </c>
      <c r="W42" s="256"/>
      <c r="X42" s="256" t="s">
        <v>356</v>
      </c>
      <c r="Y42" s="257" t="s">
        <v>356</v>
      </c>
      <c r="Z42" s="256"/>
      <c r="AA42" s="256"/>
      <c r="AB42" s="258"/>
      <c r="AC42" s="258"/>
      <c r="AD42" s="247" t="s">
        <v>1242</v>
      </c>
      <c r="AE42" s="210"/>
      <c r="AF42" s="247" t="s">
        <v>1177</v>
      </c>
      <c r="AG42" s="247" t="s">
        <v>1177</v>
      </c>
      <c r="AH42" s="168" t="s">
        <v>1126</v>
      </c>
      <c r="AI42" s="249"/>
    </row>
    <row r="43" spans="2:35" ht="50.1" hidden="1" customHeight="1">
      <c r="B43" s="170">
        <f>IF(D43="","",SUBTOTAL(3,$D$5:D43))</f>
        <v>0</v>
      </c>
      <c r="C43" s="171" t="s">
        <v>676</v>
      </c>
      <c r="D43" s="281" t="s">
        <v>336</v>
      </c>
      <c r="E43" s="167">
        <v>136</v>
      </c>
      <c r="F43" s="287" t="s">
        <v>1669</v>
      </c>
      <c r="G43" s="168" t="s">
        <v>1808</v>
      </c>
      <c r="H43" s="168" t="s">
        <v>351</v>
      </c>
      <c r="I43" s="287" t="s">
        <v>362</v>
      </c>
      <c r="J43" s="168" t="s">
        <v>1</v>
      </c>
      <c r="K43" s="247" t="s">
        <v>1280</v>
      </c>
      <c r="L43" s="247">
        <v>40</v>
      </c>
      <c r="M43" s="172" t="s">
        <v>1804</v>
      </c>
      <c r="N43" s="255"/>
      <c r="O43" s="256"/>
      <c r="P43" s="256"/>
      <c r="Q43" s="256"/>
      <c r="R43" s="256"/>
      <c r="S43" s="256"/>
      <c r="T43" s="256"/>
      <c r="U43" s="256"/>
      <c r="V43" s="256"/>
      <c r="W43" s="256"/>
      <c r="X43" s="256" t="s">
        <v>356</v>
      </c>
      <c r="Y43" s="257" t="s">
        <v>356</v>
      </c>
      <c r="Z43" s="256"/>
      <c r="AA43" s="256"/>
      <c r="AB43" s="258"/>
      <c r="AC43" s="258"/>
      <c r="AD43" s="247" t="s">
        <v>1242</v>
      </c>
      <c r="AE43" s="210"/>
      <c r="AF43" s="247" t="s">
        <v>1177</v>
      </c>
      <c r="AG43" s="247" t="s">
        <v>1177</v>
      </c>
      <c r="AH43" s="168" t="s">
        <v>1126</v>
      </c>
      <c r="AI43" s="249"/>
    </row>
    <row r="44" spans="2:35" ht="50.1" hidden="1" customHeight="1">
      <c r="B44" s="170">
        <f>IF(D44="","",SUBTOTAL(3,$D$5:D44))</f>
        <v>0</v>
      </c>
      <c r="C44" s="171" t="s">
        <v>677</v>
      </c>
      <c r="D44" s="281" t="s">
        <v>380</v>
      </c>
      <c r="E44" s="167">
        <v>52</v>
      </c>
      <c r="F44" s="286" t="s">
        <v>1127</v>
      </c>
      <c r="G44" s="168" t="s">
        <v>1865</v>
      </c>
      <c r="H44" s="168" t="s">
        <v>368</v>
      </c>
      <c r="I44" s="287" t="s">
        <v>381</v>
      </c>
      <c r="J44" s="168" t="s">
        <v>371</v>
      </c>
      <c r="K44" s="247" t="s">
        <v>1127</v>
      </c>
      <c r="L44" s="247">
        <v>2</v>
      </c>
      <c r="M44" s="172" t="s">
        <v>1804</v>
      </c>
      <c r="N44" s="255"/>
      <c r="O44" s="256"/>
      <c r="P44" s="256"/>
      <c r="Q44" s="256"/>
      <c r="R44" s="256"/>
      <c r="S44" s="256"/>
      <c r="T44" s="256"/>
      <c r="U44" s="256"/>
      <c r="V44" s="256" t="s">
        <v>356</v>
      </c>
      <c r="W44" s="256"/>
      <c r="X44" s="256"/>
      <c r="Y44" s="257"/>
      <c r="Z44" s="256"/>
      <c r="AA44" s="256"/>
      <c r="AB44" s="258"/>
      <c r="AC44" s="258"/>
      <c r="AD44" s="247" t="s">
        <v>1279</v>
      </c>
      <c r="AE44" s="210"/>
      <c r="AF44" s="247" t="s">
        <v>1166</v>
      </c>
      <c r="AG44" s="247" t="s">
        <v>1166</v>
      </c>
      <c r="AH44" s="247" t="s">
        <v>1127</v>
      </c>
      <c r="AI44" s="249"/>
    </row>
    <row r="45" spans="2:35" ht="50.1" hidden="1" customHeight="1">
      <c r="B45" s="170">
        <f>IF(D45="","",SUBTOTAL(3,$D$5:D45))</f>
        <v>0</v>
      </c>
      <c r="C45" s="171" t="s">
        <v>678</v>
      </c>
      <c r="D45" s="281" t="s">
        <v>337</v>
      </c>
      <c r="E45" s="167">
        <v>136</v>
      </c>
      <c r="F45" s="286" t="s">
        <v>1128</v>
      </c>
      <c r="G45" s="168" t="s">
        <v>1874</v>
      </c>
      <c r="H45" s="168" t="s">
        <v>351</v>
      </c>
      <c r="I45" s="287"/>
      <c r="J45" s="168" t="s">
        <v>383</v>
      </c>
      <c r="K45" s="247" t="s">
        <v>1128</v>
      </c>
      <c r="L45" s="247">
        <v>12</v>
      </c>
      <c r="M45" s="172" t="s">
        <v>1804</v>
      </c>
      <c r="N45" s="255"/>
      <c r="O45" s="256"/>
      <c r="P45" s="256"/>
      <c r="Q45" s="256"/>
      <c r="R45" s="256"/>
      <c r="S45" s="256"/>
      <c r="T45" s="256"/>
      <c r="U45" s="256"/>
      <c r="V45" s="256"/>
      <c r="W45" s="256"/>
      <c r="X45" s="256"/>
      <c r="Y45" s="257"/>
      <c r="Z45" s="256"/>
      <c r="AA45" s="256"/>
      <c r="AB45" s="258"/>
      <c r="AC45" s="258"/>
      <c r="AD45" s="247" t="s">
        <v>1178</v>
      </c>
      <c r="AE45" s="210"/>
      <c r="AF45" s="247" t="s">
        <v>1178</v>
      </c>
      <c r="AG45" s="247" t="s">
        <v>1178</v>
      </c>
      <c r="AH45" s="247" t="s">
        <v>1128</v>
      </c>
      <c r="AI45" s="249"/>
    </row>
    <row r="46" spans="2:35" ht="50.1" hidden="1" customHeight="1">
      <c r="B46" s="170">
        <f>IF(D46="","",SUBTOTAL(3,$D$5:D46))</f>
        <v>0</v>
      </c>
      <c r="C46" s="171" t="s">
        <v>679</v>
      </c>
      <c r="D46" s="281" t="s">
        <v>338</v>
      </c>
      <c r="E46" s="167">
        <v>136</v>
      </c>
      <c r="F46" s="286" t="s">
        <v>1128</v>
      </c>
      <c r="G46" s="168" t="s">
        <v>1874</v>
      </c>
      <c r="H46" s="168" t="s">
        <v>351</v>
      </c>
      <c r="I46" s="287"/>
      <c r="J46" s="168" t="s">
        <v>383</v>
      </c>
      <c r="K46" s="247" t="s">
        <v>1128</v>
      </c>
      <c r="L46" s="247">
        <v>12</v>
      </c>
      <c r="M46" s="172" t="s">
        <v>1804</v>
      </c>
      <c r="N46" s="255"/>
      <c r="O46" s="256"/>
      <c r="P46" s="256"/>
      <c r="Q46" s="256"/>
      <c r="R46" s="256"/>
      <c r="S46" s="256"/>
      <c r="T46" s="256"/>
      <c r="U46" s="256"/>
      <c r="V46" s="256"/>
      <c r="W46" s="256"/>
      <c r="X46" s="256"/>
      <c r="Y46" s="257"/>
      <c r="Z46" s="256"/>
      <c r="AA46" s="256"/>
      <c r="AB46" s="258"/>
      <c r="AC46" s="258"/>
      <c r="AD46" s="247" t="s">
        <v>1178</v>
      </c>
      <c r="AE46" s="210"/>
      <c r="AF46" s="247" t="s">
        <v>1178</v>
      </c>
      <c r="AG46" s="168" t="s">
        <v>983</v>
      </c>
      <c r="AH46" s="247" t="s">
        <v>1128</v>
      </c>
      <c r="AI46" s="249"/>
    </row>
    <row r="47" spans="2:35" ht="50.1" hidden="1" customHeight="1">
      <c r="B47" s="170">
        <f>IF(D47="","",SUBTOTAL(3,$D$5:D47))</f>
        <v>0</v>
      </c>
      <c r="C47" s="171" t="s">
        <v>680</v>
      </c>
      <c r="D47" s="281" t="s">
        <v>384</v>
      </c>
      <c r="E47" s="167">
        <v>136</v>
      </c>
      <c r="F47" s="286" t="s">
        <v>1129</v>
      </c>
      <c r="G47" s="168" t="s">
        <v>1866</v>
      </c>
      <c r="H47" s="168" t="s">
        <v>368</v>
      </c>
      <c r="I47" s="287"/>
      <c r="J47" s="168" t="s">
        <v>386</v>
      </c>
      <c r="K47" s="247" t="s">
        <v>1129</v>
      </c>
      <c r="L47" s="247">
        <v>5</v>
      </c>
      <c r="M47" s="172" t="s">
        <v>1804</v>
      </c>
      <c r="N47" s="255"/>
      <c r="O47" s="256"/>
      <c r="P47" s="256"/>
      <c r="Q47" s="256"/>
      <c r="R47" s="256"/>
      <c r="S47" s="256"/>
      <c r="T47" s="256"/>
      <c r="U47" s="256"/>
      <c r="V47" s="256"/>
      <c r="W47" s="256"/>
      <c r="X47" s="256"/>
      <c r="Y47" s="257"/>
      <c r="Z47" s="256"/>
      <c r="AA47" s="256"/>
      <c r="AB47" s="258"/>
      <c r="AC47" s="258"/>
      <c r="AD47" s="247" t="s">
        <v>385</v>
      </c>
      <c r="AE47" s="210"/>
      <c r="AF47" s="247" t="s">
        <v>385</v>
      </c>
      <c r="AG47" s="168" t="s">
        <v>984</v>
      </c>
      <c r="AH47" s="247" t="s">
        <v>1129</v>
      </c>
      <c r="AI47" s="249"/>
    </row>
    <row r="48" spans="2:35" ht="50.1" hidden="1" customHeight="1">
      <c r="B48" s="170">
        <f>IF(D48="","",SUBTOTAL(3,$D$5:D48))</f>
        <v>0</v>
      </c>
      <c r="C48" s="171" t="s">
        <v>681</v>
      </c>
      <c r="D48" s="281" t="s">
        <v>339</v>
      </c>
      <c r="E48" s="167">
        <v>136</v>
      </c>
      <c r="F48" s="286" t="s">
        <v>1670</v>
      </c>
      <c r="G48" s="168" t="s">
        <v>1809</v>
      </c>
      <c r="H48" s="168" t="s">
        <v>351</v>
      </c>
      <c r="I48" s="287" t="s">
        <v>362</v>
      </c>
      <c r="J48" s="168" t="s">
        <v>1</v>
      </c>
      <c r="K48" s="247" t="s">
        <v>1304</v>
      </c>
      <c r="L48" s="247">
        <v>30</v>
      </c>
      <c r="M48" s="172" t="s">
        <v>1804</v>
      </c>
      <c r="N48" s="255"/>
      <c r="O48" s="256"/>
      <c r="P48" s="256"/>
      <c r="Q48" s="256"/>
      <c r="R48" s="256"/>
      <c r="S48" s="256"/>
      <c r="T48" s="256"/>
      <c r="U48" s="256"/>
      <c r="V48" s="256"/>
      <c r="W48" s="256"/>
      <c r="X48" s="256"/>
      <c r="Y48" s="257" t="s">
        <v>356</v>
      </c>
      <c r="Z48" s="256"/>
      <c r="AA48" s="256"/>
      <c r="AB48" s="258"/>
      <c r="AC48" s="258"/>
      <c r="AD48" s="247" t="s">
        <v>985</v>
      </c>
      <c r="AE48" s="210"/>
      <c r="AF48" s="247" t="s">
        <v>985</v>
      </c>
      <c r="AG48" s="247" t="s">
        <v>986</v>
      </c>
      <c r="AH48" s="168" t="s">
        <v>1131</v>
      </c>
      <c r="AI48" s="249"/>
    </row>
    <row r="49" spans="2:35" ht="50.1" hidden="1" customHeight="1">
      <c r="B49" s="170">
        <f>IF(D49="","",SUBTOTAL(3,$D$5:D49))</f>
        <v>0</v>
      </c>
      <c r="C49" s="171" t="s">
        <v>682</v>
      </c>
      <c r="D49" s="281" t="s">
        <v>387</v>
      </c>
      <c r="E49" s="167">
        <v>136</v>
      </c>
      <c r="F49" s="286" t="s">
        <v>1132</v>
      </c>
      <c r="G49" s="168" t="s">
        <v>1875</v>
      </c>
      <c r="H49" s="168" t="s">
        <v>351</v>
      </c>
      <c r="I49" s="287" t="s">
        <v>366</v>
      </c>
      <c r="J49" s="168" t="s">
        <v>365</v>
      </c>
      <c r="K49" s="247" t="s">
        <v>1305</v>
      </c>
      <c r="L49" s="247">
        <v>30</v>
      </c>
      <c r="M49" s="172" t="s">
        <v>1804</v>
      </c>
      <c r="N49" s="255"/>
      <c r="O49" s="256"/>
      <c r="P49" s="256"/>
      <c r="Q49" s="256"/>
      <c r="R49" s="256"/>
      <c r="S49" s="256"/>
      <c r="T49" s="256"/>
      <c r="U49" s="256"/>
      <c r="V49" s="256"/>
      <c r="W49" s="256"/>
      <c r="X49" s="256"/>
      <c r="Y49" s="257"/>
      <c r="Z49" s="256"/>
      <c r="AA49" s="256"/>
      <c r="AB49" s="258"/>
      <c r="AC49" s="258"/>
      <c r="AD49" s="247" t="s">
        <v>1285</v>
      </c>
      <c r="AE49" s="210"/>
      <c r="AF49" s="247" t="s">
        <v>1159</v>
      </c>
      <c r="AG49" s="247" t="s">
        <v>1179</v>
      </c>
      <c r="AH49" s="247" t="s">
        <v>1132</v>
      </c>
      <c r="AI49" s="249"/>
    </row>
    <row r="50" spans="2:35" ht="50.1" hidden="1" customHeight="1">
      <c r="B50" s="170">
        <f>IF(D50="","",SUBTOTAL(3,$D$5:D50))</f>
        <v>0</v>
      </c>
      <c r="C50" s="171" t="s">
        <v>683</v>
      </c>
      <c r="D50" s="281" t="s">
        <v>341</v>
      </c>
      <c r="E50" s="167">
        <v>136</v>
      </c>
      <c r="F50" s="286" t="s">
        <v>388</v>
      </c>
      <c r="G50" s="168" t="s">
        <v>1875</v>
      </c>
      <c r="H50" s="168" t="s">
        <v>368</v>
      </c>
      <c r="I50" s="287" t="s">
        <v>389</v>
      </c>
      <c r="J50" s="168" t="s">
        <v>367</v>
      </c>
      <c r="K50" s="247" t="s">
        <v>1306</v>
      </c>
      <c r="L50" s="247">
        <v>30</v>
      </c>
      <c r="M50" s="172" t="s">
        <v>1804</v>
      </c>
      <c r="N50" s="255"/>
      <c r="O50" s="256"/>
      <c r="P50" s="256"/>
      <c r="Q50" s="256"/>
      <c r="R50" s="256"/>
      <c r="S50" s="256"/>
      <c r="T50" s="256"/>
      <c r="U50" s="256"/>
      <c r="V50" s="256"/>
      <c r="W50" s="256"/>
      <c r="X50" s="256"/>
      <c r="Y50" s="257"/>
      <c r="Z50" s="256"/>
      <c r="AA50" s="256"/>
      <c r="AB50" s="258"/>
      <c r="AC50" s="258"/>
      <c r="AD50" s="247" t="s">
        <v>364</v>
      </c>
      <c r="AE50" s="210"/>
      <c r="AF50" s="247" t="s">
        <v>364</v>
      </c>
      <c r="AG50" s="247" t="s">
        <v>364</v>
      </c>
      <c r="AH50" s="247" t="s">
        <v>388</v>
      </c>
      <c r="AI50" s="249"/>
    </row>
    <row r="51" spans="2:35" ht="50.1" hidden="1" customHeight="1">
      <c r="B51" s="170">
        <f>IF(D51="","",SUBTOTAL(3,$D$5:D51))</f>
        <v>0</v>
      </c>
      <c r="C51" s="171" t="s">
        <v>684</v>
      </c>
      <c r="D51" s="281" t="s">
        <v>340</v>
      </c>
      <c r="E51" s="167">
        <v>136</v>
      </c>
      <c r="F51" s="286" t="s">
        <v>382</v>
      </c>
      <c r="G51" s="168" t="s">
        <v>1875</v>
      </c>
      <c r="H51" s="168" t="s">
        <v>351</v>
      </c>
      <c r="I51" s="287"/>
      <c r="J51" s="168" t="s">
        <v>383</v>
      </c>
      <c r="K51" s="247" t="s">
        <v>1128</v>
      </c>
      <c r="L51" s="247">
        <v>30</v>
      </c>
      <c r="M51" s="172" t="s">
        <v>1804</v>
      </c>
      <c r="N51" s="255"/>
      <c r="O51" s="256"/>
      <c r="P51" s="256"/>
      <c r="Q51" s="256"/>
      <c r="R51" s="256"/>
      <c r="S51" s="256"/>
      <c r="T51" s="256"/>
      <c r="U51" s="256"/>
      <c r="V51" s="256"/>
      <c r="W51" s="256"/>
      <c r="X51" s="256"/>
      <c r="Y51" s="257"/>
      <c r="Z51" s="256"/>
      <c r="AA51" s="256"/>
      <c r="AB51" s="258"/>
      <c r="AC51" s="258"/>
      <c r="AD51" s="247" t="s">
        <v>1178</v>
      </c>
      <c r="AE51" s="210"/>
      <c r="AF51" s="247" t="s">
        <v>1178</v>
      </c>
      <c r="AG51" s="168" t="s">
        <v>1180</v>
      </c>
      <c r="AH51" s="247" t="s">
        <v>382</v>
      </c>
      <c r="AI51" s="249"/>
    </row>
    <row r="52" spans="2:35" ht="50.1" hidden="1" customHeight="1">
      <c r="B52" s="170">
        <f>IF(D52="","",SUBTOTAL(3,$D$5:D52))</f>
        <v>0</v>
      </c>
      <c r="C52" s="171" t="s">
        <v>685</v>
      </c>
      <c r="D52" s="281" t="s">
        <v>390</v>
      </c>
      <c r="E52" s="167">
        <v>136</v>
      </c>
      <c r="F52" s="286" t="s">
        <v>1133</v>
      </c>
      <c r="G52" s="168" t="s">
        <v>1855</v>
      </c>
      <c r="H52" s="168" t="s">
        <v>368</v>
      </c>
      <c r="I52" s="287" t="s">
        <v>391</v>
      </c>
      <c r="J52" s="168" t="s">
        <v>1</v>
      </c>
      <c r="K52" s="247" t="s">
        <v>1133</v>
      </c>
      <c r="L52" s="247" t="s">
        <v>1433</v>
      </c>
      <c r="M52" s="172" t="s">
        <v>1804</v>
      </c>
      <c r="N52" s="255"/>
      <c r="O52" s="256"/>
      <c r="P52" s="256"/>
      <c r="Q52" s="256"/>
      <c r="R52" s="256"/>
      <c r="S52" s="256"/>
      <c r="T52" s="256" t="s">
        <v>356</v>
      </c>
      <c r="U52" s="256"/>
      <c r="V52" s="256"/>
      <c r="W52" s="256"/>
      <c r="X52" s="256"/>
      <c r="Y52" s="257"/>
      <c r="Z52" s="256"/>
      <c r="AA52" s="256"/>
      <c r="AB52" s="258"/>
      <c r="AC52" s="258"/>
      <c r="AD52" s="247" t="s">
        <v>985</v>
      </c>
      <c r="AE52" s="210"/>
      <c r="AF52" s="247" t="s">
        <v>985</v>
      </c>
      <c r="AG52" s="247" t="s">
        <v>986</v>
      </c>
      <c r="AH52" s="247" t="s">
        <v>1133</v>
      </c>
      <c r="AI52" s="249"/>
    </row>
    <row r="53" spans="2:35" ht="50.1" hidden="1" customHeight="1">
      <c r="B53" s="170">
        <f>IF(D53="","",SUBTOTAL(3,$D$5:D53))</f>
        <v>0</v>
      </c>
      <c r="C53" s="171" t="s">
        <v>686</v>
      </c>
      <c r="D53" s="281" t="s">
        <v>392</v>
      </c>
      <c r="E53" s="167">
        <v>141</v>
      </c>
      <c r="F53" s="286" t="s">
        <v>382</v>
      </c>
      <c r="G53" s="168" t="s">
        <v>1876</v>
      </c>
      <c r="H53" s="168" t="s">
        <v>368</v>
      </c>
      <c r="I53" s="287"/>
      <c r="J53" s="168" t="s">
        <v>393</v>
      </c>
      <c r="K53" s="247" t="s">
        <v>1128</v>
      </c>
      <c r="L53" s="247">
        <v>6</v>
      </c>
      <c r="M53" s="172" t="s">
        <v>1804</v>
      </c>
      <c r="N53" s="255"/>
      <c r="O53" s="256"/>
      <c r="P53" s="256"/>
      <c r="Q53" s="256"/>
      <c r="R53" s="256"/>
      <c r="S53" s="256"/>
      <c r="T53" s="256"/>
      <c r="U53" s="256"/>
      <c r="V53" s="256"/>
      <c r="W53" s="256"/>
      <c r="X53" s="256"/>
      <c r="Y53" s="257"/>
      <c r="Z53" s="256"/>
      <c r="AA53" s="256"/>
      <c r="AB53" s="258"/>
      <c r="AC53" s="258"/>
      <c r="AD53" s="247" t="s">
        <v>1178</v>
      </c>
      <c r="AE53" s="210"/>
      <c r="AF53" s="247" t="s">
        <v>1178</v>
      </c>
      <c r="AG53" s="168" t="s">
        <v>1180</v>
      </c>
      <c r="AH53" s="247" t="s">
        <v>382</v>
      </c>
      <c r="AI53" s="249"/>
    </row>
    <row r="54" spans="2:35" ht="50.1" hidden="1" customHeight="1">
      <c r="B54" s="170">
        <f>IF(D54="","",SUBTOTAL(3,$D$5:D54))</f>
        <v>0</v>
      </c>
      <c r="C54" s="171" t="s">
        <v>687</v>
      </c>
      <c r="D54" s="281" t="s">
        <v>394</v>
      </c>
      <c r="E54" s="167">
        <v>136</v>
      </c>
      <c r="F54" s="286" t="s">
        <v>382</v>
      </c>
      <c r="G54" s="168" t="s">
        <v>1856</v>
      </c>
      <c r="H54" s="168" t="s">
        <v>357</v>
      </c>
      <c r="I54" s="287" t="s">
        <v>1595</v>
      </c>
      <c r="J54" s="168" t="s">
        <v>383</v>
      </c>
      <c r="K54" s="247" t="s">
        <v>1128</v>
      </c>
      <c r="L54" s="247">
        <v>25</v>
      </c>
      <c r="M54" s="172" t="s">
        <v>1804</v>
      </c>
      <c r="N54" s="255"/>
      <c r="O54" s="256"/>
      <c r="P54" s="256"/>
      <c r="Q54" s="256"/>
      <c r="R54" s="256"/>
      <c r="S54" s="256"/>
      <c r="T54" s="256"/>
      <c r="U54" s="256"/>
      <c r="V54" s="256"/>
      <c r="W54" s="256"/>
      <c r="X54" s="256"/>
      <c r="Y54" s="257"/>
      <c r="Z54" s="256"/>
      <c r="AA54" s="256"/>
      <c r="AB54" s="258"/>
      <c r="AC54" s="258"/>
      <c r="AD54" s="247" t="s">
        <v>1178</v>
      </c>
      <c r="AE54" s="210"/>
      <c r="AF54" s="247" t="s">
        <v>1178</v>
      </c>
      <c r="AG54" s="168" t="s">
        <v>1180</v>
      </c>
      <c r="AH54" s="247" t="s">
        <v>382</v>
      </c>
      <c r="AI54" s="249"/>
    </row>
    <row r="55" spans="2:35" ht="50.1" hidden="1" customHeight="1">
      <c r="B55" s="170">
        <f>IF(D55="","",SUBTOTAL(3,$D$5:D55))</f>
        <v>0</v>
      </c>
      <c r="C55" s="171" t="s">
        <v>688</v>
      </c>
      <c r="D55" s="281" t="s">
        <v>395</v>
      </c>
      <c r="E55" s="167">
        <v>136</v>
      </c>
      <c r="F55" s="286" t="s">
        <v>382</v>
      </c>
      <c r="G55" s="168" t="s">
        <v>1874</v>
      </c>
      <c r="H55" s="168" t="s">
        <v>351</v>
      </c>
      <c r="I55" s="287"/>
      <c r="J55" s="168" t="s">
        <v>383</v>
      </c>
      <c r="K55" s="247" t="s">
        <v>1128</v>
      </c>
      <c r="L55" s="247">
        <v>12</v>
      </c>
      <c r="M55" s="172" t="s">
        <v>1804</v>
      </c>
      <c r="N55" s="255"/>
      <c r="O55" s="256"/>
      <c r="P55" s="256"/>
      <c r="Q55" s="256"/>
      <c r="R55" s="256"/>
      <c r="S55" s="256"/>
      <c r="T55" s="256"/>
      <c r="U55" s="256"/>
      <c r="V55" s="256"/>
      <c r="W55" s="256"/>
      <c r="X55" s="256"/>
      <c r="Y55" s="257"/>
      <c r="Z55" s="256"/>
      <c r="AA55" s="256"/>
      <c r="AB55" s="258"/>
      <c r="AC55" s="258"/>
      <c r="AD55" s="247" t="s">
        <v>1178</v>
      </c>
      <c r="AE55" s="210"/>
      <c r="AF55" s="247" t="s">
        <v>1178</v>
      </c>
      <c r="AG55" s="247" t="s">
        <v>1178</v>
      </c>
      <c r="AH55" s="247" t="s">
        <v>382</v>
      </c>
      <c r="AI55" s="249"/>
    </row>
    <row r="56" spans="2:35" ht="50.1" hidden="1" customHeight="1">
      <c r="B56" s="170">
        <f>IF(D56="","",SUBTOTAL(3,$D$5:D56))</f>
        <v>0</v>
      </c>
      <c r="C56" s="171" t="s">
        <v>689</v>
      </c>
      <c r="D56" s="281" t="s">
        <v>396</v>
      </c>
      <c r="E56" s="167">
        <v>136</v>
      </c>
      <c r="F56" s="286" t="s">
        <v>382</v>
      </c>
      <c r="G56" s="168" t="s">
        <v>1874</v>
      </c>
      <c r="H56" s="168" t="s">
        <v>369</v>
      </c>
      <c r="I56" s="287"/>
      <c r="J56" s="168" t="s">
        <v>383</v>
      </c>
      <c r="K56" s="247" t="s">
        <v>1128</v>
      </c>
      <c r="L56" s="247">
        <v>12</v>
      </c>
      <c r="M56" s="172" t="s">
        <v>1804</v>
      </c>
      <c r="N56" s="255"/>
      <c r="O56" s="256"/>
      <c r="P56" s="256"/>
      <c r="Q56" s="256"/>
      <c r="R56" s="256"/>
      <c r="S56" s="256"/>
      <c r="T56" s="256"/>
      <c r="U56" s="256"/>
      <c r="V56" s="256"/>
      <c r="W56" s="256"/>
      <c r="X56" s="256"/>
      <c r="Y56" s="257"/>
      <c r="Z56" s="256"/>
      <c r="AA56" s="256"/>
      <c r="AB56" s="258"/>
      <c r="AC56" s="258"/>
      <c r="AD56" s="247" t="s">
        <v>1178</v>
      </c>
      <c r="AE56" s="210"/>
      <c r="AF56" s="247" t="s">
        <v>1178</v>
      </c>
      <c r="AG56" s="247" t="s">
        <v>1178</v>
      </c>
      <c r="AH56" s="247" t="s">
        <v>382</v>
      </c>
      <c r="AI56" s="249"/>
    </row>
    <row r="57" spans="2:35" ht="50.1" hidden="1" customHeight="1">
      <c r="B57" s="170">
        <f>IF(D57="","",SUBTOTAL(3,$D$5:D57))</f>
        <v>0</v>
      </c>
      <c r="C57" s="171" t="s">
        <v>690</v>
      </c>
      <c r="D57" s="281" t="s">
        <v>397</v>
      </c>
      <c r="E57" s="167">
        <v>136</v>
      </c>
      <c r="F57" s="286" t="s">
        <v>978</v>
      </c>
      <c r="G57" s="168" t="s">
        <v>1857</v>
      </c>
      <c r="H57" s="168" t="s">
        <v>351</v>
      </c>
      <c r="I57" s="259" t="s">
        <v>1596</v>
      </c>
      <c r="J57" s="168" t="s">
        <v>84</v>
      </c>
      <c r="K57" s="247" t="s">
        <v>1307</v>
      </c>
      <c r="L57" s="247">
        <v>5</v>
      </c>
      <c r="M57" s="172" t="s">
        <v>1804</v>
      </c>
      <c r="N57" s="255"/>
      <c r="O57" s="256"/>
      <c r="P57" s="256"/>
      <c r="Q57" s="256"/>
      <c r="R57" s="256" t="s">
        <v>356</v>
      </c>
      <c r="S57" s="256"/>
      <c r="T57" s="256"/>
      <c r="U57" s="256"/>
      <c r="V57" s="256"/>
      <c r="W57" s="256"/>
      <c r="X57" s="256" t="s">
        <v>356</v>
      </c>
      <c r="Y57" s="257"/>
      <c r="Z57" s="256"/>
      <c r="AA57" s="256"/>
      <c r="AB57" s="258"/>
      <c r="AC57" s="258"/>
      <c r="AD57" s="247" t="s">
        <v>1279</v>
      </c>
      <c r="AE57" s="210"/>
      <c r="AF57" s="247" t="s">
        <v>1166</v>
      </c>
      <c r="AG57" s="247" t="s">
        <v>1166</v>
      </c>
      <c r="AH57" s="247" t="s">
        <v>978</v>
      </c>
      <c r="AI57" s="249"/>
    </row>
    <row r="58" spans="2:35" ht="50.1" hidden="1" customHeight="1">
      <c r="B58" s="170">
        <f>IF(D58="","",SUBTOTAL(3,$D$5:D58))</f>
        <v>0</v>
      </c>
      <c r="C58" s="171" t="s">
        <v>691</v>
      </c>
      <c r="D58" s="281" t="s">
        <v>961</v>
      </c>
      <c r="E58" s="167" t="s">
        <v>55</v>
      </c>
      <c r="F58" s="285" t="s">
        <v>1288</v>
      </c>
      <c r="G58" s="168" t="s">
        <v>1245</v>
      </c>
      <c r="H58" s="168" t="s">
        <v>368</v>
      </c>
      <c r="I58" s="287" t="s">
        <v>400</v>
      </c>
      <c r="J58" s="168" t="s">
        <v>399</v>
      </c>
      <c r="K58" s="247" t="s">
        <v>1302</v>
      </c>
      <c r="L58" s="247" t="s">
        <v>1434</v>
      </c>
      <c r="M58" s="172" t="s">
        <v>1804</v>
      </c>
      <c r="N58" s="255"/>
      <c r="O58" s="256"/>
      <c r="P58" s="256"/>
      <c r="Q58" s="256"/>
      <c r="R58" s="256" t="s">
        <v>356</v>
      </c>
      <c r="S58" s="256"/>
      <c r="T58" s="256" t="s">
        <v>356</v>
      </c>
      <c r="U58" s="256"/>
      <c r="V58" s="256" t="s">
        <v>95</v>
      </c>
      <c r="W58" s="256" t="s">
        <v>95</v>
      </c>
      <c r="X58" s="256"/>
      <c r="Y58" s="257"/>
      <c r="Z58" s="256"/>
      <c r="AA58" s="256"/>
      <c r="AB58" s="258"/>
      <c r="AC58" s="258"/>
      <c r="AD58" s="168" t="s">
        <v>1289</v>
      </c>
      <c r="AE58" s="210"/>
      <c r="AF58" s="168" t="s">
        <v>1242</v>
      </c>
      <c r="AG58" s="168" t="s">
        <v>1243</v>
      </c>
      <c r="AH58" s="254" t="s">
        <v>1270</v>
      </c>
      <c r="AI58" s="249"/>
    </row>
    <row r="59" spans="2:35" ht="50.1" hidden="1" customHeight="1">
      <c r="B59" s="170">
        <f>IF(D59="","",SUBTOTAL(3,$D$5:D59))</f>
        <v>0</v>
      </c>
      <c r="C59" s="171" t="s">
        <v>692</v>
      </c>
      <c r="D59" s="281" t="s">
        <v>401</v>
      </c>
      <c r="E59" s="167">
        <v>135</v>
      </c>
      <c r="F59" s="286" t="s">
        <v>402</v>
      </c>
      <c r="G59" s="168" t="s">
        <v>1879</v>
      </c>
      <c r="H59" s="168" t="s">
        <v>368</v>
      </c>
      <c r="I59" s="259" t="s">
        <v>361</v>
      </c>
      <c r="J59" s="168" t="s">
        <v>80</v>
      </c>
      <c r="K59" s="247" t="s">
        <v>1308</v>
      </c>
      <c r="L59" s="247">
        <v>5</v>
      </c>
      <c r="M59" s="172" t="s">
        <v>1804</v>
      </c>
      <c r="N59" s="255"/>
      <c r="O59" s="256"/>
      <c r="P59" s="256"/>
      <c r="Q59" s="256"/>
      <c r="R59" s="256"/>
      <c r="S59" s="256"/>
      <c r="T59" s="256"/>
      <c r="U59" s="256"/>
      <c r="V59" s="256"/>
      <c r="W59" s="256"/>
      <c r="X59" s="256"/>
      <c r="Y59" s="257"/>
      <c r="Z59" s="256"/>
      <c r="AA59" s="256"/>
      <c r="AB59" s="258"/>
      <c r="AC59" s="258"/>
      <c r="AD59" s="247" t="s">
        <v>987</v>
      </c>
      <c r="AE59" s="210"/>
      <c r="AF59" s="247" t="s">
        <v>987</v>
      </c>
      <c r="AG59" s="247" t="s">
        <v>988</v>
      </c>
      <c r="AH59" s="247" t="s">
        <v>402</v>
      </c>
      <c r="AI59" s="249"/>
    </row>
    <row r="60" spans="2:35" ht="50.1" hidden="1" customHeight="1">
      <c r="B60" s="170">
        <f>IF(D60="","",SUBTOTAL(3,$D$5:D60))</f>
        <v>0</v>
      </c>
      <c r="C60" s="171" t="s">
        <v>693</v>
      </c>
      <c r="D60" s="281" t="s">
        <v>223</v>
      </c>
      <c r="E60" s="167">
        <v>111</v>
      </c>
      <c r="F60" s="286" t="s">
        <v>403</v>
      </c>
      <c r="G60" s="168" t="s">
        <v>1880</v>
      </c>
      <c r="H60" s="168" t="s">
        <v>368</v>
      </c>
      <c r="I60" s="287" t="s">
        <v>361</v>
      </c>
      <c r="J60" s="168" t="s">
        <v>82</v>
      </c>
      <c r="K60" s="247" t="s">
        <v>1281</v>
      </c>
      <c r="L60" s="247">
        <v>5</v>
      </c>
      <c r="M60" s="172" t="s">
        <v>1804</v>
      </c>
      <c r="N60" s="251"/>
      <c r="O60" s="171"/>
      <c r="P60" s="171"/>
      <c r="Q60" s="171"/>
      <c r="R60" s="171"/>
      <c r="S60" s="171"/>
      <c r="T60" s="171"/>
      <c r="U60" s="171"/>
      <c r="V60" s="171"/>
      <c r="W60" s="171"/>
      <c r="X60" s="171"/>
      <c r="Y60" s="252"/>
      <c r="Z60" s="171"/>
      <c r="AA60" s="171"/>
      <c r="AB60" s="253"/>
      <c r="AC60" s="253"/>
      <c r="AD60" s="247" t="s">
        <v>989</v>
      </c>
      <c r="AE60" s="210"/>
      <c r="AF60" s="247" t="s">
        <v>989</v>
      </c>
      <c r="AG60" s="247" t="s">
        <v>990</v>
      </c>
      <c r="AH60" s="247" t="s">
        <v>403</v>
      </c>
      <c r="AI60" s="249"/>
    </row>
    <row r="61" spans="2:35" ht="50.1" hidden="1" customHeight="1">
      <c r="B61" s="170">
        <f>IF(D61="","",SUBTOTAL(3,$D$5:D61))</f>
        <v>0</v>
      </c>
      <c r="C61" s="171" t="s">
        <v>694</v>
      </c>
      <c r="D61" s="281" t="s">
        <v>405</v>
      </c>
      <c r="E61" s="167">
        <v>111</v>
      </c>
      <c r="F61" s="286" t="s">
        <v>406</v>
      </c>
      <c r="G61" s="168" t="s">
        <v>1880</v>
      </c>
      <c r="H61" s="168" t="s">
        <v>368</v>
      </c>
      <c r="I61" s="287" t="s">
        <v>361</v>
      </c>
      <c r="J61" s="168" t="s">
        <v>82</v>
      </c>
      <c r="K61" s="247" t="s">
        <v>1282</v>
      </c>
      <c r="L61" s="247">
        <v>5</v>
      </c>
      <c r="M61" s="172" t="s">
        <v>1804</v>
      </c>
      <c r="N61" s="251"/>
      <c r="O61" s="171"/>
      <c r="P61" s="171"/>
      <c r="Q61" s="171"/>
      <c r="R61" s="171"/>
      <c r="S61" s="171"/>
      <c r="T61" s="171"/>
      <c r="U61" s="171"/>
      <c r="V61" s="171"/>
      <c r="W61" s="171"/>
      <c r="X61" s="171"/>
      <c r="Y61" s="252"/>
      <c r="Z61" s="171"/>
      <c r="AA61" s="171"/>
      <c r="AB61" s="253"/>
      <c r="AC61" s="253"/>
      <c r="AD61" s="247" t="s">
        <v>1425</v>
      </c>
      <c r="AE61" s="210"/>
      <c r="AF61" s="247">
        <v>43</v>
      </c>
      <c r="AG61" s="247" t="s">
        <v>991</v>
      </c>
      <c r="AH61" s="247" t="s">
        <v>406</v>
      </c>
      <c r="AI61" s="249"/>
    </row>
    <row r="62" spans="2:35" ht="50.1" hidden="1" customHeight="1">
      <c r="B62" s="170">
        <f>IF(D62="","",SUBTOTAL(3,$D$5:D62))</f>
        <v>0</v>
      </c>
      <c r="C62" s="171" t="s">
        <v>695</v>
      </c>
      <c r="D62" s="281" t="s">
        <v>408</v>
      </c>
      <c r="E62" s="167">
        <v>136</v>
      </c>
      <c r="F62" s="286" t="s">
        <v>382</v>
      </c>
      <c r="G62" s="168" t="s">
        <v>1611</v>
      </c>
      <c r="H62" s="168" t="s">
        <v>351</v>
      </c>
      <c r="I62" s="287" t="s">
        <v>409</v>
      </c>
      <c r="J62" s="168" t="s">
        <v>134</v>
      </c>
      <c r="K62" s="247" t="s">
        <v>1128</v>
      </c>
      <c r="L62" s="247">
        <v>12</v>
      </c>
      <c r="M62" s="172" t="s">
        <v>1804</v>
      </c>
      <c r="N62" s="255"/>
      <c r="O62" s="256"/>
      <c r="P62" s="256"/>
      <c r="Q62" s="256"/>
      <c r="R62" s="256"/>
      <c r="S62" s="256"/>
      <c r="T62" s="256"/>
      <c r="U62" s="256"/>
      <c r="V62" s="256"/>
      <c r="W62" s="256"/>
      <c r="X62" s="256"/>
      <c r="Y62" s="257"/>
      <c r="Z62" s="256"/>
      <c r="AA62" s="256"/>
      <c r="AB62" s="258"/>
      <c r="AC62" s="258"/>
      <c r="AD62" s="247" t="s">
        <v>1178</v>
      </c>
      <c r="AE62" s="210"/>
      <c r="AF62" s="247" t="s">
        <v>1178</v>
      </c>
      <c r="AG62" s="168" t="s">
        <v>992</v>
      </c>
      <c r="AH62" s="247" t="s">
        <v>382</v>
      </c>
      <c r="AI62" s="249"/>
    </row>
    <row r="63" spans="2:35" ht="50.1" hidden="1" customHeight="1">
      <c r="B63" s="170">
        <f>IF(D63="","",SUBTOTAL(3,$D$5:D63))</f>
        <v>0</v>
      </c>
      <c r="C63" s="171" t="s">
        <v>696</v>
      </c>
      <c r="D63" s="281" t="s">
        <v>410</v>
      </c>
      <c r="E63" s="167">
        <v>136</v>
      </c>
      <c r="F63" s="286" t="s">
        <v>382</v>
      </c>
      <c r="G63" s="168" t="s">
        <v>1874</v>
      </c>
      <c r="H63" s="168" t="s">
        <v>351</v>
      </c>
      <c r="I63" s="287" t="s">
        <v>409</v>
      </c>
      <c r="J63" s="168" t="s">
        <v>134</v>
      </c>
      <c r="K63" s="247" t="s">
        <v>1128</v>
      </c>
      <c r="L63" s="247">
        <v>12</v>
      </c>
      <c r="M63" s="172" t="s">
        <v>1804</v>
      </c>
      <c r="N63" s="255"/>
      <c r="O63" s="256"/>
      <c r="P63" s="256"/>
      <c r="Q63" s="256"/>
      <c r="R63" s="256"/>
      <c r="S63" s="256"/>
      <c r="T63" s="256"/>
      <c r="U63" s="256"/>
      <c r="V63" s="256"/>
      <c r="W63" s="256"/>
      <c r="X63" s="256"/>
      <c r="Y63" s="257"/>
      <c r="Z63" s="256"/>
      <c r="AA63" s="256"/>
      <c r="AB63" s="258"/>
      <c r="AC63" s="258"/>
      <c r="AD63" s="247" t="s">
        <v>1178</v>
      </c>
      <c r="AE63" s="210"/>
      <c r="AF63" s="247" t="s">
        <v>1178</v>
      </c>
      <c r="AG63" s="168" t="s">
        <v>992</v>
      </c>
      <c r="AH63" s="247" t="s">
        <v>382</v>
      </c>
      <c r="AI63" s="249"/>
    </row>
    <row r="64" spans="2:35" ht="50.1" hidden="1" customHeight="1">
      <c r="B64" s="170">
        <f>IF(D64="","",SUBTOTAL(3,$D$5:D64))</f>
        <v>0</v>
      </c>
      <c r="C64" s="171" t="s">
        <v>697</v>
      </c>
      <c r="D64" s="281" t="s">
        <v>411</v>
      </c>
      <c r="E64" s="167">
        <v>136</v>
      </c>
      <c r="F64" s="286" t="s">
        <v>382</v>
      </c>
      <c r="G64" s="168" t="s">
        <v>1842</v>
      </c>
      <c r="H64" s="168" t="s">
        <v>351</v>
      </c>
      <c r="I64" s="287" t="s">
        <v>409</v>
      </c>
      <c r="J64" s="168" t="s">
        <v>134</v>
      </c>
      <c r="K64" s="247" t="s">
        <v>1128</v>
      </c>
      <c r="L64" s="247">
        <v>30</v>
      </c>
      <c r="M64" s="172" t="s">
        <v>1804</v>
      </c>
      <c r="N64" s="255"/>
      <c r="O64" s="256"/>
      <c r="P64" s="256"/>
      <c r="Q64" s="256"/>
      <c r="R64" s="256"/>
      <c r="S64" s="256"/>
      <c r="T64" s="256"/>
      <c r="U64" s="256"/>
      <c r="V64" s="256"/>
      <c r="W64" s="256"/>
      <c r="X64" s="256"/>
      <c r="Y64" s="257"/>
      <c r="Z64" s="256"/>
      <c r="AA64" s="256"/>
      <c r="AB64" s="258"/>
      <c r="AC64" s="258"/>
      <c r="AD64" s="247" t="s">
        <v>1178</v>
      </c>
      <c r="AE64" s="210"/>
      <c r="AF64" s="247" t="s">
        <v>1178</v>
      </c>
      <c r="AG64" s="168" t="s">
        <v>992</v>
      </c>
      <c r="AH64" s="247" t="s">
        <v>382</v>
      </c>
      <c r="AI64" s="249"/>
    </row>
    <row r="65" spans="2:35" ht="50.1" hidden="1" customHeight="1">
      <c r="B65" s="170">
        <f>IF(D65="","",SUBTOTAL(3,$D$5:D65))</f>
        <v>0</v>
      </c>
      <c r="C65" s="171" t="s">
        <v>698</v>
      </c>
      <c r="D65" s="281" t="s">
        <v>412</v>
      </c>
      <c r="E65" s="167" t="s">
        <v>55</v>
      </c>
      <c r="F65" s="286" t="s">
        <v>382</v>
      </c>
      <c r="G65" s="168" t="s">
        <v>1874</v>
      </c>
      <c r="H65" s="168" t="s">
        <v>368</v>
      </c>
      <c r="I65" s="287" t="s">
        <v>409</v>
      </c>
      <c r="J65" s="168" t="s">
        <v>413</v>
      </c>
      <c r="K65" s="247" t="s">
        <v>1128</v>
      </c>
      <c r="L65" s="247">
        <v>12</v>
      </c>
      <c r="M65" s="172" t="s">
        <v>1804</v>
      </c>
      <c r="N65" s="255"/>
      <c r="O65" s="256"/>
      <c r="P65" s="256"/>
      <c r="Q65" s="256"/>
      <c r="R65" s="256"/>
      <c r="S65" s="256"/>
      <c r="T65" s="256"/>
      <c r="U65" s="256"/>
      <c r="V65" s="256"/>
      <c r="W65" s="256"/>
      <c r="X65" s="256"/>
      <c r="Y65" s="257"/>
      <c r="Z65" s="256"/>
      <c r="AA65" s="256"/>
      <c r="AB65" s="258"/>
      <c r="AC65" s="258"/>
      <c r="AD65" s="247" t="s">
        <v>1178</v>
      </c>
      <c r="AE65" s="210"/>
      <c r="AF65" s="247" t="s">
        <v>1178</v>
      </c>
      <c r="AG65" s="168" t="s">
        <v>992</v>
      </c>
      <c r="AH65" s="247" t="s">
        <v>382</v>
      </c>
      <c r="AI65" s="249"/>
    </row>
    <row r="66" spans="2:35" ht="50.1" hidden="1" customHeight="1">
      <c r="B66" s="170">
        <f>IF(D66="","",SUBTOTAL(3,$D$5:D66))</f>
        <v>0</v>
      </c>
      <c r="C66" s="171" t="s">
        <v>699</v>
      </c>
      <c r="D66" s="281" t="s">
        <v>414</v>
      </c>
      <c r="E66" s="167">
        <v>136</v>
      </c>
      <c r="F66" s="286" t="s">
        <v>382</v>
      </c>
      <c r="G66" s="168" t="s">
        <v>1856</v>
      </c>
      <c r="H66" s="168" t="s">
        <v>357</v>
      </c>
      <c r="I66" s="287" t="s">
        <v>409</v>
      </c>
      <c r="J66" s="168" t="s">
        <v>134</v>
      </c>
      <c r="K66" s="247" t="s">
        <v>1128</v>
      </c>
      <c r="L66" s="247">
        <v>25</v>
      </c>
      <c r="M66" s="172" t="s">
        <v>1804</v>
      </c>
      <c r="N66" s="255"/>
      <c r="O66" s="256"/>
      <c r="P66" s="256"/>
      <c r="Q66" s="256"/>
      <c r="R66" s="256"/>
      <c r="S66" s="256"/>
      <c r="T66" s="256"/>
      <c r="U66" s="256"/>
      <c r="V66" s="256"/>
      <c r="W66" s="256"/>
      <c r="X66" s="256"/>
      <c r="Y66" s="257"/>
      <c r="Z66" s="256"/>
      <c r="AA66" s="256"/>
      <c r="AB66" s="258"/>
      <c r="AC66" s="258"/>
      <c r="AD66" s="247" t="s">
        <v>1178</v>
      </c>
      <c r="AE66" s="210"/>
      <c r="AF66" s="247" t="s">
        <v>1178</v>
      </c>
      <c r="AG66" s="168" t="s">
        <v>992</v>
      </c>
      <c r="AH66" s="247" t="s">
        <v>382</v>
      </c>
      <c r="AI66" s="249"/>
    </row>
    <row r="67" spans="2:35" ht="50.1" hidden="1" customHeight="1">
      <c r="B67" s="170">
        <f>IF(D67="","",SUBTOTAL(3,$D$5:D67))</f>
        <v>0</v>
      </c>
      <c r="C67" s="171" t="s">
        <v>700</v>
      </c>
      <c r="D67" s="281" t="s">
        <v>221</v>
      </c>
      <c r="E67" s="167">
        <v>136</v>
      </c>
      <c r="F67" s="286" t="s">
        <v>382</v>
      </c>
      <c r="G67" s="168" t="s">
        <v>1874</v>
      </c>
      <c r="H67" s="168" t="s">
        <v>351</v>
      </c>
      <c r="I67" s="287" t="s">
        <v>391</v>
      </c>
      <c r="J67" s="168" t="s">
        <v>134</v>
      </c>
      <c r="K67" s="247" t="s">
        <v>1128</v>
      </c>
      <c r="L67" s="247">
        <v>12</v>
      </c>
      <c r="M67" s="172" t="s">
        <v>1804</v>
      </c>
      <c r="N67" s="255"/>
      <c r="O67" s="256"/>
      <c r="P67" s="256"/>
      <c r="Q67" s="256"/>
      <c r="R67" s="256" t="s">
        <v>356</v>
      </c>
      <c r="S67" s="256"/>
      <c r="T67" s="256" t="s">
        <v>356</v>
      </c>
      <c r="U67" s="256"/>
      <c r="V67" s="256"/>
      <c r="W67" s="256"/>
      <c r="X67" s="256"/>
      <c r="Y67" s="257"/>
      <c r="Z67" s="256"/>
      <c r="AA67" s="256"/>
      <c r="AB67" s="258"/>
      <c r="AC67" s="258"/>
      <c r="AD67" s="247" t="s">
        <v>1178</v>
      </c>
      <c r="AE67" s="210"/>
      <c r="AF67" s="247" t="s">
        <v>1178</v>
      </c>
      <c r="AG67" s="247" t="s">
        <v>1178</v>
      </c>
      <c r="AH67" s="247" t="s">
        <v>382</v>
      </c>
      <c r="AI67" s="249"/>
    </row>
    <row r="68" spans="2:35" ht="50.1" hidden="1" customHeight="1">
      <c r="B68" s="170">
        <f>IF(D68="","",SUBTOTAL(3,$D$5:D68))</f>
        <v>0</v>
      </c>
      <c r="C68" s="171" t="s">
        <v>701</v>
      </c>
      <c r="D68" s="281" t="s">
        <v>415</v>
      </c>
      <c r="E68" s="167">
        <v>136</v>
      </c>
      <c r="F68" s="286" t="s">
        <v>382</v>
      </c>
      <c r="G68" s="168" t="s">
        <v>1874</v>
      </c>
      <c r="H68" s="168" t="s">
        <v>369</v>
      </c>
      <c r="I68" s="287" t="s">
        <v>391</v>
      </c>
      <c r="J68" s="168" t="s">
        <v>134</v>
      </c>
      <c r="K68" s="247" t="s">
        <v>1128</v>
      </c>
      <c r="L68" s="247">
        <v>12</v>
      </c>
      <c r="M68" s="172" t="s">
        <v>1804</v>
      </c>
      <c r="N68" s="255"/>
      <c r="O68" s="256"/>
      <c r="P68" s="256"/>
      <c r="Q68" s="256"/>
      <c r="R68" s="256" t="s">
        <v>356</v>
      </c>
      <c r="S68" s="256"/>
      <c r="T68" s="256" t="s">
        <v>356</v>
      </c>
      <c r="U68" s="256"/>
      <c r="V68" s="256"/>
      <c r="W68" s="256"/>
      <c r="X68" s="256"/>
      <c r="Y68" s="257"/>
      <c r="Z68" s="256"/>
      <c r="AA68" s="256"/>
      <c r="AB68" s="258"/>
      <c r="AC68" s="258"/>
      <c r="AD68" s="247" t="s">
        <v>1178</v>
      </c>
      <c r="AE68" s="210"/>
      <c r="AF68" s="247" t="s">
        <v>1178</v>
      </c>
      <c r="AG68" s="247" t="s">
        <v>1178</v>
      </c>
      <c r="AH68" s="247" t="s">
        <v>382</v>
      </c>
      <c r="AI68" s="249"/>
    </row>
    <row r="69" spans="2:35" ht="50.1" hidden="1" customHeight="1">
      <c r="B69" s="170">
        <f>IF(D69="","",SUBTOTAL(3,$D$5:D69))</f>
        <v>0</v>
      </c>
      <c r="C69" s="171" t="s">
        <v>702</v>
      </c>
      <c r="D69" s="281" t="s">
        <v>416</v>
      </c>
      <c r="E69" s="167">
        <v>141</v>
      </c>
      <c r="F69" s="287" t="s">
        <v>417</v>
      </c>
      <c r="G69" s="168" t="s">
        <v>1867</v>
      </c>
      <c r="H69" s="168" t="s">
        <v>368</v>
      </c>
      <c r="I69" s="287" t="s">
        <v>362</v>
      </c>
      <c r="J69" s="168" t="s">
        <v>418</v>
      </c>
      <c r="K69" s="168" t="s">
        <v>1309</v>
      </c>
      <c r="L69" s="247" t="s">
        <v>1435</v>
      </c>
      <c r="M69" s="172" t="s">
        <v>1803</v>
      </c>
      <c r="N69" s="255"/>
      <c r="O69" s="256"/>
      <c r="P69" s="256"/>
      <c r="Q69" s="256"/>
      <c r="R69" s="256"/>
      <c r="S69" s="256"/>
      <c r="T69" s="256"/>
      <c r="U69" s="256"/>
      <c r="V69" s="256" t="s">
        <v>356</v>
      </c>
      <c r="W69" s="256"/>
      <c r="X69" s="256"/>
      <c r="Y69" s="257"/>
      <c r="Z69" s="256"/>
      <c r="AA69" s="256"/>
      <c r="AB69" s="258"/>
      <c r="AC69" s="258"/>
      <c r="AD69" s="247" t="s">
        <v>993</v>
      </c>
      <c r="AE69" s="210"/>
      <c r="AF69" s="247" t="s">
        <v>993</v>
      </c>
      <c r="AG69" s="247" t="s">
        <v>994</v>
      </c>
      <c r="AH69" s="168" t="s">
        <v>417</v>
      </c>
      <c r="AI69" s="249"/>
    </row>
    <row r="70" spans="2:35" ht="50.1" hidden="1" customHeight="1">
      <c r="B70" s="170">
        <f>IF(D70="","",SUBTOTAL(3,$D$5:D70))</f>
        <v>0</v>
      </c>
      <c r="C70" s="171" t="s">
        <v>703</v>
      </c>
      <c r="D70" s="281" t="s">
        <v>419</v>
      </c>
      <c r="E70" s="167">
        <v>136</v>
      </c>
      <c r="F70" s="286" t="s">
        <v>1134</v>
      </c>
      <c r="G70" s="168" t="s">
        <v>1881</v>
      </c>
      <c r="H70" s="168" t="s">
        <v>357</v>
      </c>
      <c r="I70" s="287" t="s">
        <v>420</v>
      </c>
      <c r="J70" s="168" t="s">
        <v>1</v>
      </c>
      <c r="K70" s="247" t="s">
        <v>1134</v>
      </c>
      <c r="L70" s="168" t="s">
        <v>944</v>
      </c>
      <c r="M70" s="172" t="s">
        <v>1804</v>
      </c>
      <c r="N70" s="255"/>
      <c r="O70" s="256"/>
      <c r="P70" s="256"/>
      <c r="Q70" s="256"/>
      <c r="R70" s="256"/>
      <c r="S70" s="256"/>
      <c r="T70" s="256"/>
      <c r="U70" s="256"/>
      <c r="V70" s="256" t="s">
        <v>356</v>
      </c>
      <c r="W70" s="256"/>
      <c r="X70" s="256"/>
      <c r="Y70" s="257"/>
      <c r="Z70" s="256"/>
      <c r="AA70" s="256"/>
      <c r="AB70" s="258"/>
      <c r="AC70" s="258"/>
      <c r="AD70" s="247" t="s">
        <v>995</v>
      </c>
      <c r="AE70" s="210"/>
      <c r="AF70" s="247" t="s">
        <v>1156</v>
      </c>
      <c r="AG70" s="247" t="s">
        <v>1177</v>
      </c>
      <c r="AH70" s="247" t="s">
        <v>1134</v>
      </c>
      <c r="AI70" s="249"/>
    </row>
    <row r="71" spans="2:35" ht="50.1" hidden="1" customHeight="1">
      <c r="B71" s="170">
        <f>IF(D71="","",SUBTOTAL(3,$D$5:D71))</f>
        <v>0</v>
      </c>
      <c r="C71" s="171" t="s">
        <v>704</v>
      </c>
      <c r="D71" s="281" t="s">
        <v>421</v>
      </c>
      <c r="E71" s="167">
        <v>136</v>
      </c>
      <c r="F71" s="286" t="s">
        <v>1135</v>
      </c>
      <c r="G71" s="168" t="s">
        <v>1882</v>
      </c>
      <c r="H71" s="168" t="s">
        <v>351</v>
      </c>
      <c r="I71" s="287" t="s">
        <v>362</v>
      </c>
      <c r="J71" s="168" t="s">
        <v>1</v>
      </c>
      <c r="K71" s="247" t="s">
        <v>1135</v>
      </c>
      <c r="L71" s="247">
        <v>15</v>
      </c>
      <c r="M71" s="172" t="s">
        <v>1804</v>
      </c>
      <c r="N71" s="255"/>
      <c r="O71" s="256"/>
      <c r="P71" s="256"/>
      <c r="Q71" s="256"/>
      <c r="R71" s="256"/>
      <c r="S71" s="256"/>
      <c r="T71" s="256"/>
      <c r="U71" s="256"/>
      <c r="V71" s="256" t="s">
        <v>356</v>
      </c>
      <c r="W71" s="256"/>
      <c r="X71" s="256"/>
      <c r="Y71" s="257"/>
      <c r="Z71" s="256"/>
      <c r="AA71" s="256"/>
      <c r="AB71" s="258"/>
      <c r="AC71" s="258"/>
      <c r="AD71" s="247" t="s">
        <v>995</v>
      </c>
      <c r="AE71" s="210"/>
      <c r="AF71" s="247" t="s">
        <v>1156</v>
      </c>
      <c r="AG71" s="247" t="s">
        <v>1177</v>
      </c>
      <c r="AH71" s="247" t="s">
        <v>1135</v>
      </c>
      <c r="AI71" s="249"/>
    </row>
    <row r="72" spans="2:35" ht="50.1" hidden="1" customHeight="1">
      <c r="B72" s="170">
        <f>IF(D72="","",SUBTOTAL(3,$D$5:D72))</f>
        <v>0</v>
      </c>
      <c r="C72" s="171" t="s">
        <v>705</v>
      </c>
      <c r="D72" s="281" t="s">
        <v>422</v>
      </c>
      <c r="E72" s="167">
        <v>136</v>
      </c>
      <c r="F72" s="286" t="s">
        <v>934</v>
      </c>
      <c r="G72" s="168" t="s">
        <v>1863</v>
      </c>
      <c r="H72" s="168" t="s">
        <v>351</v>
      </c>
      <c r="I72" s="287" t="s">
        <v>362</v>
      </c>
      <c r="J72" s="168" t="s">
        <v>423</v>
      </c>
      <c r="K72" s="247" t="s">
        <v>934</v>
      </c>
      <c r="L72" s="247">
        <v>12</v>
      </c>
      <c r="M72" s="172" t="s">
        <v>1804</v>
      </c>
      <c r="N72" s="255"/>
      <c r="O72" s="256"/>
      <c r="P72" s="256"/>
      <c r="Q72" s="256"/>
      <c r="R72" s="256"/>
      <c r="S72" s="256"/>
      <c r="T72" s="256"/>
      <c r="U72" s="256"/>
      <c r="V72" s="256" t="s">
        <v>356</v>
      </c>
      <c r="W72" s="256"/>
      <c r="X72" s="256"/>
      <c r="Y72" s="257"/>
      <c r="Z72" s="256"/>
      <c r="AA72" s="256"/>
      <c r="AB72" s="258"/>
      <c r="AC72" s="258"/>
      <c r="AD72" s="247" t="s">
        <v>1265</v>
      </c>
      <c r="AE72" s="210"/>
      <c r="AF72" s="247" t="s">
        <v>1156</v>
      </c>
      <c r="AG72" s="247" t="s">
        <v>1166</v>
      </c>
      <c r="AH72" s="247" t="s">
        <v>934</v>
      </c>
      <c r="AI72" s="249"/>
    </row>
    <row r="73" spans="2:35" ht="50.1" hidden="1" customHeight="1">
      <c r="B73" s="170">
        <f>IF(D73="","",SUBTOTAL(3,$D$5:D73))</f>
        <v>0</v>
      </c>
      <c r="C73" s="171" t="s">
        <v>706</v>
      </c>
      <c r="D73" s="281" t="s">
        <v>424</v>
      </c>
      <c r="E73" s="167">
        <v>136</v>
      </c>
      <c r="F73" s="286" t="s">
        <v>1136</v>
      </c>
      <c r="G73" s="168" t="s">
        <v>1882</v>
      </c>
      <c r="H73" s="168" t="s">
        <v>351</v>
      </c>
      <c r="I73" s="287" t="s">
        <v>362</v>
      </c>
      <c r="J73" s="168" t="s">
        <v>1</v>
      </c>
      <c r="K73" s="247" t="s">
        <v>1136</v>
      </c>
      <c r="L73" s="247">
        <v>12</v>
      </c>
      <c r="M73" s="172" t="s">
        <v>1804</v>
      </c>
      <c r="N73" s="255"/>
      <c r="O73" s="256"/>
      <c r="P73" s="256"/>
      <c r="Q73" s="256"/>
      <c r="R73" s="256"/>
      <c r="S73" s="256"/>
      <c r="T73" s="256"/>
      <c r="U73" s="256"/>
      <c r="V73" s="256" t="s">
        <v>356</v>
      </c>
      <c r="W73" s="256"/>
      <c r="X73" s="256"/>
      <c r="Y73" s="257"/>
      <c r="Z73" s="256"/>
      <c r="AA73" s="256"/>
      <c r="AB73" s="258"/>
      <c r="AC73" s="258"/>
      <c r="AD73" s="247" t="s">
        <v>986</v>
      </c>
      <c r="AE73" s="210"/>
      <c r="AF73" s="247" t="s">
        <v>1156</v>
      </c>
      <c r="AG73" s="247" t="s">
        <v>1156</v>
      </c>
      <c r="AH73" s="247" t="s">
        <v>1136</v>
      </c>
      <c r="AI73" s="249"/>
    </row>
    <row r="74" spans="2:35" ht="50.1" hidden="1" customHeight="1">
      <c r="B74" s="170">
        <f>IF(D74="","",SUBTOTAL(3,$D$5:D74))</f>
        <v>0</v>
      </c>
      <c r="C74" s="171" t="s">
        <v>707</v>
      </c>
      <c r="D74" s="281" t="s">
        <v>425</v>
      </c>
      <c r="E74" s="167">
        <v>136</v>
      </c>
      <c r="F74" s="287" t="s">
        <v>1123</v>
      </c>
      <c r="G74" s="168" t="s">
        <v>1881</v>
      </c>
      <c r="H74" s="168" t="s">
        <v>357</v>
      </c>
      <c r="I74" s="287" t="s">
        <v>420</v>
      </c>
      <c r="J74" s="168" t="s">
        <v>1</v>
      </c>
      <c r="K74" s="247" t="s">
        <v>935</v>
      </c>
      <c r="L74" s="168" t="s">
        <v>944</v>
      </c>
      <c r="M74" s="172" t="s">
        <v>1804</v>
      </c>
      <c r="N74" s="255"/>
      <c r="O74" s="256"/>
      <c r="P74" s="256"/>
      <c r="Q74" s="256"/>
      <c r="R74" s="256"/>
      <c r="S74" s="256"/>
      <c r="T74" s="256"/>
      <c r="U74" s="256"/>
      <c r="V74" s="256"/>
      <c r="W74" s="256"/>
      <c r="X74" s="256"/>
      <c r="Y74" s="257"/>
      <c r="Z74" s="256"/>
      <c r="AA74" s="256"/>
      <c r="AB74" s="258"/>
      <c r="AC74" s="258"/>
      <c r="AD74" s="247" t="s">
        <v>995</v>
      </c>
      <c r="AE74" s="210"/>
      <c r="AF74" s="247" t="s">
        <v>995</v>
      </c>
      <c r="AG74" s="247" t="s">
        <v>986</v>
      </c>
      <c r="AH74" s="168" t="s">
        <v>1123</v>
      </c>
      <c r="AI74" s="249"/>
    </row>
    <row r="75" spans="2:35" ht="50.1" hidden="1" customHeight="1">
      <c r="B75" s="170">
        <f>IF(D75="","",SUBTOTAL(3,$D$5:D75))</f>
        <v>0</v>
      </c>
      <c r="C75" s="171" t="s">
        <v>708</v>
      </c>
      <c r="D75" s="281" t="s">
        <v>426</v>
      </c>
      <c r="E75" s="167">
        <v>136</v>
      </c>
      <c r="F75" s="286" t="s">
        <v>1137</v>
      </c>
      <c r="G75" s="168" t="s">
        <v>1882</v>
      </c>
      <c r="H75" s="168" t="s">
        <v>351</v>
      </c>
      <c r="I75" s="287" t="s">
        <v>362</v>
      </c>
      <c r="J75" s="168" t="s">
        <v>1</v>
      </c>
      <c r="K75" s="247" t="s">
        <v>1137</v>
      </c>
      <c r="L75" s="247">
        <v>15</v>
      </c>
      <c r="M75" s="172" t="s">
        <v>1804</v>
      </c>
      <c r="N75" s="255"/>
      <c r="O75" s="256"/>
      <c r="P75" s="256"/>
      <c r="Q75" s="256"/>
      <c r="R75" s="256"/>
      <c r="S75" s="256"/>
      <c r="T75" s="256"/>
      <c r="U75" s="256"/>
      <c r="V75" s="256" t="s">
        <v>356</v>
      </c>
      <c r="W75" s="256"/>
      <c r="X75" s="256"/>
      <c r="Y75" s="257"/>
      <c r="Z75" s="256"/>
      <c r="AA75" s="256"/>
      <c r="AB75" s="258"/>
      <c r="AC75" s="258"/>
      <c r="AD75" s="247" t="s">
        <v>1284</v>
      </c>
      <c r="AE75" s="210"/>
      <c r="AF75" s="247" t="s">
        <v>1159</v>
      </c>
      <c r="AG75" s="247" t="s">
        <v>1177</v>
      </c>
      <c r="AH75" s="247" t="s">
        <v>1137</v>
      </c>
      <c r="AI75" s="249"/>
    </row>
    <row r="76" spans="2:35" ht="50.1" hidden="1" customHeight="1">
      <c r="B76" s="170">
        <f>IF(D76="","",SUBTOTAL(3,$D$5:D76))</f>
        <v>0</v>
      </c>
      <c r="C76" s="171" t="s">
        <v>709</v>
      </c>
      <c r="D76" s="281" t="s">
        <v>427</v>
      </c>
      <c r="E76" s="167">
        <v>136</v>
      </c>
      <c r="F76" s="286" t="s">
        <v>428</v>
      </c>
      <c r="G76" s="168" t="s">
        <v>1863</v>
      </c>
      <c r="H76" s="168" t="s">
        <v>351</v>
      </c>
      <c r="I76" s="287" t="s">
        <v>362</v>
      </c>
      <c r="J76" s="168" t="s">
        <v>423</v>
      </c>
      <c r="K76" s="247" t="s">
        <v>1310</v>
      </c>
      <c r="L76" s="247">
        <v>12</v>
      </c>
      <c r="M76" s="172" t="s">
        <v>1804</v>
      </c>
      <c r="N76" s="255"/>
      <c r="O76" s="256"/>
      <c r="P76" s="256"/>
      <c r="Q76" s="256"/>
      <c r="R76" s="256"/>
      <c r="S76" s="256"/>
      <c r="T76" s="256"/>
      <c r="U76" s="256"/>
      <c r="V76" s="256" t="s">
        <v>356</v>
      </c>
      <c r="W76" s="256"/>
      <c r="X76" s="256"/>
      <c r="Y76" s="257"/>
      <c r="Z76" s="256"/>
      <c r="AA76" s="256"/>
      <c r="AB76" s="258"/>
      <c r="AC76" s="258"/>
      <c r="AD76" s="247" t="s">
        <v>1265</v>
      </c>
      <c r="AE76" s="210"/>
      <c r="AF76" s="247" t="s">
        <v>1156</v>
      </c>
      <c r="AG76" s="247" t="s">
        <v>1166</v>
      </c>
      <c r="AH76" s="247" t="s">
        <v>428</v>
      </c>
      <c r="AI76" s="249"/>
    </row>
    <row r="77" spans="2:35" ht="50.1" hidden="1" customHeight="1">
      <c r="B77" s="170">
        <f>IF(D77="","",SUBTOTAL(3,$D$5:D77))</f>
        <v>0</v>
      </c>
      <c r="C77" s="171" t="s">
        <v>710</v>
      </c>
      <c r="D77" s="281" t="s">
        <v>429</v>
      </c>
      <c r="E77" s="167">
        <v>136</v>
      </c>
      <c r="F77" s="286" t="s">
        <v>378</v>
      </c>
      <c r="G77" s="168" t="s">
        <v>1863</v>
      </c>
      <c r="H77" s="168" t="s">
        <v>351</v>
      </c>
      <c r="I77" s="287" t="s">
        <v>362</v>
      </c>
      <c r="J77" s="168" t="s">
        <v>430</v>
      </c>
      <c r="K77" s="247" t="s">
        <v>1311</v>
      </c>
      <c r="L77" s="247">
        <v>12</v>
      </c>
      <c r="M77" s="172" t="s">
        <v>1804</v>
      </c>
      <c r="N77" s="255"/>
      <c r="O77" s="256"/>
      <c r="P77" s="256"/>
      <c r="Q77" s="256"/>
      <c r="R77" s="256"/>
      <c r="S77" s="256" t="s">
        <v>356</v>
      </c>
      <c r="T77" s="256"/>
      <c r="U77" s="256"/>
      <c r="V77" s="256" t="s">
        <v>356</v>
      </c>
      <c r="W77" s="256"/>
      <c r="X77" s="256" t="s">
        <v>356</v>
      </c>
      <c r="Y77" s="257"/>
      <c r="Z77" s="256"/>
      <c r="AA77" s="256"/>
      <c r="AB77" s="258"/>
      <c r="AC77" s="258"/>
      <c r="AD77" s="247" t="s">
        <v>1279</v>
      </c>
      <c r="AE77" s="210"/>
      <c r="AF77" s="247" t="s">
        <v>1166</v>
      </c>
      <c r="AG77" s="247" t="s">
        <v>1166</v>
      </c>
      <c r="AH77" s="247" t="s">
        <v>378</v>
      </c>
      <c r="AI77" s="249"/>
    </row>
    <row r="78" spans="2:35" ht="50.1" hidden="1" customHeight="1">
      <c r="B78" s="170">
        <f>IF(D78="","",SUBTOTAL(3,$D$5:D78))</f>
        <v>0</v>
      </c>
      <c r="C78" s="171" t="s">
        <v>711</v>
      </c>
      <c r="D78" s="281" t="s">
        <v>431</v>
      </c>
      <c r="E78" s="167">
        <v>136</v>
      </c>
      <c r="F78" s="286" t="s">
        <v>1138</v>
      </c>
      <c r="G78" s="168" t="s">
        <v>1863</v>
      </c>
      <c r="H78" s="168" t="s">
        <v>351</v>
      </c>
      <c r="I78" s="287" t="s">
        <v>362</v>
      </c>
      <c r="J78" s="168" t="s">
        <v>1</v>
      </c>
      <c r="K78" s="247" t="s">
        <v>1138</v>
      </c>
      <c r="L78" s="247">
        <v>12</v>
      </c>
      <c r="M78" s="172" t="s">
        <v>1804</v>
      </c>
      <c r="N78" s="255"/>
      <c r="O78" s="256"/>
      <c r="P78" s="256"/>
      <c r="Q78" s="256"/>
      <c r="R78" s="256"/>
      <c r="S78" s="256"/>
      <c r="T78" s="256"/>
      <c r="U78" s="256"/>
      <c r="V78" s="256" t="s">
        <v>356</v>
      </c>
      <c r="W78" s="256"/>
      <c r="X78" s="256"/>
      <c r="Y78" s="257"/>
      <c r="Z78" s="256"/>
      <c r="AA78" s="256"/>
      <c r="AB78" s="258"/>
      <c r="AC78" s="258"/>
      <c r="AD78" s="247" t="s">
        <v>986</v>
      </c>
      <c r="AE78" s="210"/>
      <c r="AF78" s="247" t="s">
        <v>1156</v>
      </c>
      <c r="AG78" s="247" t="s">
        <v>1156</v>
      </c>
      <c r="AH78" s="247" t="s">
        <v>1138</v>
      </c>
      <c r="AI78" s="249"/>
    </row>
    <row r="79" spans="2:35" ht="50.1" hidden="1" customHeight="1">
      <c r="B79" s="170">
        <f>IF(D79="","",SUBTOTAL(3,$D$5:D79))</f>
        <v>0</v>
      </c>
      <c r="C79" s="171" t="s">
        <v>712</v>
      </c>
      <c r="D79" s="281" t="s">
        <v>432</v>
      </c>
      <c r="E79" s="167">
        <v>136</v>
      </c>
      <c r="F79" s="286" t="s">
        <v>1139</v>
      </c>
      <c r="G79" s="168" t="s">
        <v>1863</v>
      </c>
      <c r="H79" s="168" t="s">
        <v>351</v>
      </c>
      <c r="I79" s="287" t="s">
        <v>362</v>
      </c>
      <c r="J79" s="168" t="s">
        <v>1</v>
      </c>
      <c r="K79" s="247" t="s">
        <v>1139</v>
      </c>
      <c r="L79" s="247">
        <v>12</v>
      </c>
      <c r="M79" s="172" t="s">
        <v>1804</v>
      </c>
      <c r="N79" s="255"/>
      <c r="O79" s="256"/>
      <c r="P79" s="256"/>
      <c r="Q79" s="256"/>
      <c r="R79" s="256"/>
      <c r="S79" s="256"/>
      <c r="T79" s="256"/>
      <c r="U79" s="256"/>
      <c r="V79" s="256" t="s">
        <v>356</v>
      </c>
      <c r="W79" s="256"/>
      <c r="X79" s="256"/>
      <c r="Y79" s="257"/>
      <c r="Z79" s="256"/>
      <c r="AA79" s="256"/>
      <c r="AB79" s="258"/>
      <c r="AC79" s="258"/>
      <c r="AD79" s="247" t="s">
        <v>1275</v>
      </c>
      <c r="AE79" s="210"/>
      <c r="AF79" s="247" t="s">
        <v>1159</v>
      </c>
      <c r="AG79" s="247" t="s">
        <v>1156</v>
      </c>
      <c r="AH79" s="247" t="s">
        <v>1139</v>
      </c>
      <c r="AI79" s="249"/>
    </row>
    <row r="80" spans="2:35" ht="50.1" hidden="1" customHeight="1">
      <c r="B80" s="170">
        <f>IF(D80="","",SUBTOTAL(3,$D$5:D80))</f>
        <v>0</v>
      </c>
      <c r="C80" s="171" t="s">
        <v>713</v>
      </c>
      <c r="D80" s="281" t="s">
        <v>433</v>
      </c>
      <c r="E80" s="167">
        <v>136</v>
      </c>
      <c r="F80" s="286" t="s">
        <v>1140</v>
      </c>
      <c r="G80" s="168" t="s">
        <v>1863</v>
      </c>
      <c r="H80" s="168" t="s">
        <v>351</v>
      </c>
      <c r="I80" s="287" t="s">
        <v>362</v>
      </c>
      <c r="J80" s="168" t="s">
        <v>1</v>
      </c>
      <c r="K80" s="247" t="s">
        <v>1140</v>
      </c>
      <c r="L80" s="247">
        <v>12</v>
      </c>
      <c r="M80" s="172" t="s">
        <v>1804</v>
      </c>
      <c r="N80" s="255"/>
      <c r="O80" s="256"/>
      <c r="P80" s="256"/>
      <c r="Q80" s="256"/>
      <c r="R80" s="256"/>
      <c r="S80" s="256"/>
      <c r="T80" s="256"/>
      <c r="U80" s="256"/>
      <c r="V80" s="256" t="s">
        <v>356</v>
      </c>
      <c r="W80" s="256"/>
      <c r="X80" s="256"/>
      <c r="Y80" s="257"/>
      <c r="Z80" s="256"/>
      <c r="AA80" s="256"/>
      <c r="AB80" s="258"/>
      <c r="AC80" s="258"/>
      <c r="AD80" s="247" t="s">
        <v>1276</v>
      </c>
      <c r="AE80" s="210"/>
      <c r="AF80" s="247" t="s">
        <v>1156</v>
      </c>
      <c r="AG80" s="247" t="s">
        <v>1159</v>
      </c>
      <c r="AH80" s="247" t="s">
        <v>1140</v>
      </c>
      <c r="AI80" s="249"/>
    </row>
    <row r="81" spans="2:35" ht="50.1" hidden="1" customHeight="1">
      <c r="B81" s="170">
        <f>IF(D81="","",SUBTOTAL(3,$D$5:D81))</f>
        <v>0</v>
      </c>
      <c r="C81" s="171" t="s">
        <v>714</v>
      </c>
      <c r="D81" s="281" t="s">
        <v>434</v>
      </c>
      <c r="E81" s="167">
        <v>136</v>
      </c>
      <c r="F81" s="286" t="s">
        <v>1141</v>
      </c>
      <c r="G81" s="168" t="s">
        <v>1863</v>
      </c>
      <c r="H81" s="168" t="s">
        <v>351</v>
      </c>
      <c r="I81" s="287" t="s">
        <v>362</v>
      </c>
      <c r="J81" s="168" t="s">
        <v>1</v>
      </c>
      <c r="K81" s="247" t="s">
        <v>1141</v>
      </c>
      <c r="L81" s="247">
        <v>12</v>
      </c>
      <c r="M81" s="172" t="s">
        <v>1804</v>
      </c>
      <c r="N81" s="255"/>
      <c r="O81" s="256"/>
      <c r="P81" s="256"/>
      <c r="Q81" s="256"/>
      <c r="R81" s="256"/>
      <c r="S81" s="256"/>
      <c r="T81" s="256"/>
      <c r="U81" s="256"/>
      <c r="V81" s="256" t="s">
        <v>356</v>
      </c>
      <c r="W81" s="256"/>
      <c r="X81" s="256"/>
      <c r="Y81" s="257"/>
      <c r="Z81" s="256"/>
      <c r="AA81" s="256"/>
      <c r="AB81" s="258"/>
      <c r="AC81" s="258"/>
      <c r="AD81" s="247" t="s">
        <v>986</v>
      </c>
      <c r="AE81" s="210"/>
      <c r="AF81" s="247" t="s">
        <v>1156</v>
      </c>
      <c r="AG81" s="247" t="s">
        <v>1156</v>
      </c>
      <c r="AH81" s="247" t="s">
        <v>1141</v>
      </c>
      <c r="AI81" s="249"/>
    </row>
    <row r="82" spans="2:35" ht="50.1" hidden="1" customHeight="1">
      <c r="B82" s="170">
        <f>IF(D82="","",SUBTOTAL(3,$D$5:D82))</f>
        <v>0</v>
      </c>
      <c r="C82" s="171" t="s">
        <v>715</v>
      </c>
      <c r="D82" s="281" t="s">
        <v>435</v>
      </c>
      <c r="E82" s="167" t="s">
        <v>436</v>
      </c>
      <c r="F82" s="286" t="s">
        <v>437</v>
      </c>
      <c r="G82" s="168" t="s">
        <v>1883</v>
      </c>
      <c r="H82" s="168" t="s">
        <v>368</v>
      </c>
      <c r="I82" s="287" t="s">
        <v>381</v>
      </c>
      <c r="J82" s="168" t="s">
        <v>418</v>
      </c>
      <c r="K82" s="247" t="s">
        <v>1312</v>
      </c>
      <c r="L82" s="247">
        <v>2</v>
      </c>
      <c r="M82" s="172" t="s">
        <v>1803</v>
      </c>
      <c r="N82" s="255"/>
      <c r="O82" s="256"/>
      <c r="P82" s="256"/>
      <c r="Q82" s="256"/>
      <c r="R82" s="256"/>
      <c r="S82" s="256"/>
      <c r="T82" s="256"/>
      <c r="U82" s="256"/>
      <c r="V82" s="256" t="s">
        <v>356</v>
      </c>
      <c r="W82" s="256"/>
      <c r="X82" s="256"/>
      <c r="Y82" s="257"/>
      <c r="Z82" s="256"/>
      <c r="AA82" s="256"/>
      <c r="AB82" s="258"/>
      <c r="AC82" s="258"/>
      <c r="AD82" s="247" t="s">
        <v>993</v>
      </c>
      <c r="AE82" s="210"/>
      <c r="AF82" s="247" t="s">
        <v>993</v>
      </c>
      <c r="AG82" s="168" t="s">
        <v>996</v>
      </c>
      <c r="AH82" s="247" t="s">
        <v>437</v>
      </c>
      <c r="AI82" s="249"/>
    </row>
    <row r="83" spans="2:35" ht="50.1" hidden="1" customHeight="1">
      <c r="B83" s="170">
        <f>IF(D83="","",SUBTOTAL(3,$D$5:D83))</f>
        <v>0</v>
      </c>
      <c r="C83" s="171" t="s">
        <v>716</v>
      </c>
      <c r="D83" s="281" t="s">
        <v>439</v>
      </c>
      <c r="E83" s="167" t="s">
        <v>50</v>
      </c>
      <c r="F83" s="286" t="s">
        <v>440</v>
      </c>
      <c r="G83" s="168" t="s">
        <v>1868</v>
      </c>
      <c r="H83" s="168" t="s">
        <v>368</v>
      </c>
      <c r="I83" s="287" t="s">
        <v>381</v>
      </c>
      <c r="J83" s="168" t="s">
        <v>441</v>
      </c>
      <c r="K83" s="247" t="s">
        <v>1313</v>
      </c>
      <c r="L83" s="247">
        <v>5</v>
      </c>
      <c r="M83" s="172" t="s">
        <v>1804</v>
      </c>
      <c r="N83" s="255"/>
      <c r="O83" s="256"/>
      <c r="P83" s="256"/>
      <c r="Q83" s="256"/>
      <c r="R83" s="256"/>
      <c r="S83" s="256"/>
      <c r="T83" s="256"/>
      <c r="U83" s="256"/>
      <c r="V83" s="256" t="s">
        <v>356</v>
      </c>
      <c r="W83" s="256"/>
      <c r="X83" s="256"/>
      <c r="Y83" s="257"/>
      <c r="Z83" s="256"/>
      <c r="AA83" s="256"/>
      <c r="AB83" s="258"/>
      <c r="AC83" s="258"/>
      <c r="AD83" s="247" t="s">
        <v>1177</v>
      </c>
      <c r="AE83" s="210"/>
      <c r="AF83" s="247" t="s">
        <v>1177</v>
      </c>
      <c r="AG83" s="247" t="s">
        <v>1166</v>
      </c>
      <c r="AH83" s="247" t="s">
        <v>440</v>
      </c>
      <c r="AI83" s="249"/>
    </row>
    <row r="84" spans="2:35" ht="50.1" hidden="1" customHeight="1">
      <c r="B84" s="170">
        <f>IF(D84="","",SUBTOTAL(3,$D$5:D84))</f>
        <v>0</v>
      </c>
      <c r="C84" s="171" t="s">
        <v>717</v>
      </c>
      <c r="D84" s="281" t="s">
        <v>442</v>
      </c>
      <c r="E84" s="167">
        <v>136</v>
      </c>
      <c r="F84" s="286" t="s">
        <v>1136</v>
      </c>
      <c r="G84" s="168" t="s">
        <v>1863</v>
      </c>
      <c r="H84" s="168" t="s">
        <v>351</v>
      </c>
      <c r="I84" s="287" t="s">
        <v>362</v>
      </c>
      <c r="J84" s="168" t="s">
        <v>1</v>
      </c>
      <c r="K84" s="247" t="s">
        <v>1136</v>
      </c>
      <c r="L84" s="247">
        <v>12</v>
      </c>
      <c r="M84" s="172" t="s">
        <v>1804</v>
      </c>
      <c r="N84" s="255"/>
      <c r="O84" s="256"/>
      <c r="P84" s="256"/>
      <c r="Q84" s="256"/>
      <c r="R84" s="256"/>
      <c r="S84" s="256"/>
      <c r="T84" s="256"/>
      <c r="U84" s="256"/>
      <c r="V84" s="256" t="s">
        <v>356</v>
      </c>
      <c r="W84" s="256"/>
      <c r="X84" s="256"/>
      <c r="Y84" s="257"/>
      <c r="Z84" s="256"/>
      <c r="AA84" s="256"/>
      <c r="AB84" s="258"/>
      <c r="AC84" s="258"/>
      <c r="AD84" s="247" t="s">
        <v>986</v>
      </c>
      <c r="AE84" s="210"/>
      <c r="AF84" s="247" t="s">
        <v>1156</v>
      </c>
      <c r="AG84" s="247" t="s">
        <v>1156</v>
      </c>
      <c r="AH84" s="247" t="s">
        <v>1136</v>
      </c>
      <c r="AI84" s="249"/>
    </row>
    <row r="85" spans="2:35" ht="50.1" hidden="1" customHeight="1">
      <c r="B85" s="170">
        <f>IF(D85="","",SUBTOTAL(3,$D$5:D85))</f>
        <v>0</v>
      </c>
      <c r="C85" s="171" t="s">
        <v>879</v>
      </c>
      <c r="D85" s="281" t="s">
        <v>881</v>
      </c>
      <c r="E85" s="167">
        <v>141</v>
      </c>
      <c r="F85" s="286" t="s">
        <v>934</v>
      </c>
      <c r="G85" s="168" t="s">
        <v>1869</v>
      </c>
      <c r="H85" s="168" t="s">
        <v>368</v>
      </c>
      <c r="I85" s="287" t="s">
        <v>362</v>
      </c>
      <c r="J85" s="168" t="s">
        <v>441</v>
      </c>
      <c r="K85" s="247" t="s">
        <v>934</v>
      </c>
      <c r="L85" s="247">
        <v>6</v>
      </c>
      <c r="M85" s="172" t="s">
        <v>1804</v>
      </c>
      <c r="N85" s="255"/>
      <c r="O85" s="256"/>
      <c r="P85" s="256"/>
      <c r="Q85" s="256"/>
      <c r="R85" s="256"/>
      <c r="S85" s="256"/>
      <c r="T85" s="256"/>
      <c r="U85" s="256"/>
      <c r="V85" s="256" t="s">
        <v>356</v>
      </c>
      <c r="W85" s="256"/>
      <c r="X85" s="256"/>
      <c r="Y85" s="257"/>
      <c r="Z85" s="256"/>
      <c r="AA85" s="256"/>
      <c r="AB85" s="258"/>
      <c r="AC85" s="258"/>
      <c r="AD85" s="247" t="s">
        <v>1265</v>
      </c>
      <c r="AE85" s="210"/>
      <c r="AF85" s="247" t="s">
        <v>1156</v>
      </c>
      <c r="AG85" s="247" t="s">
        <v>1166</v>
      </c>
      <c r="AH85" s="247" t="s">
        <v>934</v>
      </c>
      <c r="AI85" s="249"/>
    </row>
    <row r="86" spans="2:35" ht="50.1" hidden="1" customHeight="1">
      <c r="B86" s="170">
        <f>IF(D86="","",SUBTOTAL(3,$D$5:D86))</f>
        <v>0</v>
      </c>
      <c r="C86" s="171" t="s">
        <v>868</v>
      </c>
      <c r="D86" s="281" t="s">
        <v>871</v>
      </c>
      <c r="E86" s="167">
        <v>136</v>
      </c>
      <c r="F86" s="286" t="s">
        <v>935</v>
      </c>
      <c r="G86" s="168" t="s">
        <v>1884</v>
      </c>
      <c r="H86" s="168" t="s">
        <v>357</v>
      </c>
      <c r="I86" s="287" t="s">
        <v>869</v>
      </c>
      <c r="J86" s="168" t="s">
        <v>1</v>
      </c>
      <c r="K86" s="247" t="s">
        <v>935</v>
      </c>
      <c r="L86" s="168" t="s">
        <v>945</v>
      </c>
      <c r="M86" s="172" t="s">
        <v>1804</v>
      </c>
      <c r="N86" s="255"/>
      <c r="O86" s="256"/>
      <c r="P86" s="256"/>
      <c r="Q86" s="256"/>
      <c r="R86" s="256"/>
      <c r="S86" s="256"/>
      <c r="T86" s="256"/>
      <c r="U86" s="256"/>
      <c r="V86" s="256" t="s">
        <v>356</v>
      </c>
      <c r="W86" s="256"/>
      <c r="X86" s="256"/>
      <c r="Y86" s="257"/>
      <c r="Z86" s="256"/>
      <c r="AA86" s="256"/>
      <c r="AB86" s="258"/>
      <c r="AC86" s="258"/>
      <c r="AD86" s="247" t="s">
        <v>995</v>
      </c>
      <c r="AE86" s="210"/>
      <c r="AF86" s="247" t="s">
        <v>995</v>
      </c>
      <c r="AG86" s="247" t="s">
        <v>997</v>
      </c>
      <c r="AH86" s="247" t="s">
        <v>935</v>
      </c>
      <c r="AI86" s="249"/>
    </row>
    <row r="87" spans="2:35" ht="50.1" hidden="1" customHeight="1">
      <c r="B87" s="170">
        <f>IF(D87="","",SUBTOTAL(3,$D$5:D87))</f>
        <v>0</v>
      </c>
      <c r="C87" s="171" t="s">
        <v>1054</v>
      </c>
      <c r="D87" s="281" t="s">
        <v>1053</v>
      </c>
      <c r="E87" s="167">
        <v>136</v>
      </c>
      <c r="F87" s="286" t="s">
        <v>935</v>
      </c>
      <c r="G87" s="168" t="s">
        <v>1885</v>
      </c>
      <c r="H87" s="168" t="s">
        <v>357</v>
      </c>
      <c r="I87" s="287" t="s">
        <v>1055</v>
      </c>
      <c r="J87" s="168" t="s">
        <v>1</v>
      </c>
      <c r="K87" s="247" t="s">
        <v>935</v>
      </c>
      <c r="L87" s="168" t="s">
        <v>945</v>
      </c>
      <c r="M87" s="172" t="s">
        <v>1804</v>
      </c>
      <c r="N87" s="255"/>
      <c r="O87" s="256"/>
      <c r="P87" s="256"/>
      <c r="Q87" s="256"/>
      <c r="R87" s="256"/>
      <c r="S87" s="256"/>
      <c r="T87" s="256"/>
      <c r="U87" s="256"/>
      <c r="V87" s="256" t="s">
        <v>356</v>
      </c>
      <c r="W87" s="256"/>
      <c r="X87" s="256"/>
      <c r="Y87" s="257"/>
      <c r="Z87" s="256"/>
      <c r="AA87" s="256"/>
      <c r="AB87" s="258"/>
      <c r="AC87" s="258"/>
      <c r="AD87" s="247" t="s">
        <v>995</v>
      </c>
      <c r="AE87" s="210"/>
      <c r="AF87" s="247" t="s">
        <v>995</v>
      </c>
      <c r="AG87" s="247" t="s">
        <v>986</v>
      </c>
      <c r="AH87" s="247" t="s">
        <v>935</v>
      </c>
      <c r="AI87" s="249"/>
    </row>
    <row r="88" spans="2:35" ht="50.1" hidden="1" customHeight="1">
      <c r="B88" s="170">
        <f>IF(D88="","",SUBTOTAL(3,$D$5:D88))</f>
        <v>0</v>
      </c>
      <c r="C88" s="171" t="s">
        <v>1230</v>
      </c>
      <c r="D88" s="281" t="s">
        <v>1229</v>
      </c>
      <c r="E88" s="167">
        <v>136</v>
      </c>
      <c r="F88" s="286" t="s">
        <v>1824</v>
      </c>
      <c r="G88" s="168" t="s">
        <v>1233</v>
      </c>
      <c r="H88" s="168" t="s">
        <v>1232</v>
      </c>
      <c r="I88" s="287" t="s">
        <v>1231</v>
      </c>
      <c r="J88" s="168" t="s">
        <v>423</v>
      </c>
      <c r="K88" s="247" t="s">
        <v>1310</v>
      </c>
      <c r="L88" s="168">
        <v>20</v>
      </c>
      <c r="M88" s="172" t="s">
        <v>1804</v>
      </c>
      <c r="N88" s="255"/>
      <c r="O88" s="256"/>
      <c r="P88" s="256"/>
      <c r="Q88" s="256"/>
      <c r="R88" s="256"/>
      <c r="S88" s="256"/>
      <c r="T88" s="256"/>
      <c r="U88" s="256"/>
      <c r="V88" s="256"/>
      <c r="W88" s="256" t="s">
        <v>95</v>
      </c>
      <c r="X88" s="256"/>
      <c r="Y88" s="257"/>
      <c r="Z88" s="256"/>
      <c r="AA88" s="256"/>
      <c r="AB88" s="258"/>
      <c r="AC88" s="258"/>
      <c r="AD88" s="247" t="s">
        <v>1265</v>
      </c>
      <c r="AE88" s="210"/>
      <c r="AF88" s="247" t="s">
        <v>1156</v>
      </c>
      <c r="AG88" s="247" t="s">
        <v>1166</v>
      </c>
      <c r="AH88" s="247" t="s">
        <v>1268</v>
      </c>
      <c r="AI88" s="249"/>
    </row>
    <row r="89" spans="2:35" ht="50.1" hidden="1" customHeight="1">
      <c r="B89" s="170">
        <f>IF(D89="","",SUBTOTAL(3,$D$5:D89))</f>
        <v>0</v>
      </c>
      <c r="C89" s="171" t="s">
        <v>1234</v>
      </c>
      <c r="D89" s="281" t="s">
        <v>1228</v>
      </c>
      <c r="E89" s="167">
        <v>136</v>
      </c>
      <c r="F89" s="286" t="s">
        <v>1269</v>
      </c>
      <c r="G89" s="168" t="s">
        <v>1246</v>
      </c>
      <c r="H89" s="168" t="s">
        <v>1235</v>
      </c>
      <c r="I89" s="287" t="s">
        <v>1055</v>
      </c>
      <c r="J89" s="168" t="s">
        <v>1</v>
      </c>
      <c r="K89" s="247" t="s">
        <v>1267</v>
      </c>
      <c r="L89" s="168" t="s">
        <v>1238</v>
      </c>
      <c r="M89" s="172" t="s">
        <v>1804</v>
      </c>
      <c r="N89" s="255"/>
      <c r="O89" s="256"/>
      <c r="P89" s="256"/>
      <c r="Q89" s="256"/>
      <c r="R89" s="256"/>
      <c r="S89" s="256"/>
      <c r="T89" s="256"/>
      <c r="U89" s="256"/>
      <c r="V89" s="256"/>
      <c r="W89" s="256" t="s">
        <v>95</v>
      </c>
      <c r="X89" s="256"/>
      <c r="Y89" s="257"/>
      <c r="Z89" s="256"/>
      <c r="AA89" s="256"/>
      <c r="AB89" s="258"/>
      <c r="AC89" s="258"/>
      <c r="AD89" s="247" t="s">
        <v>1266</v>
      </c>
      <c r="AE89" s="210"/>
      <c r="AF89" s="247" t="s">
        <v>995</v>
      </c>
      <c r="AG89" s="247" t="s">
        <v>986</v>
      </c>
      <c r="AH89" s="247" t="s">
        <v>1269</v>
      </c>
      <c r="AI89" s="249"/>
    </row>
    <row r="90" spans="2:35" ht="50.1" hidden="1" customHeight="1">
      <c r="B90" s="170">
        <f>IF(D90="","",SUBTOTAL(3,$D$5:D90))</f>
        <v>0</v>
      </c>
      <c r="C90" s="171" t="s">
        <v>1237</v>
      </c>
      <c r="D90" s="281" t="s">
        <v>1236</v>
      </c>
      <c r="E90" s="167">
        <v>136</v>
      </c>
      <c r="F90" s="286" t="s">
        <v>1665</v>
      </c>
      <c r="G90" s="168" t="s">
        <v>1886</v>
      </c>
      <c r="H90" s="168" t="s">
        <v>1232</v>
      </c>
      <c r="I90" s="287" t="s">
        <v>1055</v>
      </c>
      <c r="J90" s="168" t="s">
        <v>1</v>
      </c>
      <c r="K90" s="247" t="s">
        <v>1165</v>
      </c>
      <c r="L90" s="168">
        <v>16</v>
      </c>
      <c r="M90" s="172" t="s">
        <v>1804</v>
      </c>
      <c r="N90" s="255"/>
      <c r="O90" s="256"/>
      <c r="P90" s="256"/>
      <c r="Q90" s="256"/>
      <c r="R90" s="256"/>
      <c r="S90" s="256"/>
      <c r="T90" s="256"/>
      <c r="U90" s="256"/>
      <c r="V90" s="256"/>
      <c r="W90" s="256" t="s">
        <v>95</v>
      </c>
      <c r="X90" s="256"/>
      <c r="Y90" s="257"/>
      <c r="Z90" s="256"/>
      <c r="AA90" s="256"/>
      <c r="AB90" s="258"/>
      <c r="AC90" s="258"/>
      <c r="AD90" s="247" t="s">
        <v>986</v>
      </c>
      <c r="AE90" s="210"/>
      <c r="AF90" s="247" t="s">
        <v>1156</v>
      </c>
      <c r="AG90" s="247" t="s">
        <v>1156</v>
      </c>
      <c r="AH90" s="247" t="s">
        <v>1271</v>
      </c>
      <c r="AI90" s="249"/>
    </row>
    <row r="91" spans="2:35" ht="50.1" hidden="1" customHeight="1">
      <c r="B91" s="170">
        <f>IF(D91="","",SUBTOTAL(3,$D$5:D91))</f>
        <v>0</v>
      </c>
      <c r="C91" s="171" t="s">
        <v>1240</v>
      </c>
      <c r="D91" s="281" t="s">
        <v>1239</v>
      </c>
      <c r="E91" s="167">
        <v>136</v>
      </c>
      <c r="F91" s="286" t="s">
        <v>1666</v>
      </c>
      <c r="G91" s="168" t="s">
        <v>1247</v>
      </c>
      <c r="H91" s="168" t="s">
        <v>1235</v>
      </c>
      <c r="I91" s="287" t="s">
        <v>1241</v>
      </c>
      <c r="J91" s="168" t="s">
        <v>1</v>
      </c>
      <c r="K91" s="247" t="s">
        <v>1267</v>
      </c>
      <c r="L91" s="168" t="s">
        <v>1244</v>
      </c>
      <c r="M91" s="172" t="s">
        <v>1804</v>
      </c>
      <c r="N91" s="255"/>
      <c r="O91" s="256"/>
      <c r="P91" s="256"/>
      <c r="Q91" s="256"/>
      <c r="R91" s="256"/>
      <c r="S91" s="256"/>
      <c r="T91" s="256"/>
      <c r="U91" s="256"/>
      <c r="V91" s="256"/>
      <c r="W91" s="256" t="s">
        <v>95</v>
      </c>
      <c r="X91" s="256"/>
      <c r="Y91" s="257"/>
      <c r="Z91" s="256"/>
      <c r="AA91" s="256"/>
      <c r="AB91" s="258"/>
      <c r="AC91" s="258"/>
      <c r="AD91" s="247" t="s">
        <v>1266</v>
      </c>
      <c r="AE91" s="210"/>
      <c r="AF91" s="247" t="s">
        <v>995</v>
      </c>
      <c r="AG91" s="247" t="s">
        <v>986</v>
      </c>
      <c r="AH91" s="247" t="s">
        <v>1269</v>
      </c>
      <c r="AI91" s="249"/>
    </row>
    <row r="92" spans="2:35" ht="50.1" hidden="1" customHeight="1">
      <c r="B92" s="170">
        <f>IF(D92="","",SUBTOTAL(3,$D$5:D92))</f>
        <v>0</v>
      </c>
      <c r="C92" s="171" t="s">
        <v>1449</v>
      </c>
      <c r="D92" s="281" t="s">
        <v>1448</v>
      </c>
      <c r="E92" s="167">
        <v>136</v>
      </c>
      <c r="F92" s="286" t="s">
        <v>1667</v>
      </c>
      <c r="G92" s="168" t="s">
        <v>1453</v>
      </c>
      <c r="H92" s="168" t="s">
        <v>1232</v>
      </c>
      <c r="I92" s="287" t="s">
        <v>1454</v>
      </c>
      <c r="J92" s="168" t="s">
        <v>1</v>
      </c>
      <c r="K92" s="247" t="s">
        <v>1452</v>
      </c>
      <c r="L92" s="168">
        <v>10</v>
      </c>
      <c r="M92" s="172" t="s">
        <v>1804</v>
      </c>
      <c r="N92" s="255"/>
      <c r="O92" s="256"/>
      <c r="P92" s="256"/>
      <c r="Q92" s="256"/>
      <c r="R92" s="256"/>
      <c r="S92" s="256"/>
      <c r="T92" s="256"/>
      <c r="U92" s="256"/>
      <c r="V92" s="256"/>
      <c r="W92" s="256" t="s">
        <v>95</v>
      </c>
      <c r="X92" s="256"/>
      <c r="Y92" s="257"/>
      <c r="Z92" s="256"/>
      <c r="AA92" s="256"/>
      <c r="AB92" s="258"/>
      <c r="AC92" s="258"/>
      <c r="AD92" s="247" t="s">
        <v>986</v>
      </c>
      <c r="AE92" s="210"/>
      <c r="AF92" s="247" t="s">
        <v>995</v>
      </c>
      <c r="AG92" s="247" t="s">
        <v>986</v>
      </c>
      <c r="AH92" s="247" t="s">
        <v>1269</v>
      </c>
      <c r="AI92" s="249"/>
    </row>
    <row r="93" spans="2:35" ht="50.1" hidden="1" customHeight="1">
      <c r="B93" s="170">
        <f>IF(D93="","",SUBTOTAL(3,$D$5:D93))</f>
        <v>0</v>
      </c>
      <c r="C93" s="171" t="s">
        <v>1451</v>
      </c>
      <c r="D93" s="281" t="s">
        <v>1450</v>
      </c>
      <c r="E93" s="167">
        <v>136</v>
      </c>
      <c r="F93" s="286" t="s">
        <v>1668</v>
      </c>
      <c r="G93" s="168" t="s">
        <v>1458</v>
      </c>
      <c r="H93" s="168" t="s">
        <v>1457</v>
      </c>
      <c r="I93" s="287" t="s">
        <v>1459</v>
      </c>
      <c r="J93" s="168" t="s">
        <v>1</v>
      </c>
      <c r="K93" s="247" t="s">
        <v>1456</v>
      </c>
      <c r="L93" s="168" t="s">
        <v>1455</v>
      </c>
      <c r="M93" s="172" t="s">
        <v>1804</v>
      </c>
      <c r="N93" s="255"/>
      <c r="O93" s="256"/>
      <c r="P93" s="256"/>
      <c r="Q93" s="256"/>
      <c r="R93" s="256"/>
      <c r="S93" s="256"/>
      <c r="T93" s="256"/>
      <c r="U93" s="256"/>
      <c r="V93" s="256"/>
      <c r="W93" s="256" t="s">
        <v>95</v>
      </c>
      <c r="X93" s="256"/>
      <c r="Y93" s="257"/>
      <c r="Z93" s="256"/>
      <c r="AA93" s="256"/>
      <c r="AB93" s="258"/>
      <c r="AC93" s="258"/>
      <c r="AD93" s="247" t="s">
        <v>1266</v>
      </c>
      <c r="AE93" s="210"/>
      <c r="AF93" s="247" t="s">
        <v>995</v>
      </c>
      <c r="AG93" s="247" t="s">
        <v>986</v>
      </c>
      <c r="AH93" s="247" t="s">
        <v>1269</v>
      </c>
      <c r="AI93" s="249"/>
    </row>
    <row r="94" spans="2:35" ht="50.1" hidden="1" customHeight="1">
      <c r="B94" s="170">
        <f>IF(D94="","",SUBTOTAL(3,$D$5:D94))</f>
        <v>0</v>
      </c>
      <c r="C94" s="171" t="s">
        <v>1585</v>
      </c>
      <c r="D94" s="281" t="s">
        <v>1586</v>
      </c>
      <c r="E94" s="167">
        <v>121</v>
      </c>
      <c r="F94" s="287" t="s">
        <v>1680</v>
      </c>
      <c r="G94" s="168" t="s">
        <v>1806</v>
      </c>
      <c r="H94" s="168" t="s">
        <v>368</v>
      </c>
      <c r="I94" s="287" t="s">
        <v>1588</v>
      </c>
      <c r="J94" s="168" t="s">
        <v>1589</v>
      </c>
      <c r="K94" s="247" t="s">
        <v>1590</v>
      </c>
      <c r="L94" s="168">
        <v>16</v>
      </c>
      <c r="M94" s="172" t="s">
        <v>1804</v>
      </c>
      <c r="N94" s="255"/>
      <c r="O94" s="256"/>
      <c r="P94" s="256"/>
      <c r="Q94" s="256"/>
      <c r="R94" s="256"/>
      <c r="S94" s="256" t="s">
        <v>356</v>
      </c>
      <c r="T94" s="256"/>
      <c r="U94" s="256"/>
      <c r="V94" s="256"/>
      <c r="W94" s="256"/>
      <c r="X94" s="256"/>
      <c r="Y94" s="257" t="s">
        <v>95</v>
      </c>
      <c r="Z94" s="256"/>
      <c r="AA94" s="256"/>
      <c r="AB94" s="258"/>
      <c r="AC94" s="258"/>
      <c r="AD94" s="247" t="s">
        <v>1587</v>
      </c>
      <c r="AE94" s="210"/>
      <c r="AF94" s="247" t="s">
        <v>995</v>
      </c>
      <c r="AG94" s="247" t="s">
        <v>986</v>
      </c>
      <c r="AH94" s="247" t="s">
        <v>1269</v>
      </c>
      <c r="AI94" s="249"/>
    </row>
    <row r="95" spans="2:35" ht="50.1" hidden="1" customHeight="1">
      <c r="B95" s="170">
        <f>IF(D95="","",SUBTOTAL(3,$D$5:D95))</f>
        <v>0</v>
      </c>
      <c r="C95" s="171" t="s">
        <v>1614</v>
      </c>
      <c r="D95" s="281" t="s">
        <v>1615</v>
      </c>
      <c r="E95" s="167">
        <v>121</v>
      </c>
      <c r="F95" s="287" t="s">
        <v>1680</v>
      </c>
      <c r="G95" s="168" t="s">
        <v>1807</v>
      </c>
      <c r="H95" s="168" t="s">
        <v>368</v>
      </c>
      <c r="I95" s="287" t="s">
        <v>1588</v>
      </c>
      <c r="J95" s="168" t="s">
        <v>1589</v>
      </c>
      <c r="K95" s="247" t="s">
        <v>1616</v>
      </c>
      <c r="L95" s="168">
        <v>8</v>
      </c>
      <c r="M95" s="172" t="s">
        <v>1804</v>
      </c>
      <c r="N95" s="255"/>
      <c r="O95" s="256"/>
      <c r="P95" s="256"/>
      <c r="Q95" s="256"/>
      <c r="R95" s="256"/>
      <c r="S95" s="256" t="s">
        <v>356</v>
      </c>
      <c r="T95" s="256"/>
      <c r="U95" s="256"/>
      <c r="V95" s="256"/>
      <c r="W95" s="256"/>
      <c r="X95" s="256"/>
      <c r="Y95" s="257" t="s">
        <v>95</v>
      </c>
      <c r="Z95" s="256"/>
      <c r="AA95" s="256"/>
      <c r="AB95" s="258"/>
      <c r="AC95" s="258"/>
      <c r="AD95" s="247" t="s">
        <v>1587</v>
      </c>
      <c r="AE95" s="210"/>
      <c r="AF95" s="247" t="s">
        <v>995</v>
      </c>
      <c r="AG95" s="247" t="s">
        <v>986</v>
      </c>
      <c r="AH95" s="247" t="s">
        <v>1269</v>
      </c>
      <c r="AI95" s="249"/>
    </row>
    <row r="96" spans="2:35" ht="50.1" hidden="1" customHeight="1">
      <c r="B96" s="170">
        <f>IF(D96="","",SUBTOTAL(3,$D$5:D96))</f>
        <v>0</v>
      </c>
      <c r="C96" s="171" t="s">
        <v>1617</v>
      </c>
      <c r="D96" s="281" t="s">
        <v>1618</v>
      </c>
      <c r="E96" s="167" t="s">
        <v>1622</v>
      </c>
      <c r="F96" s="287" t="s">
        <v>1680</v>
      </c>
      <c r="G96" s="168" t="s">
        <v>1806</v>
      </c>
      <c r="H96" s="168" t="s">
        <v>368</v>
      </c>
      <c r="I96" s="287" t="s">
        <v>1588</v>
      </c>
      <c r="J96" s="168" t="s">
        <v>1663</v>
      </c>
      <c r="K96" s="247" t="s">
        <v>1616</v>
      </c>
      <c r="L96" s="168">
        <v>16</v>
      </c>
      <c r="M96" s="172" t="s">
        <v>1804</v>
      </c>
      <c r="N96" s="255"/>
      <c r="O96" s="256"/>
      <c r="P96" s="256"/>
      <c r="Q96" s="256"/>
      <c r="R96" s="256"/>
      <c r="S96" s="256" t="s">
        <v>356</v>
      </c>
      <c r="T96" s="256"/>
      <c r="U96" s="256"/>
      <c r="V96" s="256"/>
      <c r="W96" s="256"/>
      <c r="X96" s="256"/>
      <c r="Y96" s="257" t="s">
        <v>95</v>
      </c>
      <c r="Z96" s="256"/>
      <c r="AA96" s="256"/>
      <c r="AB96" s="258"/>
      <c r="AC96" s="258"/>
      <c r="AD96" s="247" t="s">
        <v>1587</v>
      </c>
      <c r="AE96" s="210"/>
      <c r="AF96" s="247" t="s">
        <v>995</v>
      </c>
      <c r="AG96" s="247" t="s">
        <v>986</v>
      </c>
      <c r="AH96" s="247" t="s">
        <v>1269</v>
      </c>
      <c r="AI96" s="249"/>
    </row>
    <row r="97" spans="2:35" ht="50.1" hidden="1" customHeight="1">
      <c r="B97" s="170">
        <f>IF(D97="","",SUBTOTAL(3,$D$5:D97))</f>
        <v>0</v>
      </c>
      <c r="C97" s="171" t="s">
        <v>1661</v>
      </c>
      <c r="D97" s="281" t="s">
        <v>1662</v>
      </c>
      <c r="E97" s="167" t="s">
        <v>1622</v>
      </c>
      <c r="F97" s="287" t="s">
        <v>1680</v>
      </c>
      <c r="G97" s="168" t="s">
        <v>1806</v>
      </c>
      <c r="H97" s="168" t="s">
        <v>368</v>
      </c>
      <c r="I97" s="287" t="s">
        <v>1588</v>
      </c>
      <c r="J97" s="168" t="s">
        <v>1663</v>
      </c>
      <c r="K97" s="247" t="s">
        <v>1616</v>
      </c>
      <c r="L97" s="168">
        <v>16</v>
      </c>
      <c r="M97" s="172" t="s">
        <v>1804</v>
      </c>
      <c r="N97" s="255"/>
      <c r="O97" s="256"/>
      <c r="P97" s="256"/>
      <c r="Q97" s="256"/>
      <c r="R97" s="256"/>
      <c r="S97" s="256" t="s">
        <v>356</v>
      </c>
      <c r="T97" s="256"/>
      <c r="U97" s="256"/>
      <c r="V97" s="256"/>
      <c r="W97" s="256"/>
      <c r="X97" s="256"/>
      <c r="Y97" s="257" t="s">
        <v>356</v>
      </c>
      <c r="Z97" s="256"/>
      <c r="AA97" s="256"/>
      <c r="AB97" s="258"/>
      <c r="AC97" s="258"/>
      <c r="AD97" s="247" t="s">
        <v>1587</v>
      </c>
      <c r="AE97" s="210"/>
      <c r="AF97" s="247" t="s">
        <v>985</v>
      </c>
      <c r="AG97" s="247" t="s">
        <v>985</v>
      </c>
      <c r="AH97" s="247" t="s">
        <v>1664</v>
      </c>
      <c r="AI97" s="249"/>
    </row>
    <row r="98" spans="2:35" ht="50.1" hidden="1" customHeight="1">
      <c r="B98" s="170">
        <f>IF(D98="","",SUBTOTAL(3,$D$5:D98))</f>
        <v>0</v>
      </c>
      <c r="C98" s="171" t="s">
        <v>1797</v>
      </c>
      <c r="D98" s="281" t="s">
        <v>1798</v>
      </c>
      <c r="E98" s="167">
        <v>141</v>
      </c>
      <c r="F98" s="287" t="s">
        <v>1800</v>
      </c>
      <c r="G98" s="168" t="s">
        <v>1799</v>
      </c>
      <c r="H98" s="168" t="s">
        <v>368</v>
      </c>
      <c r="I98" s="287" t="s">
        <v>1802</v>
      </c>
      <c r="J98" s="168" t="s">
        <v>1801</v>
      </c>
      <c r="K98" s="247" t="s">
        <v>1800</v>
      </c>
      <c r="L98" s="168">
        <v>5</v>
      </c>
      <c r="M98" s="172" t="s">
        <v>1804</v>
      </c>
      <c r="N98" s="255"/>
      <c r="O98" s="256"/>
      <c r="P98" s="256"/>
      <c r="Q98" s="256"/>
      <c r="R98" s="256"/>
      <c r="S98" s="256"/>
      <c r="T98" s="256"/>
      <c r="U98" s="256"/>
      <c r="V98" s="256"/>
      <c r="W98" s="256"/>
      <c r="X98" s="256"/>
      <c r="Y98" s="257" t="s">
        <v>356</v>
      </c>
      <c r="Z98" s="256"/>
      <c r="AA98" s="256"/>
      <c r="AB98" s="258"/>
      <c r="AC98" s="258"/>
      <c r="AD98" s="247"/>
      <c r="AE98" s="210"/>
      <c r="AF98" s="247"/>
      <c r="AG98" s="247"/>
      <c r="AH98" s="247"/>
      <c r="AI98" s="249"/>
    </row>
    <row r="99" spans="2:35" ht="50.1" customHeight="1">
      <c r="B99" s="170">
        <f>IF(D99="","",SUBTOTAL(3,$D$5:D99))</f>
        <v>1</v>
      </c>
      <c r="C99" s="171" t="s">
        <v>730</v>
      </c>
      <c r="D99" s="281" t="s">
        <v>457</v>
      </c>
      <c r="E99" s="167" t="s">
        <v>103</v>
      </c>
      <c r="F99" s="286" t="s">
        <v>458</v>
      </c>
      <c r="G99" s="168" t="s">
        <v>1858</v>
      </c>
      <c r="H99" s="168" t="s">
        <v>115</v>
      </c>
      <c r="I99" s="287" t="s">
        <v>463</v>
      </c>
      <c r="J99" s="247" t="s">
        <v>1</v>
      </c>
      <c r="K99" s="247" t="s">
        <v>1314</v>
      </c>
      <c r="L99" s="247">
        <v>12</v>
      </c>
      <c r="M99" s="250" t="s">
        <v>459</v>
      </c>
      <c r="N99" s="255"/>
      <c r="O99" s="256"/>
      <c r="P99" s="256"/>
      <c r="Q99" s="256"/>
      <c r="R99" s="256"/>
      <c r="S99" s="256"/>
      <c r="T99" s="256"/>
      <c r="U99" s="256"/>
      <c r="V99" s="256"/>
      <c r="W99" s="256"/>
      <c r="X99" s="256"/>
      <c r="Y99" s="257"/>
      <c r="Z99" s="256"/>
      <c r="AA99" s="256"/>
      <c r="AB99" s="258"/>
      <c r="AC99" s="258"/>
      <c r="AD99" s="247" t="s">
        <v>986</v>
      </c>
      <c r="AE99" s="210"/>
      <c r="AF99" s="247" t="s">
        <v>1156</v>
      </c>
      <c r="AG99" s="247" t="s">
        <v>1156</v>
      </c>
      <c r="AH99" s="247" t="s">
        <v>458</v>
      </c>
      <c r="AI99" s="249"/>
    </row>
    <row r="100" spans="2:35" ht="50.1" customHeight="1">
      <c r="B100" s="170">
        <f>IF(D100="","",SUBTOTAL(3,$D$5:D100))</f>
        <v>2</v>
      </c>
      <c r="C100" s="171" t="s">
        <v>731</v>
      </c>
      <c r="D100" s="281" t="s">
        <v>460</v>
      </c>
      <c r="E100" s="167" t="s">
        <v>103</v>
      </c>
      <c r="F100" s="287" t="s">
        <v>461</v>
      </c>
      <c r="G100" s="168" t="s">
        <v>1858</v>
      </c>
      <c r="H100" s="168" t="s">
        <v>1222</v>
      </c>
      <c r="I100" s="287" t="s">
        <v>1223</v>
      </c>
      <c r="J100" s="247" t="s">
        <v>1</v>
      </c>
      <c r="K100" s="247" t="s">
        <v>1314</v>
      </c>
      <c r="L100" s="247">
        <v>12</v>
      </c>
      <c r="M100" s="250" t="s">
        <v>459</v>
      </c>
      <c r="N100" s="255"/>
      <c r="O100" s="256"/>
      <c r="P100" s="256"/>
      <c r="Q100" s="256"/>
      <c r="R100" s="256"/>
      <c r="S100" s="256"/>
      <c r="T100" s="256"/>
      <c r="U100" s="256"/>
      <c r="V100" s="256"/>
      <c r="W100" s="256"/>
      <c r="X100" s="256"/>
      <c r="Y100" s="257"/>
      <c r="Z100" s="256"/>
      <c r="AA100" s="256"/>
      <c r="AB100" s="258"/>
      <c r="AC100" s="258"/>
      <c r="AD100" s="247" t="s">
        <v>986</v>
      </c>
      <c r="AE100" s="210"/>
      <c r="AF100" s="247" t="s">
        <v>1156</v>
      </c>
      <c r="AG100" s="247" t="s">
        <v>1156</v>
      </c>
      <c r="AH100" s="168" t="s">
        <v>461</v>
      </c>
      <c r="AI100" s="249"/>
    </row>
    <row r="101" spans="2:35" ht="50.1" customHeight="1">
      <c r="B101" s="170">
        <f>IF(D101="","",SUBTOTAL(3,$D$5:D101))</f>
        <v>3</v>
      </c>
      <c r="C101" s="171" t="s">
        <v>732</v>
      </c>
      <c r="D101" s="281" t="s">
        <v>462</v>
      </c>
      <c r="E101" s="167" t="s">
        <v>103</v>
      </c>
      <c r="F101" s="287" t="s">
        <v>464</v>
      </c>
      <c r="G101" s="168" t="s">
        <v>1858</v>
      </c>
      <c r="H101" s="168" t="s">
        <v>1390</v>
      </c>
      <c r="I101" s="287" t="s">
        <v>1422</v>
      </c>
      <c r="J101" s="247" t="s">
        <v>1</v>
      </c>
      <c r="K101" s="247" t="s">
        <v>1298</v>
      </c>
      <c r="L101" s="247">
        <v>12</v>
      </c>
      <c r="M101" s="250" t="s">
        <v>459</v>
      </c>
      <c r="N101" s="255"/>
      <c r="O101" s="256" t="s">
        <v>356</v>
      </c>
      <c r="P101" s="256"/>
      <c r="Q101" s="256" t="s">
        <v>356</v>
      </c>
      <c r="R101" s="256"/>
      <c r="S101" s="256"/>
      <c r="T101" s="256"/>
      <c r="U101" s="256"/>
      <c r="V101" s="256"/>
      <c r="W101" s="256"/>
      <c r="X101" s="256"/>
      <c r="Y101" s="257"/>
      <c r="Z101" s="256"/>
      <c r="AA101" s="256"/>
      <c r="AB101" s="258" t="s">
        <v>356</v>
      </c>
      <c r="AC101" s="258" t="s">
        <v>356</v>
      </c>
      <c r="AD101" s="247" t="s">
        <v>986</v>
      </c>
      <c r="AE101" s="210"/>
      <c r="AF101" s="247" t="s">
        <v>1156</v>
      </c>
      <c r="AG101" s="247" t="s">
        <v>1156</v>
      </c>
      <c r="AH101" s="168" t="s">
        <v>464</v>
      </c>
      <c r="AI101" s="249"/>
    </row>
    <row r="102" spans="2:35" ht="50.1" hidden="1" customHeight="1">
      <c r="B102" s="170">
        <f>IF(D102="","",SUBTOTAL(3,$D$5:D102))</f>
        <v>3</v>
      </c>
      <c r="C102" s="171" t="s">
        <v>733</v>
      </c>
      <c r="D102" s="281" t="s">
        <v>465</v>
      </c>
      <c r="E102" s="167" t="s">
        <v>103</v>
      </c>
      <c r="F102" s="287" t="s">
        <v>466</v>
      </c>
      <c r="G102" s="168" t="s">
        <v>1859</v>
      </c>
      <c r="H102" s="168" t="s">
        <v>115</v>
      </c>
      <c r="I102" s="287" t="s">
        <v>960</v>
      </c>
      <c r="J102" s="247" t="s">
        <v>84</v>
      </c>
      <c r="K102" s="247" t="s">
        <v>1315</v>
      </c>
      <c r="L102" s="247">
        <v>20</v>
      </c>
      <c r="M102" s="250" t="s">
        <v>467</v>
      </c>
      <c r="N102" s="255"/>
      <c r="O102" s="256"/>
      <c r="P102" s="256"/>
      <c r="Q102" s="256"/>
      <c r="R102" s="256"/>
      <c r="S102" s="256"/>
      <c r="T102" s="256"/>
      <c r="U102" s="256"/>
      <c r="V102" s="256"/>
      <c r="W102" s="256"/>
      <c r="X102" s="256"/>
      <c r="Y102" s="257"/>
      <c r="Z102" s="256"/>
      <c r="AA102" s="256"/>
      <c r="AB102" s="258"/>
      <c r="AC102" s="258"/>
      <c r="AD102" s="247" t="s">
        <v>1279</v>
      </c>
      <c r="AE102" s="210"/>
      <c r="AF102" s="247" t="s">
        <v>1166</v>
      </c>
      <c r="AG102" s="247" t="s">
        <v>1166</v>
      </c>
      <c r="AH102" s="168" t="s">
        <v>466</v>
      </c>
      <c r="AI102" s="249"/>
    </row>
    <row r="103" spans="2:35" ht="50.1" customHeight="1">
      <c r="B103" s="170">
        <f>IF(D103="","",SUBTOTAL(3,$D$5:D103))</f>
        <v>4</v>
      </c>
      <c r="C103" s="171" t="s">
        <v>734</v>
      </c>
      <c r="D103" s="281" t="s">
        <v>468</v>
      </c>
      <c r="E103" s="167" t="s">
        <v>469</v>
      </c>
      <c r="F103" s="287" t="s">
        <v>472</v>
      </c>
      <c r="G103" s="168" t="s">
        <v>1860</v>
      </c>
      <c r="H103" s="168" t="s">
        <v>104</v>
      </c>
      <c r="I103" s="287" t="s">
        <v>471</v>
      </c>
      <c r="J103" s="247" t="s">
        <v>470</v>
      </c>
      <c r="K103" s="247" t="s">
        <v>1316</v>
      </c>
      <c r="L103" s="247">
        <v>25</v>
      </c>
      <c r="M103" s="250" t="s">
        <v>459</v>
      </c>
      <c r="N103" s="255"/>
      <c r="O103" s="256"/>
      <c r="P103" s="256"/>
      <c r="Q103" s="256"/>
      <c r="R103" s="256"/>
      <c r="S103" s="256"/>
      <c r="T103" s="256"/>
      <c r="U103" s="256"/>
      <c r="V103" s="256"/>
      <c r="W103" s="256"/>
      <c r="X103" s="256"/>
      <c r="Y103" s="257"/>
      <c r="Z103" s="256"/>
      <c r="AA103" s="256"/>
      <c r="AB103" s="258"/>
      <c r="AC103" s="258"/>
      <c r="AD103" s="247" t="s">
        <v>985</v>
      </c>
      <c r="AE103" s="210"/>
      <c r="AF103" s="247" t="s">
        <v>1159</v>
      </c>
      <c r="AG103" s="247" t="s">
        <v>1159</v>
      </c>
      <c r="AH103" s="168" t="s">
        <v>472</v>
      </c>
      <c r="AI103" s="249"/>
    </row>
    <row r="104" spans="2:35" ht="50.1" customHeight="1">
      <c r="B104" s="170">
        <f>IF(D104="","",SUBTOTAL(3,$D$5:D104))</f>
        <v>5</v>
      </c>
      <c r="C104" s="171" t="s">
        <v>735</v>
      </c>
      <c r="D104" s="281" t="s">
        <v>473</v>
      </c>
      <c r="E104" s="167" t="s">
        <v>103</v>
      </c>
      <c r="F104" s="287" t="s">
        <v>464</v>
      </c>
      <c r="G104" s="168" t="s">
        <v>1386</v>
      </c>
      <c r="H104" s="168" t="s">
        <v>1222</v>
      </c>
      <c r="I104" s="287" t="s">
        <v>1223</v>
      </c>
      <c r="J104" s="247" t="s">
        <v>1</v>
      </c>
      <c r="K104" s="247" t="s">
        <v>1298</v>
      </c>
      <c r="L104" s="247">
        <v>25</v>
      </c>
      <c r="M104" s="250" t="s">
        <v>459</v>
      </c>
      <c r="N104" s="255"/>
      <c r="O104" s="256" t="s">
        <v>356</v>
      </c>
      <c r="P104" s="256" t="s">
        <v>356</v>
      </c>
      <c r="Q104" s="256" t="s">
        <v>356</v>
      </c>
      <c r="R104" s="256"/>
      <c r="S104" s="256"/>
      <c r="T104" s="256"/>
      <c r="U104" s="256"/>
      <c r="V104" s="256"/>
      <c r="W104" s="256"/>
      <c r="X104" s="256"/>
      <c r="Y104" s="257"/>
      <c r="Z104" s="256" t="s">
        <v>356</v>
      </c>
      <c r="AA104" s="256" t="s">
        <v>356</v>
      </c>
      <c r="AB104" s="258" t="s">
        <v>356</v>
      </c>
      <c r="AC104" s="258"/>
      <c r="AD104" s="247" t="s">
        <v>986</v>
      </c>
      <c r="AE104" s="210"/>
      <c r="AF104" s="247" t="s">
        <v>1156</v>
      </c>
      <c r="AG104" s="247" t="s">
        <v>1156</v>
      </c>
      <c r="AH104" s="168" t="s">
        <v>464</v>
      </c>
      <c r="AI104" s="249" t="s">
        <v>95</v>
      </c>
    </row>
    <row r="105" spans="2:35" ht="50.1" hidden="1" customHeight="1">
      <c r="B105" s="170">
        <f>IF(D105="","",SUBTOTAL(3,$D$5:D105))</f>
        <v>5</v>
      </c>
      <c r="C105" s="171" t="s">
        <v>736</v>
      </c>
      <c r="D105" s="281" t="s">
        <v>474</v>
      </c>
      <c r="E105" s="167" t="s">
        <v>103</v>
      </c>
      <c r="F105" s="287" t="s">
        <v>464</v>
      </c>
      <c r="G105" s="247" t="s">
        <v>1843</v>
      </c>
      <c r="H105" s="168" t="s">
        <v>104</v>
      </c>
      <c r="I105" s="287" t="s">
        <v>475</v>
      </c>
      <c r="J105" s="247" t="s">
        <v>1</v>
      </c>
      <c r="K105" s="247" t="s">
        <v>1298</v>
      </c>
      <c r="L105" s="247" t="s">
        <v>1433</v>
      </c>
      <c r="M105" s="250" t="s">
        <v>476</v>
      </c>
      <c r="N105" s="255"/>
      <c r="O105" s="256"/>
      <c r="P105" s="256"/>
      <c r="Q105" s="256"/>
      <c r="R105" s="256"/>
      <c r="S105" s="256"/>
      <c r="T105" s="256"/>
      <c r="U105" s="256"/>
      <c r="V105" s="256"/>
      <c r="W105" s="256"/>
      <c r="X105" s="256"/>
      <c r="Y105" s="257"/>
      <c r="Z105" s="256"/>
      <c r="AA105" s="256"/>
      <c r="AB105" s="258"/>
      <c r="AC105" s="258"/>
      <c r="AD105" s="247" t="s">
        <v>986</v>
      </c>
      <c r="AE105" s="210"/>
      <c r="AF105" s="247" t="s">
        <v>1156</v>
      </c>
      <c r="AG105" s="247" t="s">
        <v>1156</v>
      </c>
      <c r="AH105" s="168" t="s">
        <v>464</v>
      </c>
      <c r="AI105" s="249"/>
    </row>
    <row r="106" spans="2:35" ht="50.1" hidden="1" customHeight="1">
      <c r="B106" s="170">
        <f>IF(D106="","",SUBTOTAL(3,$D$5:D106))</f>
        <v>5</v>
      </c>
      <c r="C106" s="171" t="s">
        <v>737</v>
      </c>
      <c r="D106" s="281" t="s">
        <v>477</v>
      </c>
      <c r="E106" s="167" t="s">
        <v>103</v>
      </c>
      <c r="F106" s="287" t="s">
        <v>464</v>
      </c>
      <c r="G106" s="168" t="s">
        <v>1887</v>
      </c>
      <c r="H106" s="168" t="s">
        <v>544</v>
      </c>
      <c r="I106" s="287" t="s">
        <v>959</v>
      </c>
      <c r="J106" s="247" t="s">
        <v>1</v>
      </c>
      <c r="K106" s="247" t="s">
        <v>1298</v>
      </c>
      <c r="L106" s="247" t="s">
        <v>1433</v>
      </c>
      <c r="M106" s="250" t="s">
        <v>476</v>
      </c>
      <c r="N106" s="255"/>
      <c r="O106" s="256"/>
      <c r="P106" s="256"/>
      <c r="Q106" s="256"/>
      <c r="R106" s="256"/>
      <c r="S106" s="256"/>
      <c r="T106" s="256"/>
      <c r="U106" s="256"/>
      <c r="V106" s="256"/>
      <c r="W106" s="256"/>
      <c r="X106" s="256"/>
      <c r="Y106" s="257"/>
      <c r="Z106" s="256"/>
      <c r="AA106" s="256"/>
      <c r="AB106" s="258"/>
      <c r="AC106" s="258"/>
      <c r="AD106" s="247" t="s">
        <v>986</v>
      </c>
      <c r="AE106" s="210"/>
      <c r="AF106" s="247" t="s">
        <v>1156</v>
      </c>
      <c r="AG106" s="247" t="s">
        <v>1156</v>
      </c>
      <c r="AH106" s="168" t="s">
        <v>464</v>
      </c>
      <c r="AI106" s="249"/>
    </row>
    <row r="107" spans="2:35" ht="50.1" customHeight="1">
      <c r="B107" s="170">
        <f>IF(D107="","",SUBTOTAL(3,$D$5:D107))</f>
        <v>6</v>
      </c>
      <c r="C107" s="171" t="s">
        <v>738</v>
      </c>
      <c r="D107" s="281" t="s">
        <v>478</v>
      </c>
      <c r="E107" s="167" t="s">
        <v>103</v>
      </c>
      <c r="F107" s="287" t="s">
        <v>479</v>
      </c>
      <c r="G107" s="168" t="s">
        <v>1858</v>
      </c>
      <c r="H107" s="168" t="s">
        <v>115</v>
      </c>
      <c r="I107" s="287" t="s">
        <v>463</v>
      </c>
      <c r="J107" s="168" t="s">
        <v>1033</v>
      </c>
      <c r="K107" s="247" t="s">
        <v>1317</v>
      </c>
      <c r="L107" s="247">
        <v>12</v>
      </c>
      <c r="M107" s="250" t="s">
        <v>459</v>
      </c>
      <c r="N107" s="255"/>
      <c r="O107" s="256"/>
      <c r="P107" s="256"/>
      <c r="Q107" s="256"/>
      <c r="R107" s="256"/>
      <c r="S107" s="256"/>
      <c r="T107" s="256"/>
      <c r="U107" s="256"/>
      <c r="V107" s="256"/>
      <c r="W107" s="256"/>
      <c r="X107" s="256"/>
      <c r="Y107" s="257"/>
      <c r="Z107" s="256"/>
      <c r="AA107" s="256"/>
      <c r="AB107" s="258"/>
      <c r="AC107" s="258"/>
      <c r="AD107" s="247" t="s">
        <v>986</v>
      </c>
      <c r="AE107" s="210"/>
      <c r="AF107" s="247" t="s">
        <v>1156</v>
      </c>
      <c r="AG107" s="247" t="s">
        <v>1156</v>
      </c>
      <c r="AH107" s="168" t="s">
        <v>479</v>
      </c>
      <c r="AI107" s="249"/>
    </row>
    <row r="108" spans="2:35" ht="50.1" customHeight="1">
      <c r="B108" s="170">
        <f>IF(D108="","",SUBTOTAL(3,$D$5:D108))</f>
        <v>7</v>
      </c>
      <c r="C108" s="171" t="s">
        <v>739</v>
      </c>
      <c r="D108" s="281" t="s">
        <v>480</v>
      </c>
      <c r="E108" s="167" t="s">
        <v>113</v>
      </c>
      <c r="F108" s="287" t="s">
        <v>483</v>
      </c>
      <c r="G108" s="168" t="s">
        <v>1861</v>
      </c>
      <c r="H108" s="168" t="s">
        <v>1154</v>
      </c>
      <c r="I108" s="287" t="s">
        <v>482</v>
      </c>
      <c r="J108" s="247" t="s">
        <v>481</v>
      </c>
      <c r="K108" s="168" t="s">
        <v>1535</v>
      </c>
      <c r="L108" s="247" t="s">
        <v>1436</v>
      </c>
      <c r="M108" s="250" t="s">
        <v>459</v>
      </c>
      <c r="N108" s="255"/>
      <c r="O108" s="256"/>
      <c r="P108" s="256"/>
      <c r="Q108" s="256"/>
      <c r="R108" s="256"/>
      <c r="S108" s="256"/>
      <c r="T108" s="256"/>
      <c r="U108" s="256"/>
      <c r="V108" s="256"/>
      <c r="W108" s="256"/>
      <c r="X108" s="256"/>
      <c r="Y108" s="257"/>
      <c r="Z108" s="256"/>
      <c r="AA108" s="256"/>
      <c r="AB108" s="258"/>
      <c r="AC108" s="258"/>
      <c r="AD108" s="247" t="s">
        <v>986</v>
      </c>
      <c r="AE108" s="210"/>
      <c r="AF108" s="247" t="s">
        <v>1156</v>
      </c>
      <c r="AG108" s="247" t="s">
        <v>1156</v>
      </c>
      <c r="AH108" s="168" t="s">
        <v>483</v>
      </c>
      <c r="AI108" s="249"/>
    </row>
    <row r="109" spans="2:35" ht="50.1" hidden="1" customHeight="1">
      <c r="B109" s="170">
        <f>IF(D109="","",SUBTOTAL(3,$D$5:D109))</f>
        <v>7</v>
      </c>
      <c r="C109" s="171" t="s">
        <v>740</v>
      </c>
      <c r="D109" s="281" t="s">
        <v>484</v>
      </c>
      <c r="E109" s="167" t="s">
        <v>103</v>
      </c>
      <c r="F109" s="287" t="s">
        <v>466</v>
      </c>
      <c r="G109" s="168" t="s">
        <v>1862</v>
      </c>
      <c r="H109" s="168" t="s">
        <v>115</v>
      </c>
      <c r="I109" s="287" t="s">
        <v>463</v>
      </c>
      <c r="J109" s="247" t="s">
        <v>485</v>
      </c>
      <c r="K109" s="247" t="s">
        <v>1318</v>
      </c>
      <c r="L109" s="247">
        <v>10</v>
      </c>
      <c r="M109" s="250" t="s">
        <v>467</v>
      </c>
      <c r="N109" s="255"/>
      <c r="O109" s="256"/>
      <c r="P109" s="256"/>
      <c r="Q109" s="256"/>
      <c r="R109" s="256"/>
      <c r="S109" s="256"/>
      <c r="T109" s="256"/>
      <c r="U109" s="256"/>
      <c r="V109" s="256"/>
      <c r="W109" s="256"/>
      <c r="X109" s="256"/>
      <c r="Y109" s="257"/>
      <c r="Z109" s="256"/>
      <c r="AA109" s="256"/>
      <c r="AB109" s="258"/>
      <c r="AC109" s="258"/>
      <c r="AD109" s="247">
        <v>2</v>
      </c>
      <c r="AE109" s="210"/>
      <c r="AF109" s="247">
        <v>2</v>
      </c>
      <c r="AG109" s="247">
        <v>2</v>
      </c>
      <c r="AH109" s="168" t="s">
        <v>466</v>
      </c>
      <c r="AI109" s="249"/>
    </row>
    <row r="110" spans="2:35" ht="50.1" hidden="1" customHeight="1">
      <c r="B110" s="170">
        <f>IF(D110="","",SUBTOTAL(3,$D$5:D110))</f>
        <v>7</v>
      </c>
      <c r="C110" s="171" t="s">
        <v>741</v>
      </c>
      <c r="D110" s="281" t="s">
        <v>486</v>
      </c>
      <c r="E110" s="167" t="s">
        <v>113</v>
      </c>
      <c r="F110" s="287" t="s">
        <v>1389</v>
      </c>
      <c r="G110" s="168" t="s">
        <v>1612</v>
      </c>
      <c r="H110" s="168" t="s">
        <v>1189</v>
      </c>
      <c r="I110" s="287" t="s">
        <v>364</v>
      </c>
      <c r="J110" s="247" t="s">
        <v>1419</v>
      </c>
      <c r="K110" s="247" t="s">
        <v>1319</v>
      </c>
      <c r="L110" s="247" t="s">
        <v>1428</v>
      </c>
      <c r="M110" s="250" t="s">
        <v>487</v>
      </c>
      <c r="N110" s="255"/>
      <c r="O110" s="256"/>
      <c r="P110" s="256"/>
      <c r="Q110" s="256"/>
      <c r="R110" s="256"/>
      <c r="S110" s="256"/>
      <c r="T110" s="256"/>
      <c r="U110" s="256"/>
      <c r="V110" s="256"/>
      <c r="W110" s="256"/>
      <c r="X110" s="256"/>
      <c r="Y110" s="257"/>
      <c r="Z110" s="256" t="s">
        <v>356</v>
      </c>
      <c r="AA110" s="256" t="s">
        <v>356</v>
      </c>
      <c r="AB110" s="258"/>
      <c r="AC110" s="258"/>
      <c r="AD110" s="247" t="s">
        <v>1279</v>
      </c>
      <c r="AE110" s="210"/>
      <c r="AF110" s="247" t="s">
        <v>1166</v>
      </c>
      <c r="AG110" s="247" t="s">
        <v>1166</v>
      </c>
      <c r="AH110" s="168" t="s">
        <v>466</v>
      </c>
      <c r="AI110" s="249" t="s">
        <v>95</v>
      </c>
    </row>
    <row r="111" spans="2:35" ht="50.1" hidden="1" customHeight="1">
      <c r="B111" s="170">
        <f>IF(D111="","",SUBTOTAL(3,$D$5:D111))</f>
        <v>7</v>
      </c>
      <c r="C111" s="171" t="s">
        <v>742</v>
      </c>
      <c r="D111" s="281" t="s">
        <v>488</v>
      </c>
      <c r="E111" s="167" t="s">
        <v>103</v>
      </c>
      <c r="F111" s="287" t="s">
        <v>1389</v>
      </c>
      <c r="G111" s="168" t="s">
        <v>1388</v>
      </c>
      <c r="H111" s="168" t="s">
        <v>1222</v>
      </c>
      <c r="I111" s="287" t="s">
        <v>1223</v>
      </c>
      <c r="J111" s="247" t="s">
        <v>489</v>
      </c>
      <c r="K111" s="247" t="s">
        <v>1319</v>
      </c>
      <c r="L111" s="247">
        <v>22</v>
      </c>
      <c r="M111" s="250" t="s">
        <v>467</v>
      </c>
      <c r="N111" s="255"/>
      <c r="O111" s="256"/>
      <c r="P111" s="256"/>
      <c r="Q111" s="256"/>
      <c r="R111" s="256"/>
      <c r="S111" s="256"/>
      <c r="T111" s="256"/>
      <c r="U111" s="256"/>
      <c r="V111" s="256"/>
      <c r="W111" s="256"/>
      <c r="X111" s="256"/>
      <c r="Y111" s="257"/>
      <c r="Z111" s="256" t="s">
        <v>356</v>
      </c>
      <c r="AA111" s="256"/>
      <c r="AB111" s="258"/>
      <c r="AC111" s="258"/>
      <c r="AD111" s="247" t="s">
        <v>1279</v>
      </c>
      <c r="AE111" s="210"/>
      <c r="AF111" s="168" t="s">
        <v>1166</v>
      </c>
      <c r="AG111" s="168" t="s">
        <v>1166</v>
      </c>
      <c r="AH111" s="168" t="s">
        <v>466</v>
      </c>
      <c r="AI111" s="249" t="s">
        <v>95</v>
      </c>
    </row>
    <row r="112" spans="2:35" ht="50.1" customHeight="1">
      <c r="B112" s="170">
        <f>IF(D112="","",SUBTOTAL(3,$D$5:D112))</f>
        <v>8</v>
      </c>
      <c r="C112" s="171" t="s">
        <v>743</v>
      </c>
      <c r="D112" s="281" t="s">
        <v>491</v>
      </c>
      <c r="E112" s="167" t="s">
        <v>958</v>
      </c>
      <c r="F112" s="286" t="s">
        <v>464</v>
      </c>
      <c r="G112" s="168" t="s">
        <v>1903</v>
      </c>
      <c r="H112" s="168" t="s">
        <v>1155</v>
      </c>
      <c r="I112" s="287" t="s">
        <v>492</v>
      </c>
      <c r="J112" s="168" t="s">
        <v>823</v>
      </c>
      <c r="K112" s="247" t="s">
        <v>1298</v>
      </c>
      <c r="L112" s="247" t="s">
        <v>1437</v>
      </c>
      <c r="M112" s="250" t="s">
        <v>459</v>
      </c>
      <c r="N112" s="255"/>
      <c r="O112" s="256"/>
      <c r="P112" s="256"/>
      <c r="Q112" s="256"/>
      <c r="R112" s="256"/>
      <c r="S112" s="256"/>
      <c r="T112" s="256"/>
      <c r="U112" s="256"/>
      <c r="V112" s="256"/>
      <c r="W112" s="256"/>
      <c r="X112" s="256"/>
      <c r="Y112" s="257"/>
      <c r="Z112" s="256"/>
      <c r="AA112" s="256"/>
      <c r="AB112" s="258"/>
      <c r="AC112" s="258"/>
      <c r="AD112" s="247" t="s">
        <v>986</v>
      </c>
      <c r="AE112" s="210"/>
      <c r="AF112" s="247" t="s">
        <v>1156</v>
      </c>
      <c r="AG112" s="247" t="s">
        <v>1156</v>
      </c>
      <c r="AH112" s="247" t="s">
        <v>464</v>
      </c>
      <c r="AI112" s="249"/>
    </row>
    <row r="113" spans="2:35" ht="50.1" customHeight="1">
      <c r="B113" s="170">
        <f>IF(D113="","",SUBTOTAL(3,$D$5:D113))</f>
        <v>9</v>
      </c>
      <c r="C113" s="171" t="s">
        <v>744</v>
      </c>
      <c r="D113" s="281" t="s">
        <v>493</v>
      </c>
      <c r="E113" s="167" t="s">
        <v>103</v>
      </c>
      <c r="F113" s="287" t="s">
        <v>479</v>
      </c>
      <c r="G113" s="168" t="s">
        <v>1858</v>
      </c>
      <c r="H113" s="168" t="s">
        <v>1222</v>
      </c>
      <c r="I113" s="287" t="s">
        <v>1223</v>
      </c>
      <c r="J113" s="168" t="s">
        <v>1033</v>
      </c>
      <c r="K113" s="247" t="s">
        <v>1317</v>
      </c>
      <c r="L113" s="247">
        <v>12</v>
      </c>
      <c r="M113" s="250" t="s">
        <v>459</v>
      </c>
      <c r="N113" s="255"/>
      <c r="O113" s="256"/>
      <c r="P113" s="256"/>
      <c r="Q113" s="256"/>
      <c r="R113" s="256"/>
      <c r="S113" s="256"/>
      <c r="T113" s="256"/>
      <c r="U113" s="256"/>
      <c r="V113" s="256"/>
      <c r="W113" s="256"/>
      <c r="X113" s="256"/>
      <c r="Y113" s="257"/>
      <c r="Z113" s="256"/>
      <c r="AA113" s="256"/>
      <c r="AB113" s="258"/>
      <c r="AC113" s="258"/>
      <c r="AD113" s="247" t="s">
        <v>986</v>
      </c>
      <c r="AE113" s="210"/>
      <c r="AF113" s="247" t="s">
        <v>1156</v>
      </c>
      <c r="AG113" s="247" t="s">
        <v>1156</v>
      </c>
      <c r="AH113" s="168" t="s">
        <v>479</v>
      </c>
      <c r="AI113" s="249"/>
    </row>
    <row r="114" spans="2:35" ht="50.1" customHeight="1">
      <c r="B114" s="170">
        <f>IF(D114="","",SUBTOTAL(3,$D$5:D114))</f>
        <v>10</v>
      </c>
      <c r="C114" s="171" t="s">
        <v>745</v>
      </c>
      <c r="D114" s="281" t="s">
        <v>494</v>
      </c>
      <c r="E114" s="167" t="s">
        <v>103</v>
      </c>
      <c r="F114" s="286" t="s">
        <v>495</v>
      </c>
      <c r="G114" s="168" t="s">
        <v>1858</v>
      </c>
      <c r="H114" s="168" t="s">
        <v>1222</v>
      </c>
      <c r="I114" s="287" t="s">
        <v>1223</v>
      </c>
      <c r="J114" s="168" t="s">
        <v>1033</v>
      </c>
      <c r="K114" s="247" t="s">
        <v>1320</v>
      </c>
      <c r="L114" s="247">
        <v>12</v>
      </c>
      <c r="M114" s="250" t="s">
        <v>459</v>
      </c>
      <c r="N114" s="255"/>
      <c r="O114" s="256"/>
      <c r="P114" s="256"/>
      <c r="Q114" s="256"/>
      <c r="R114" s="256"/>
      <c r="S114" s="256"/>
      <c r="T114" s="256"/>
      <c r="U114" s="256"/>
      <c r="V114" s="256"/>
      <c r="W114" s="256"/>
      <c r="X114" s="256"/>
      <c r="Y114" s="257"/>
      <c r="Z114" s="256"/>
      <c r="AA114" s="256"/>
      <c r="AB114" s="258"/>
      <c r="AC114" s="258"/>
      <c r="AD114" s="247" t="s">
        <v>986</v>
      </c>
      <c r="AE114" s="210"/>
      <c r="AF114" s="247" t="s">
        <v>1156</v>
      </c>
      <c r="AG114" s="247" t="s">
        <v>1156</v>
      </c>
      <c r="AH114" s="247" t="s">
        <v>495</v>
      </c>
      <c r="AI114" s="249"/>
    </row>
    <row r="115" spans="2:35" ht="50.1" customHeight="1">
      <c r="B115" s="170">
        <f>IF(D115="","",SUBTOTAL(3,$D$5:D115))</f>
        <v>11</v>
      </c>
      <c r="C115" s="171" t="s">
        <v>746</v>
      </c>
      <c r="D115" s="281" t="s">
        <v>496</v>
      </c>
      <c r="E115" s="167" t="s">
        <v>103</v>
      </c>
      <c r="F115" s="286" t="s">
        <v>464</v>
      </c>
      <c r="G115" s="168" t="s">
        <v>1893</v>
      </c>
      <c r="H115" s="168" t="s">
        <v>1222</v>
      </c>
      <c r="I115" s="287" t="s">
        <v>1223</v>
      </c>
      <c r="J115" s="247" t="s">
        <v>1</v>
      </c>
      <c r="K115" s="247" t="s">
        <v>1298</v>
      </c>
      <c r="L115" s="247">
        <v>16</v>
      </c>
      <c r="M115" s="250" t="s">
        <v>459</v>
      </c>
      <c r="N115" s="255"/>
      <c r="O115" s="256"/>
      <c r="P115" s="256"/>
      <c r="Q115" s="256"/>
      <c r="R115" s="256"/>
      <c r="S115" s="256"/>
      <c r="T115" s="256"/>
      <c r="U115" s="256"/>
      <c r="V115" s="256"/>
      <c r="W115" s="256"/>
      <c r="X115" s="256"/>
      <c r="Y115" s="257"/>
      <c r="Z115" s="256"/>
      <c r="AA115" s="256"/>
      <c r="AB115" s="258"/>
      <c r="AC115" s="258"/>
      <c r="AD115" s="247" t="s">
        <v>986</v>
      </c>
      <c r="AE115" s="210"/>
      <c r="AF115" s="247" t="s">
        <v>1156</v>
      </c>
      <c r="AG115" s="247" t="s">
        <v>1156</v>
      </c>
      <c r="AH115" s="247" t="s">
        <v>464</v>
      </c>
      <c r="AI115" s="249"/>
    </row>
    <row r="116" spans="2:35" ht="50.1" hidden="1" customHeight="1">
      <c r="B116" s="170">
        <f>IF(D116="","",SUBTOTAL(3,$D$5:D116))</f>
        <v>11</v>
      </c>
      <c r="C116" s="171" t="s">
        <v>747</v>
      </c>
      <c r="D116" s="281" t="s">
        <v>497</v>
      </c>
      <c r="E116" s="167" t="s">
        <v>113</v>
      </c>
      <c r="F116" s="286" t="s">
        <v>498</v>
      </c>
      <c r="G116" s="168" t="s">
        <v>1909</v>
      </c>
      <c r="H116" s="168" t="s">
        <v>104</v>
      </c>
      <c r="I116" s="287" t="s">
        <v>475</v>
      </c>
      <c r="J116" s="247" t="s">
        <v>122</v>
      </c>
      <c r="K116" s="247" t="s">
        <v>1321</v>
      </c>
      <c r="L116" s="247" t="s">
        <v>1159</v>
      </c>
      <c r="M116" s="250" t="s">
        <v>487</v>
      </c>
      <c r="N116" s="255"/>
      <c r="O116" s="256"/>
      <c r="P116" s="256"/>
      <c r="Q116" s="256"/>
      <c r="R116" s="256"/>
      <c r="S116" s="256"/>
      <c r="T116" s="256"/>
      <c r="U116" s="256"/>
      <c r="V116" s="256"/>
      <c r="W116" s="256"/>
      <c r="X116" s="256"/>
      <c r="Y116" s="257"/>
      <c r="Z116" s="256"/>
      <c r="AA116" s="256"/>
      <c r="AB116" s="258"/>
      <c r="AC116" s="258"/>
      <c r="AD116" s="247" t="s">
        <v>1277</v>
      </c>
      <c r="AE116" s="210"/>
      <c r="AF116" s="247" t="s">
        <v>1156</v>
      </c>
      <c r="AG116" s="247" t="s">
        <v>1181</v>
      </c>
      <c r="AH116" s="247" t="s">
        <v>498</v>
      </c>
      <c r="AI116" s="249"/>
    </row>
    <row r="117" spans="2:35" ht="50.1" hidden="1" customHeight="1">
      <c r="B117" s="170">
        <f>IF(D117="","",SUBTOTAL(3,$D$5:D117))</f>
        <v>11</v>
      </c>
      <c r="C117" s="171" t="s">
        <v>748</v>
      </c>
      <c r="D117" s="281" t="s">
        <v>499</v>
      </c>
      <c r="E117" s="167" t="s">
        <v>113</v>
      </c>
      <c r="F117" s="286" t="s">
        <v>1322</v>
      </c>
      <c r="G117" s="168" t="s">
        <v>1909</v>
      </c>
      <c r="H117" s="168" t="s">
        <v>1189</v>
      </c>
      <c r="I117" s="287" t="s">
        <v>364</v>
      </c>
      <c r="J117" s="247" t="s">
        <v>1418</v>
      </c>
      <c r="K117" s="247" t="s">
        <v>1322</v>
      </c>
      <c r="L117" s="247" t="s">
        <v>1159</v>
      </c>
      <c r="M117" s="250" t="s">
        <v>487</v>
      </c>
      <c r="N117" s="255"/>
      <c r="O117" s="256"/>
      <c r="P117" s="256"/>
      <c r="Q117" s="256"/>
      <c r="R117" s="256"/>
      <c r="S117" s="256"/>
      <c r="T117" s="256"/>
      <c r="U117" s="256"/>
      <c r="V117" s="256"/>
      <c r="W117" s="256"/>
      <c r="X117" s="256"/>
      <c r="Y117" s="257"/>
      <c r="Z117" s="256" t="s">
        <v>95</v>
      </c>
      <c r="AA117" s="256" t="s">
        <v>356</v>
      </c>
      <c r="AB117" s="258"/>
      <c r="AC117" s="258"/>
      <c r="AD117" s="247" t="s">
        <v>1442</v>
      </c>
      <c r="AE117" s="210"/>
      <c r="AF117" s="247">
        <v>1</v>
      </c>
      <c r="AG117" s="247" t="s">
        <v>1166</v>
      </c>
      <c r="AH117" s="247" t="s">
        <v>500</v>
      </c>
      <c r="AI117" s="249" t="s">
        <v>95</v>
      </c>
    </row>
    <row r="118" spans="2:35" ht="50.1" customHeight="1">
      <c r="B118" s="170">
        <f>IF(D118="","",SUBTOTAL(3,$D$5:D118))</f>
        <v>12</v>
      </c>
      <c r="C118" s="171" t="s">
        <v>749</v>
      </c>
      <c r="D118" s="281" t="s">
        <v>501</v>
      </c>
      <c r="E118" s="167" t="s">
        <v>103</v>
      </c>
      <c r="F118" s="286" t="s">
        <v>502</v>
      </c>
      <c r="G118" s="168" t="s">
        <v>1893</v>
      </c>
      <c r="H118" s="168" t="s">
        <v>1222</v>
      </c>
      <c r="I118" s="287" t="s">
        <v>1223</v>
      </c>
      <c r="J118" s="247" t="s">
        <v>503</v>
      </c>
      <c r="K118" s="247" t="s">
        <v>1323</v>
      </c>
      <c r="L118" s="247">
        <v>16</v>
      </c>
      <c r="M118" s="250" t="s">
        <v>459</v>
      </c>
      <c r="N118" s="255"/>
      <c r="O118" s="256"/>
      <c r="P118" s="256"/>
      <c r="Q118" s="256"/>
      <c r="R118" s="256"/>
      <c r="S118" s="256"/>
      <c r="T118" s="256"/>
      <c r="U118" s="256"/>
      <c r="V118" s="256"/>
      <c r="W118" s="256"/>
      <c r="X118" s="256"/>
      <c r="Y118" s="257"/>
      <c r="Z118" s="256"/>
      <c r="AA118" s="256"/>
      <c r="AB118" s="258"/>
      <c r="AC118" s="258"/>
      <c r="AD118" s="247">
        <v>1</v>
      </c>
      <c r="AE118" s="210"/>
      <c r="AF118" s="247">
        <v>1</v>
      </c>
      <c r="AG118" s="247" t="s">
        <v>1156</v>
      </c>
      <c r="AH118" s="247" t="s">
        <v>502</v>
      </c>
      <c r="AI118" s="249"/>
    </row>
    <row r="119" spans="2:35" ht="50.1" customHeight="1">
      <c r="B119" s="170">
        <f>IF(D119="","",SUBTOTAL(3,$D$5:D119))</f>
        <v>13</v>
      </c>
      <c r="C119" s="171" t="s">
        <v>750</v>
      </c>
      <c r="D119" s="281" t="s">
        <v>504</v>
      </c>
      <c r="E119" s="167" t="s">
        <v>103</v>
      </c>
      <c r="F119" s="287" t="s">
        <v>506</v>
      </c>
      <c r="G119" s="168" t="s">
        <v>1893</v>
      </c>
      <c r="H119" s="168" t="s">
        <v>1222</v>
      </c>
      <c r="I119" s="287" t="s">
        <v>1223</v>
      </c>
      <c r="J119" s="247" t="s">
        <v>503</v>
      </c>
      <c r="K119" s="247" t="s">
        <v>1324</v>
      </c>
      <c r="L119" s="247">
        <v>16</v>
      </c>
      <c r="M119" s="250" t="s">
        <v>459</v>
      </c>
      <c r="N119" s="255"/>
      <c r="O119" s="256"/>
      <c r="P119" s="256"/>
      <c r="Q119" s="256"/>
      <c r="R119" s="256"/>
      <c r="S119" s="256"/>
      <c r="T119" s="256"/>
      <c r="U119" s="256"/>
      <c r="V119" s="256"/>
      <c r="W119" s="256"/>
      <c r="X119" s="256"/>
      <c r="Y119" s="257"/>
      <c r="Z119" s="256"/>
      <c r="AA119" s="256"/>
      <c r="AB119" s="258"/>
      <c r="AC119" s="258"/>
      <c r="AD119" s="247">
        <v>1</v>
      </c>
      <c r="AE119" s="210"/>
      <c r="AF119" s="247">
        <v>1</v>
      </c>
      <c r="AG119" s="247">
        <v>1</v>
      </c>
      <c r="AH119" s="168" t="s">
        <v>506</v>
      </c>
      <c r="AI119" s="249"/>
    </row>
    <row r="120" spans="2:35" ht="50.1" hidden="1" customHeight="1">
      <c r="B120" s="170">
        <f>IF(D120="","",SUBTOTAL(3,$D$5:D120))</f>
        <v>13</v>
      </c>
      <c r="C120" s="171" t="s">
        <v>751</v>
      </c>
      <c r="D120" s="281" t="s">
        <v>507</v>
      </c>
      <c r="E120" s="167" t="s">
        <v>103</v>
      </c>
      <c r="F120" s="286" t="s">
        <v>508</v>
      </c>
      <c r="G120" s="168" t="s">
        <v>1920</v>
      </c>
      <c r="H120" s="168" t="s">
        <v>1222</v>
      </c>
      <c r="I120" s="287" t="s">
        <v>1223</v>
      </c>
      <c r="J120" s="247" t="s">
        <v>509</v>
      </c>
      <c r="K120" s="247" t="s">
        <v>1325</v>
      </c>
      <c r="L120" s="247">
        <v>12</v>
      </c>
      <c r="M120" s="250" t="s">
        <v>467</v>
      </c>
      <c r="N120" s="255"/>
      <c r="O120" s="256"/>
      <c r="P120" s="256"/>
      <c r="Q120" s="256"/>
      <c r="R120" s="256"/>
      <c r="S120" s="256"/>
      <c r="T120" s="256"/>
      <c r="U120" s="256"/>
      <c r="V120" s="256"/>
      <c r="W120" s="256"/>
      <c r="X120" s="256"/>
      <c r="Y120" s="257"/>
      <c r="Z120" s="256"/>
      <c r="AA120" s="256"/>
      <c r="AB120" s="258"/>
      <c r="AC120" s="258"/>
      <c r="AD120" s="247" t="s">
        <v>1156</v>
      </c>
      <c r="AE120" s="210"/>
      <c r="AF120" s="247" t="s">
        <v>1156</v>
      </c>
      <c r="AG120" s="247" t="s">
        <v>364</v>
      </c>
      <c r="AH120" s="247" t="s">
        <v>508</v>
      </c>
      <c r="AI120" s="249"/>
    </row>
    <row r="121" spans="2:35" ht="50.1" hidden="1" customHeight="1">
      <c r="B121" s="170">
        <f>IF(D121="","",SUBTOTAL(3,$D$5:D121))</f>
        <v>13</v>
      </c>
      <c r="C121" s="171" t="s">
        <v>752</v>
      </c>
      <c r="D121" s="281" t="s">
        <v>510</v>
      </c>
      <c r="E121" s="167" t="s">
        <v>103</v>
      </c>
      <c r="F121" s="287" t="s">
        <v>512</v>
      </c>
      <c r="G121" s="168" t="s">
        <v>1920</v>
      </c>
      <c r="H121" s="168" t="s">
        <v>115</v>
      </c>
      <c r="I121" s="287" t="s">
        <v>463</v>
      </c>
      <c r="J121" s="247" t="s">
        <v>511</v>
      </c>
      <c r="K121" s="247" t="s">
        <v>1326</v>
      </c>
      <c r="L121" s="247">
        <v>12</v>
      </c>
      <c r="M121" s="250" t="s">
        <v>467</v>
      </c>
      <c r="N121" s="255"/>
      <c r="O121" s="256"/>
      <c r="P121" s="256"/>
      <c r="Q121" s="256"/>
      <c r="R121" s="256"/>
      <c r="S121" s="256"/>
      <c r="T121" s="256"/>
      <c r="U121" s="256"/>
      <c r="V121" s="256"/>
      <c r="W121" s="256"/>
      <c r="X121" s="256"/>
      <c r="Y121" s="257"/>
      <c r="Z121" s="256"/>
      <c r="AA121" s="256"/>
      <c r="AB121" s="258"/>
      <c r="AC121" s="258"/>
      <c r="AD121" s="247" t="s">
        <v>364</v>
      </c>
      <c r="AE121" s="210"/>
      <c r="AF121" s="247" t="s">
        <v>364</v>
      </c>
      <c r="AG121" s="247" t="s">
        <v>364</v>
      </c>
      <c r="AH121" s="168" t="s">
        <v>512</v>
      </c>
      <c r="AI121" s="249"/>
    </row>
    <row r="122" spans="2:35" ht="50.1" hidden="1" customHeight="1">
      <c r="B122" s="170">
        <f>IF(D122="","",SUBTOTAL(3,$D$5:D122))</f>
        <v>13</v>
      </c>
      <c r="C122" s="171" t="s">
        <v>753</v>
      </c>
      <c r="D122" s="281" t="s">
        <v>513</v>
      </c>
      <c r="E122" s="167" t="s">
        <v>103</v>
      </c>
      <c r="F122" s="286" t="s">
        <v>508</v>
      </c>
      <c r="G122" s="168" t="s">
        <v>1920</v>
      </c>
      <c r="H122" s="168" t="s">
        <v>115</v>
      </c>
      <c r="I122" s="287" t="s">
        <v>463</v>
      </c>
      <c r="J122" s="247" t="s">
        <v>509</v>
      </c>
      <c r="K122" s="247" t="s">
        <v>1325</v>
      </c>
      <c r="L122" s="247">
        <v>12</v>
      </c>
      <c r="M122" s="250" t="s">
        <v>467</v>
      </c>
      <c r="N122" s="255"/>
      <c r="O122" s="256"/>
      <c r="P122" s="256"/>
      <c r="Q122" s="256"/>
      <c r="R122" s="256"/>
      <c r="S122" s="256"/>
      <c r="T122" s="256"/>
      <c r="U122" s="256"/>
      <c r="V122" s="256"/>
      <c r="W122" s="256"/>
      <c r="X122" s="256"/>
      <c r="Y122" s="257"/>
      <c r="Z122" s="256"/>
      <c r="AA122" s="256"/>
      <c r="AB122" s="258"/>
      <c r="AC122" s="258"/>
      <c r="AD122" s="247" t="s">
        <v>1156</v>
      </c>
      <c r="AE122" s="210"/>
      <c r="AF122" s="247" t="s">
        <v>1156</v>
      </c>
      <c r="AG122" s="247" t="s">
        <v>364</v>
      </c>
      <c r="AH122" s="247" t="s">
        <v>508</v>
      </c>
      <c r="AI122" s="249"/>
    </row>
    <row r="123" spans="2:35" ht="50.1" hidden="1" customHeight="1">
      <c r="B123" s="170">
        <f>IF(D123="","",SUBTOTAL(3,$D$5:D123))</f>
        <v>13</v>
      </c>
      <c r="C123" s="171" t="s">
        <v>754</v>
      </c>
      <c r="D123" s="281" t="s">
        <v>514</v>
      </c>
      <c r="E123" s="167" t="s">
        <v>103</v>
      </c>
      <c r="F123" s="286" t="s">
        <v>515</v>
      </c>
      <c r="G123" s="168" t="s">
        <v>1920</v>
      </c>
      <c r="H123" s="168" t="s">
        <v>1222</v>
      </c>
      <c r="I123" s="287" t="s">
        <v>1223</v>
      </c>
      <c r="J123" s="247" t="s">
        <v>509</v>
      </c>
      <c r="K123" s="247" t="s">
        <v>1327</v>
      </c>
      <c r="L123" s="247">
        <v>12</v>
      </c>
      <c r="M123" s="250" t="s">
        <v>467</v>
      </c>
      <c r="N123" s="255"/>
      <c r="O123" s="256"/>
      <c r="P123" s="256"/>
      <c r="Q123" s="256"/>
      <c r="R123" s="256"/>
      <c r="S123" s="256"/>
      <c r="T123" s="256"/>
      <c r="U123" s="256"/>
      <c r="V123" s="256"/>
      <c r="W123" s="256"/>
      <c r="X123" s="256"/>
      <c r="Y123" s="257"/>
      <c r="Z123" s="256"/>
      <c r="AA123" s="256"/>
      <c r="AB123" s="258"/>
      <c r="AC123" s="258"/>
      <c r="AD123" s="247" t="s">
        <v>1265</v>
      </c>
      <c r="AE123" s="210"/>
      <c r="AF123" s="247" t="s">
        <v>1156</v>
      </c>
      <c r="AG123" s="247" t="s">
        <v>1166</v>
      </c>
      <c r="AH123" s="247" t="s">
        <v>515</v>
      </c>
      <c r="AI123" s="249"/>
    </row>
    <row r="124" spans="2:35" ht="50.1" hidden="1" customHeight="1">
      <c r="B124" s="170">
        <f>IF(D124="","",SUBTOTAL(3,$D$5:D124))</f>
        <v>13</v>
      </c>
      <c r="C124" s="171" t="s">
        <v>755</v>
      </c>
      <c r="D124" s="281" t="s">
        <v>516</v>
      </c>
      <c r="E124" s="167" t="s">
        <v>103</v>
      </c>
      <c r="F124" s="287" t="s">
        <v>466</v>
      </c>
      <c r="G124" s="168" t="s">
        <v>1920</v>
      </c>
      <c r="H124" s="168" t="s">
        <v>1222</v>
      </c>
      <c r="I124" s="287" t="s">
        <v>1223</v>
      </c>
      <c r="J124" s="247" t="s">
        <v>517</v>
      </c>
      <c r="K124" s="247" t="s">
        <v>1319</v>
      </c>
      <c r="L124" s="247">
        <v>12</v>
      </c>
      <c r="M124" s="250" t="s">
        <v>467</v>
      </c>
      <c r="N124" s="255"/>
      <c r="O124" s="256"/>
      <c r="P124" s="256"/>
      <c r="Q124" s="256"/>
      <c r="R124" s="256"/>
      <c r="S124" s="256"/>
      <c r="T124" s="256"/>
      <c r="U124" s="256"/>
      <c r="V124" s="256"/>
      <c r="W124" s="256"/>
      <c r="X124" s="256"/>
      <c r="Y124" s="257"/>
      <c r="Z124" s="256"/>
      <c r="AA124" s="256"/>
      <c r="AB124" s="258"/>
      <c r="AC124" s="258"/>
      <c r="AD124" s="247" t="s">
        <v>1279</v>
      </c>
      <c r="AE124" s="210"/>
      <c r="AF124" s="168" t="s">
        <v>1166</v>
      </c>
      <c r="AG124" s="168" t="s">
        <v>1166</v>
      </c>
      <c r="AH124" s="168" t="s">
        <v>466</v>
      </c>
      <c r="AI124" s="249"/>
    </row>
    <row r="125" spans="2:35" ht="50.1" hidden="1" customHeight="1">
      <c r="B125" s="170">
        <f>IF(D125="","",SUBTOTAL(3,$D$5:D125))</f>
        <v>13</v>
      </c>
      <c r="C125" s="171" t="s">
        <v>756</v>
      </c>
      <c r="D125" s="281" t="s">
        <v>518</v>
      </c>
      <c r="E125" s="167" t="s">
        <v>113</v>
      </c>
      <c r="F125" s="286" t="s">
        <v>515</v>
      </c>
      <c r="G125" s="247" t="s">
        <v>1910</v>
      </c>
      <c r="H125" s="168" t="s">
        <v>104</v>
      </c>
      <c r="I125" s="287" t="s">
        <v>475</v>
      </c>
      <c r="J125" s="247" t="s">
        <v>441</v>
      </c>
      <c r="K125" s="247" t="s">
        <v>1327</v>
      </c>
      <c r="L125" s="247" t="s">
        <v>1428</v>
      </c>
      <c r="M125" s="250" t="s">
        <v>487</v>
      </c>
      <c r="N125" s="255"/>
      <c r="O125" s="256"/>
      <c r="P125" s="256"/>
      <c r="Q125" s="256"/>
      <c r="R125" s="256"/>
      <c r="S125" s="256"/>
      <c r="T125" s="256"/>
      <c r="U125" s="256"/>
      <c r="V125" s="256"/>
      <c r="W125" s="256"/>
      <c r="X125" s="256"/>
      <c r="Y125" s="257"/>
      <c r="Z125" s="256"/>
      <c r="AA125" s="256"/>
      <c r="AB125" s="258"/>
      <c r="AC125" s="258"/>
      <c r="AD125" s="247" t="s">
        <v>1265</v>
      </c>
      <c r="AE125" s="210"/>
      <c r="AF125" s="247" t="s">
        <v>1156</v>
      </c>
      <c r="AG125" s="247" t="s">
        <v>1166</v>
      </c>
      <c r="AH125" s="247" t="s">
        <v>515</v>
      </c>
      <c r="AI125" s="249"/>
    </row>
    <row r="126" spans="2:35" ht="50.1" customHeight="1">
      <c r="B126" s="170">
        <f>IF(D126="","",SUBTOTAL(3,$D$5:D126))</f>
        <v>14</v>
      </c>
      <c r="C126" s="171" t="s">
        <v>757</v>
      </c>
      <c r="D126" s="281" t="s">
        <v>519</v>
      </c>
      <c r="E126" s="167" t="s">
        <v>103</v>
      </c>
      <c r="F126" s="287" t="s">
        <v>521</v>
      </c>
      <c r="G126" s="168" t="s">
        <v>1916</v>
      </c>
      <c r="H126" s="168" t="s">
        <v>115</v>
      </c>
      <c r="I126" s="287" t="s">
        <v>463</v>
      </c>
      <c r="J126" s="247" t="s">
        <v>520</v>
      </c>
      <c r="K126" s="247" t="s">
        <v>1328</v>
      </c>
      <c r="L126" s="247">
        <v>6</v>
      </c>
      <c r="M126" s="250" t="s">
        <v>459</v>
      </c>
      <c r="N126" s="255"/>
      <c r="O126" s="256"/>
      <c r="P126" s="256"/>
      <c r="Q126" s="256"/>
      <c r="R126" s="256"/>
      <c r="S126" s="256"/>
      <c r="T126" s="256"/>
      <c r="U126" s="256"/>
      <c r="V126" s="256"/>
      <c r="W126" s="256"/>
      <c r="X126" s="256"/>
      <c r="Y126" s="257"/>
      <c r="Z126" s="256"/>
      <c r="AA126" s="256"/>
      <c r="AB126" s="258"/>
      <c r="AC126" s="258"/>
      <c r="AD126" s="247" t="s">
        <v>364</v>
      </c>
      <c r="AE126" s="210"/>
      <c r="AF126" s="247" t="s">
        <v>364</v>
      </c>
      <c r="AG126" s="247" t="s">
        <v>364</v>
      </c>
      <c r="AH126" s="168" t="s">
        <v>521</v>
      </c>
      <c r="AI126" s="249"/>
    </row>
    <row r="127" spans="2:35" ht="50.1" customHeight="1">
      <c r="B127" s="170">
        <f>IF(D127="","",SUBTOTAL(3,$D$5:D127))</f>
        <v>15</v>
      </c>
      <c r="C127" s="171" t="s">
        <v>758</v>
      </c>
      <c r="D127" s="281" t="s">
        <v>522</v>
      </c>
      <c r="E127" s="167" t="s">
        <v>103</v>
      </c>
      <c r="F127" s="287" t="s">
        <v>479</v>
      </c>
      <c r="G127" s="168" t="s">
        <v>1858</v>
      </c>
      <c r="H127" s="168" t="s">
        <v>1222</v>
      </c>
      <c r="I127" s="287" t="s">
        <v>1223</v>
      </c>
      <c r="J127" s="247" t="s">
        <v>523</v>
      </c>
      <c r="K127" s="247" t="s">
        <v>1317</v>
      </c>
      <c r="L127" s="247">
        <v>12</v>
      </c>
      <c r="M127" s="250" t="s">
        <v>459</v>
      </c>
      <c r="N127" s="255"/>
      <c r="O127" s="256"/>
      <c r="P127" s="256"/>
      <c r="Q127" s="256"/>
      <c r="R127" s="256"/>
      <c r="S127" s="256"/>
      <c r="T127" s="256"/>
      <c r="U127" s="256"/>
      <c r="V127" s="256"/>
      <c r="W127" s="256"/>
      <c r="X127" s="256"/>
      <c r="Y127" s="257"/>
      <c r="Z127" s="256"/>
      <c r="AA127" s="256"/>
      <c r="AB127" s="258"/>
      <c r="AC127" s="258"/>
      <c r="AD127" s="247" t="s">
        <v>986</v>
      </c>
      <c r="AE127" s="210"/>
      <c r="AF127" s="247" t="s">
        <v>1156</v>
      </c>
      <c r="AG127" s="247" t="s">
        <v>1156</v>
      </c>
      <c r="AH127" s="168" t="s">
        <v>479</v>
      </c>
      <c r="AI127" s="249"/>
    </row>
    <row r="128" spans="2:35" ht="50.1" customHeight="1">
      <c r="B128" s="170">
        <f>IF(D128="","",SUBTOTAL(3,$D$5:D128))</f>
        <v>16</v>
      </c>
      <c r="C128" s="171" t="s">
        <v>759</v>
      </c>
      <c r="D128" s="281" t="s">
        <v>524</v>
      </c>
      <c r="E128" s="167" t="s">
        <v>110</v>
      </c>
      <c r="F128" s="286" t="s">
        <v>525</v>
      </c>
      <c r="G128" s="168" t="s">
        <v>1917</v>
      </c>
      <c r="H128" s="168" t="s">
        <v>115</v>
      </c>
      <c r="I128" s="287" t="s">
        <v>463</v>
      </c>
      <c r="J128" s="247" t="s">
        <v>526</v>
      </c>
      <c r="K128" s="247" t="s">
        <v>1329</v>
      </c>
      <c r="L128" s="247" t="s">
        <v>1438</v>
      </c>
      <c r="M128" s="250" t="s">
        <v>459</v>
      </c>
      <c r="N128" s="255"/>
      <c r="O128" s="256"/>
      <c r="P128" s="256"/>
      <c r="Q128" s="256"/>
      <c r="R128" s="256"/>
      <c r="S128" s="256"/>
      <c r="T128" s="256"/>
      <c r="U128" s="256"/>
      <c r="V128" s="256"/>
      <c r="W128" s="256"/>
      <c r="X128" s="256"/>
      <c r="Y128" s="257"/>
      <c r="Z128" s="256"/>
      <c r="AA128" s="256"/>
      <c r="AB128" s="258"/>
      <c r="AC128" s="258"/>
      <c r="AD128" s="247" t="s">
        <v>986</v>
      </c>
      <c r="AE128" s="210"/>
      <c r="AF128" s="247" t="s">
        <v>1156</v>
      </c>
      <c r="AG128" s="247" t="s">
        <v>1156</v>
      </c>
      <c r="AH128" s="247" t="s">
        <v>525</v>
      </c>
      <c r="AI128" s="249"/>
    </row>
    <row r="129" spans="2:35" ht="50.1" customHeight="1">
      <c r="B129" s="170">
        <f>IF(D129="","",SUBTOTAL(3,$D$5:D129))</f>
        <v>17</v>
      </c>
      <c r="C129" s="171" t="s">
        <v>760</v>
      </c>
      <c r="D129" s="281" t="s">
        <v>527</v>
      </c>
      <c r="E129" s="167" t="s">
        <v>103</v>
      </c>
      <c r="F129" s="286" t="s">
        <v>528</v>
      </c>
      <c r="G129" s="168" t="s">
        <v>1858</v>
      </c>
      <c r="H129" s="168" t="s">
        <v>1222</v>
      </c>
      <c r="I129" s="287" t="s">
        <v>1223</v>
      </c>
      <c r="J129" s="247" t="s">
        <v>523</v>
      </c>
      <c r="K129" s="247" t="s">
        <v>1330</v>
      </c>
      <c r="L129" s="247">
        <v>12</v>
      </c>
      <c r="M129" s="250" t="s">
        <v>459</v>
      </c>
      <c r="N129" s="255"/>
      <c r="O129" s="256"/>
      <c r="P129" s="256"/>
      <c r="Q129" s="256"/>
      <c r="R129" s="256"/>
      <c r="S129" s="256"/>
      <c r="T129" s="256"/>
      <c r="U129" s="256"/>
      <c r="V129" s="256"/>
      <c r="W129" s="256"/>
      <c r="X129" s="256"/>
      <c r="Y129" s="257"/>
      <c r="Z129" s="256"/>
      <c r="AA129" s="256"/>
      <c r="AB129" s="258"/>
      <c r="AC129" s="258"/>
      <c r="AD129" s="247" t="s">
        <v>986</v>
      </c>
      <c r="AE129" s="210"/>
      <c r="AF129" s="247" t="s">
        <v>1156</v>
      </c>
      <c r="AG129" s="247" t="s">
        <v>1156</v>
      </c>
      <c r="AH129" s="247" t="s">
        <v>528</v>
      </c>
      <c r="AI129" s="249"/>
    </row>
    <row r="130" spans="2:35" ht="50.1" hidden="1" customHeight="1">
      <c r="B130" s="170">
        <f>IF(D130="","",SUBTOTAL(3,$D$5:D130))</f>
        <v>17</v>
      </c>
      <c r="C130" s="171" t="s">
        <v>761</v>
      </c>
      <c r="D130" s="281" t="s">
        <v>529</v>
      </c>
      <c r="E130" s="167" t="s">
        <v>113</v>
      </c>
      <c r="F130" s="287" t="s">
        <v>479</v>
      </c>
      <c r="G130" s="168" t="s">
        <v>1905</v>
      </c>
      <c r="H130" s="168" t="s">
        <v>544</v>
      </c>
      <c r="I130" s="287" t="s">
        <v>463</v>
      </c>
      <c r="J130" s="247" t="s">
        <v>531</v>
      </c>
      <c r="K130" s="247" t="s">
        <v>1317</v>
      </c>
      <c r="L130" s="247" t="s">
        <v>530</v>
      </c>
      <c r="M130" s="250" t="s">
        <v>476</v>
      </c>
      <c r="N130" s="255"/>
      <c r="O130" s="256"/>
      <c r="P130" s="256"/>
      <c r="Q130" s="256"/>
      <c r="R130" s="256"/>
      <c r="S130" s="256"/>
      <c r="T130" s="256"/>
      <c r="U130" s="256"/>
      <c r="V130" s="256"/>
      <c r="W130" s="256"/>
      <c r="X130" s="256"/>
      <c r="Y130" s="257"/>
      <c r="Z130" s="256"/>
      <c r="AA130" s="256"/>
      <c r="AB130" s="258"/>
      <c r="AC130" s="258"/>
      <c r="AD130" s="247" t="s">
        <v>986</v>
      </c>
      <c r="AE130" s="210"/>
      <c r="AF130" s="247" t="s">
        <v>1156</v>
      </c>
      <c r="AG130" s="247" t="s">
        <v>1156</v>
      </c>
      <c r="AH130" s="168" t="s">
        <v>479</v>
      </c>
      <c r="AI130" s="249"/>
    </row>
    <row r="131" spans="2:35" ht="50.1" customHeight="1">
      <c r="B131" s="170">
        <f>IF(D131="","",SUBTOTAL(3,$D$5:D131))</f>
        <v>18</v>
      </c>
      <c r="C131" s="171" t="s">
        <v>762</v>
      </c>
      <c r="D131" s="281" t="s">
        <v>532</v>
      </c>
      <c r="E131" s="167" t="s">
        <v>110</v>
      </c>
      <c r="F131" s="287" t="s">
        <v>533</v>
      </c>
      <c r="G131" s="168" t="s">
        <v>1917</v>
      </c>
      <c r="H131" s="168" t="s">
        <v>1222</v>
      </c>
      <c r="I131" s="287" t="s">
        <v>1223</v>
      </c>
      <c r="J131" s="247" t="s">
        <v>526</v>
      </c>
      <c r="K131" s="247" t="s">
        <v>1331</v>
      </c>
      <c r="L131" s="247" t="s">
        <v>1438</v>
      </c>
      <c r="M131" s="250" t="s">
        <v>459</v>
      </c>
      <c r="N131" s="255"/>
      <c r="O131" s="256"/>
      <c r="P131" s="256"/>
      <c r="Q131" s="256"/>
      <c r="R131" s="256"/>
      <c r="S131" s="256"/>
      <c r="T131" s="256"/>
      <c r="U131" s="256"/>
      <c r="V131" s="256"/>
      <c r="W131" s="256"/>
      <c r="X131" s="256"/>
      <c r="Y131" s="257"/>
      <c r="Z131" s="256"/>
      <c r="AA131" s="256"/>
      <c r="AB131" s="258"/>
      <c r="AC131" s="258"/>
      <c r="AD131" s="247" t="s">
        <v>986</v>
      </c>
      <c r="AE131" s="210"/>
      <c r="AF131" s="247" t="s">
        <v>1156</v>
      </c>
      <c r="AG131" s="247" t="s">
        <v>1156</v>
      </c>
      <c r="AH131" s="168" t="s">
        <v>533</v>
      </c>
      <c r="AI131" s="249"/>
    </row>
    <row r="132" spans="2:35" ht="50.1" customHeight="1">
      <c r="B132" s="170">
        <f>IF(D132="","",SUBTOTAL(3,$D$5:D132))</f>
        <v>19</v>
      </c>
      <c r="C132" s="171" t="s">
        <v>763</v>
      </c>
      <c r="D132" s="281" t="s">
        <v>534</v>
      </c>
      <c r="E132" s="167" t="s">
        <v>119</v>
      </c>
      <c r="F132" s="287" t="s">
        <v>464</v>
      </c>
      <c r="G132" s="168" t="s">
        <v>1921</v>
      </c>
      <c r="H132" s="168" t="s">
        <v>115</v>
      </c>
      <c r="I132" s="287" t="s">
        <v>463</v>
      </c>
      <c r="J132" s="247" t="s">
        <v>535</v>
      </c>
      <c r="K132" s="247" t="s">
        <v>1298</v>
      </c>
      <c r="L132" s="247">
        <v>25</v>
      </c>
      <c r="M132" s="250" t="s">
        <v>459</v>
      </c>
      <c r="N132" s="255"/>
      <c r="O132" s="256"/>
      <c r="P132" s="256"/>
      <c r="Q132" s="256"/>
      <c r="R132" s="256"/>
      <c r="S132" s="256"/>
      <c r="T132" s="256"/>
      <c r="U132" s="256"/>
      <c r="V132" s="256"/>
      <c r="W132" s="256"/>
      <c r="X132" s="256"/>
      <c r="Y132" s="257"/>
      <c r="Z132" s="256"/>
      <c r="AA132" s="256"/>
      <c r="AB132" s="258"/>
      <c r="AC132" s="258"/>
      <c r="AD132" s="247" t="s">
        <v>986</v>
      </c>
      <c r="AE132" s="210"/>
      <c r="AF132" s="247" t="s">
        <v>1156</v>
      </c>
      <c r="AG132" s="247" t="s">
        <v>1156</v>
      </c>
      <c r="AH132" s="168" t="s">
        <v>464</v>
      </c>
      <c r="AI132" s="249"/>
    </row>
    <row r="133" spans="2:35" ht="50.1" hidden="1" customHeight="1">
      <c r="B133" s="170">
        <f>IF(D133="","",SUBTOTAL(3,$D$5:D133))</f>
        <v>19</v>
      </c>
      <c r="C133" s="171" t="s">
        <v>764</v>
      </c>
      <c r="D133" s="281" t="s">
        <v>536</v>
      </c>
      <c r="E133" s="167" t="s">
        <v>103</v>
      </c>
      <c r="F133" s="287" t="s">
        <v>1389</v>
      </c>
      <c r="G133" s="168" t="s">
        <v>1913</v>
      </c>
      <c r="H133" s="168" t="s">
        <v>1222</v>
      </c>
      <c r="I133" s="287" t="s">
        <v>1223</v>
      </c>
      <c r="J133" s="247" t="s">
        <v>489</v>
      </c>
      <c r="K133" s="247" t="s">
        <v>1319</v>
      </c>
      <c r="L133" s="247">
        <v>9</v>
      </c>
      <c r="M133" s="250" t="s">
        <v>467</v>
      </c>
      <c r="N133" s="251"/>
      <c r="O133" s="171" t="s">
        <v>356</v>
      </c>
      <c r="P133" s="171" t="s">
        <v>356</v>
      </c>
      <c r="Q133" s="171"/>
      <c r="R133" s="171"/>
      <c r="S133" s="171"/>
      <c r="T133" s="171"/>
      <c r="U133" s="171"/>
      <c r="V133" s="171"/>
      <c r="W133" s="171"/>
      <c r="X133" s="171"/>
      <c r="Y133" s="252"/>
      <c r="Z133" s="171" t="s">
        <v>356</v>
      </c>
      <c r="AA133" s="171" t="s">
        <v>356</v>
      </c>
      <c r="AB133" s="253" t="s">
        <v>356</v>
      </c>
      <c r="AC133" s="253"/>
      <c r="AD133" s="247" t="s">
        <v>1279</v>
      </c>
      <c r="AE133" s="210"/>
      <c r="AF133" s="168" t="s">
        <v>1166</v>
      </c>
      <c r="AG133" s="168" t="s">
        <v>1166</v>
      </c>
      <c r="AH133" s="168" t="s">
        <v>466</v>
      </c>
      <c r="AI133" s="249" t="s">
        <v>95</v>
      </c>
    </row>
    <row r="134" spans="2:35" ht="50.1" customHeight="1">
      <c r="B134" s="170">
        <f>IF(D134="","",SUBTOTAL(3,$D$5:D134))</f>
        <v>20</v>
      </c>
      <c r="C134" s="171" t="s">
        <v>765</v>
      </c>
      <c r="D134" s="281" t="s">
        <v>537</v>
      </c>
      <c r="E134" s="167" t="s">
        <v>103</v>
      </c>
      <c r="F134" s="287" t="s">
        <v>464</v>
      </c>
      <c r="G134" s="168" t="s">
        <v>1858</v>
      </c>
      <c r="H134" s="168" t="s">
        <v>645</v>
      </c>
      <c r="I134" s="287" t="s">
        <v>538</v>
      </c>
      <c r="J134" s="247" t="s">
        <v>1</v>
      </c>
      <c r="K134" s="247" t="s">
        <v>1298</v>
      </c>
      <c r="L134" s="247">
        <v>12</v>
      </c>
      <c r="M134" s="250" t="s">
        <v>459</v>
      </c>
      <c r="N134" s="255"/>
      <c r="O134" s="256" t="s">
        <v>356</v>
      </c>
      <c r="P134" s="256" t="s">
        <v>356</v>
      </c>
      <c r="Q134" s="256" t="s">
        <v>356</v>
      </c>
      <c r="R134" s="256"/>
      <c r="S134" s="256"/>
      <c r="T134" s="256"/>
      <c r="U134" s="256"/>
      <c r="V134" s="256"/>
      <c r="W134" s="256"/>
      <c r="X134" s="256"/>
      <c r="Y134" s="257"/>
      <c r="Z134" s="256"/>
      <c r="AA134" s="256"/>
      <c r="AB134" s="258"/>
      <c r="AC134" s="258"/>
      <c r="AD134" s="247" t="s">
        <v>986</v>
      </c>
      <c r="AE134" s="210"/>
      <c r="AF134" s="247" t="s">
        <v>1156</v>
      </c>
      <c r="AG134" s="247" t="s">
        <v>1156</v>
      </c>
      <c r="AH134" s="168" t="s">
        <v>464</v>
      </c>
      <c r="AI134" s="249"/>
    </row>
    <row r="135" spans="2:35" ht="50.1" hidden="1" customHeight="1">
      <c r="B135" s="170">
        <f>IF(D135="","",SUBTOTAL(3,$D$5:D135))</f>
        <v>20</v>
      </c>
      <c r="C135" s="171" t="s">
        <v>766</v>
      </c>
      <c r="D135" s="281" t="s">
        <v>539</v>
      </c>
      <c r="E135" s="167" t="s">
        <v>103</v>
      </c>
      <c r="F135" s="287" t="s">
        <v>464</v>
      </c>
      <c r="G135" s="168" t="s">
        <v>1858</v>
      </c>
      <c r="H135" s="168" t="s">
        <v>115</v>
      </c>
      <c r="I135" s="287" t="s">
        <v>463</v>
      </c>
      <c r="J135" s="247" t="s">
        <v>1</v>
      </c>
      <c r="K135" s="247" t="s">
        <v>1298</v>
      </c>
      <c r="L135" s="247">
        <v>12</v>
      </c>
      <c r="M135" s="172" t="s">
        <v>1646</v>
      </c>
      <c r="N135" s="255"/>
      <c r="O135" s="256"/>
      <c r="P135" s="256"/>
      <c r="Q135" s="256"/>
      <c r="R135" s="256"/>
      <c r="S135" s="256"/>
      <c r="T135" s="256"/>
      <c r="U135" s="256"/>
      <c r="V135" s="256"/>
      <c r="W135" s="256"/>
      <c r="X135" s="256"/>
      <c r="Y135" s="257"/>
      <c r="Z135" s="256"/>
      <c r="AA135" s="256"/>
      <c r="AB135" s="258"/>
      <c r="AC135" s="258"/>
      <c r="AD135" s="247" t="s">
        <v>986</v>
      </c>
      <c r="AE135" s="210"/>
      <c r="AF135" s="247" t="s">
        <v>1156</v>
      </c>
      <c r="AG135" s="247" t="s">
        <v>1156</v>
      </c>
      <c r="AH135" s="168" t="s">
        <v>464</v>
      </c>
      <c r="AI135" s="249"/>
    </row>
    <row r="136" spans="2:35" ht="50.1" customHeight="1">
      <c r="B136" s="170">
        <f>IF(D136="","",SUBTOTAL(3,$D$5:D136))</f>
        <v>21</v>
      </c>
      <c r="C136" s="171" t="s">
        <v>767</v>
      </c>
      <c r="D136" s="281" t="s">
        <v>540</v>
      </c>
      <c r="E136" s="167" t="s">
        <v>103</v>
      </c>
      <c r="F136" s="286" t="s">
        <v>541</v>
      </c>
      <c r="G136" s="168" t="s">
        <v>1858</v>
      </c>
      <c r="H136" s="168" t="s">
        <v>115</v>
      </c>
      <c r="I136" s="287" t="s">
        <v>463</v>
      </c>
      <c r="J136" s="247" t="s">
        <v>1</v>
      </c>
      <c r="K136" s="247" t="s">
        <v>1332</v>
      </c>
      <c r="L136" s="247">
        <v>12</v>
      </c>
      <c r="M136" s="250" t="s">
        <v>459</v>
      </c>
      <c r="N136" s="255"/>
      <c r="O136" s="256" t="s">
        <v>356</v>
      </c>
      <c r="P136" s="256"/>
      <c r="Q136" s="256"/>
      <c r="R136" s="256"/>
      <c r="S136" s="256"/>
      <c r="T136" s="256"/>
      <c r="U136" s="256"/>
      <c r="V136" s="256"/>
      <c r="W136" s="256"/>
      <c r="X136" s="256"/>
      <c r="Y136" s="257"/>
      <c r="Z136" s="256"/>
      <c r="AA136" s="256"/>
      <c r="AB136" s="258"/>
      <c r="AC136" s="258"/>
      <c r="AD136" s="247" t="s">
        <v>1275</v>
      </c>
      <c r="AE136" s="210"/>
      <c r="AF136" s="247" t="s">
        <v>1159</v>
      </c>
      <c r="AG136" s="247" t="s">
        <v>1156</v>
      </c>
      <c r="AH136" s="247" t="s">
        <v>541</v>
      </c>
      <c r="AI136" s="249"/>
    </row>
    <row r="137" spans="2:35" ht="50.1" customHeight="1">
      <c r="B137" s="170">
        <f>IF(D137="","",SUBTOTAL(3,$D$5:D137))</f>
        <v>22</v>
      </c>
      <c r="C137" s="171" t="s">
        <v>768</v>
      </c>
      <c r="D137" s="281" t="s">
        <v>542</v>
      </c>
      <c r="E137" s="167" t="s">
        <v>103</v>
      </c>
      <c r="F137" s="286" t="s">
        <v>543</v>
      </c>
      <c r="G137" s="168" t="s">
        <v>1906</v>
      </c>
      <c r="H137" s="168" t="s">
        <v>544</v>
      </c>
      <c r="I137" s="287" t="s">
        <v>955</v>
      </c>
      <c r="J137" s="247" t="s">
        <v>1</v>
      </c>
      <c r="K137" s="247" t="s">
        <v>1333</v>
      </c>
      <c r="L137" s="168" t="s">
        <v>956</v>
      </c>
      <c r="M137" s="250" t="s">
        <v>459</v>
      </c>
      <c r="N137" s="255"/>
      <c r="O137" s="256"/>
      <c r="P137" s="256"/>
      <c r="Q137" s="256"/>
      <c r="R137" s="256"/>
      <c r="S137" s="256"/>
      <c r="T137" s="256"/>
      <c r="U137" s="256"/>
      <c r="V137" s="256"/>
      <c r="W137" s="256"/>
      <c r="X137" s="256"/>
      <c r="Y137" s="257"/>
      <c r="Z137" s="256"/>
      <c r="AA137" s="256"/>
      <c r="AB137" s="258"/>
      <c r="AC137" s="258"/>
      <c r="AD137" s="247" t="s">
        <v>1284</v>
      </c>
      <c r="AE137" s="210"/>
      <c r="AF137" s="247" t="s">
        <v>1159</v>
      </c>
      <c r="AG137" s="247" t="s">
        <v>1177</v>
      </c>
      <c r="AH137" s="247" t="s">
        <v>543</v>
      </c>
      <c r="AI137" s="249"/>
    </row>
    <row r="138" spans="2:35" ht="50.1" customHeight="1">
      <c r="B138" s="170">
        <f>IF(D138="","",SUBTOTAL(3,$D$5:D138))</f>
        <v>23</v>
      </c>
      <c r="C138" s="171" t="s">
        <v>769</v>
      </c>
      <c r="D138" s="281" t="s">
        <v>545</v>
      </c>
      <c r="E138" s="167" t="s">
        <v>103</v>
      </c>
      <c r="F138" s="286" t="s">
        <v>546</v>
      </c>
      <c r="G138" s="168" t="s">
        <v>1906</v>
      </c>
      <c r="H138" s="168" t="s">
        <v>544</v>
      </c>
      <c r="I138" s="287" t="s">
        <v>955</v>
      </c>
      <c r="J138" s="247" t="s">
        <v>1</v>
      </c>
      <c r="K138" s="247" t="s">
        <v>1334</v>
      </c>
      <c r="L138" s="168" t="s">
        <v>956</v>
      </c>
      <c r="M138" s="250" t="s">
        <v>459</v>
      </c>
      <c r="N138" s="255"/>
      <c r="O138" s="256"/>
      <c r="P138" s="256"/>
      <c r="Q138" s="256"/>
      <c r="R138" s="256"/>
      <c r="S138" s="256"/>
      <c r="T138" s="256"/>
      <c r="U138" s="256"/>
      <c r="V138" s="256"/>
      <c r="W138" s="256"/>
      <c r="X138" s="256"/>
      <c r="Y138" s="257"/>
      <c r="Z138" s="256"/>
      <c r="AA138" s="256"/>
      <c r="AB138" s="258"/>
      <c r="AC138" s="258"/>
      <c r="AD138" s="247" t="s">
        <v>995</v>
      </c>
      <c r="AE138" s="210"/>
      <c r="AF138" s="247" t="s">
        <v>1156</v>
      </c>
      <c r="AG138" s="247" t="s">
        <v>1177</v>
      </c>
      <c r="AH138" s="247" t="s">
        <v>546</v>
      </c>
      <c r="AI138" s="249"/>
    </row>
    <row r="139" spans="2:35" ht="50.1" customHeight="1">
      <c r="B139" s="170">
        <f>IF(D139="","",SUBTOTAL(3,$D$5:D139))</f>
        <v>24</v>
      </c>
      <c r="C139" s="171" t="s">
        <v>770</v>
      </c>
      <c r="D139" s="281" t="s">
        <v>547</v>
      </c>
      <c r="E139" s="167" t="s">
        <v>103</v>
      </c>
      <c r="F139" s="286" t="s">
        <v>548</v>
      </c>
      <c r="G139" s="168" t="s">
        <v>1906</v>
      </c>
      <c r="H139" s="168" t="s">
        <v>544</v>
      </c>
      <c r="I139" s="287" t="s">
        <v>955</v>
      </c>
      <c r="J139" s="247" t="s">
        <v>549</v>
      </c>
      <c r="K139" s="247" t="s">
        <v>1335</v>
      </c>
      <c r="L139" s="168" t="s">
        <v>956</v>
      </c>
      <c r="M139" s="250" t="s">
        <v>459</v>
      </c>
      <c r="N139" s="255"/>
      <c r="O139" s="256"/>
      <c r="P139" s="256"/>
      <c r="Q139" s="256"/>
      <c r="R139" s="256"/>
      <c r="S139" s="256"/>
      <c r="T139" s="256"/>
      <c r="U139" s="256"/>
      <c r="V139" s="256"/>
      <c r="W139" s="256"/>
      <c r="X139" s="256"/>
      <c r="Y139" s="257"/>
      <c r="Z139" s="256"/>
      <c r="AA139" s="256"/>
      <c r="AB139" s="258"/>
      <c r="AC139" s="258"/>
      <c r="AD139" s="247">
        <v>1</v>
      </c>
      <c r="AE139" s="210"/>
      <c r="AF139" s="247">
        <v>1</v>
      </c>
      <c r="AG139" s="247">
        <v>1</v>
      </c>
      <c r="AH139" s="247" t="s">
        <v>548</v>
      </c>
      <c r="AI139" s="249"/>
    </row>
    <row r="140" spans="2:35" ht="50.1" hidden="1" customHeight="1">
      <c r="B140" s="170">
        <f>IF(D140="","",SUBTOTAL(3,$D$5:D140))</f>
        <v>24</v>
      </c>
      <c r="C140" s="171" t="s">
        <v>771</v>
      </c>
      <c r="D140" s="281" t="s">
        <v>550</v>
      </c>
      <c r="E140" s="167" t="s">
        <v>110</v>
      </c>
      <c r="F140" s="286" t="s">
        <v>498</v>
      </c>
      <c r="G140" s="168" t="s">
        <v>1900</v>
      </c>
      <c r="H140" s="168" t="s">
        <v>115</v>
      </c>
      <c r="I140" s="287" t="s">
        <v>463</v>
      </c>
      <c r="J140" s="247" t="s">
        <v>122</v>
      </c>
      <c r="K140" s="247" t="s">
        <v>1321</v>
      </c>
      <c r="L140" s="247">
        <v>2</v>
      </c>
      <c r="M140" s="250" t="s">
        <v>487</v>
      </c>
      <c r="N140" s="255"/>
      <c r="O140" s="256"/>
      <c r="P140" s="256"/>
      <c r="Q140" s="256"/>
      <c r="R140" s="256"/>
      <c r="S140" s="256"/>
      <c r="T140" s="256"/>
      <c r="U140" s="256"/>
      <c r="V140" s="256"/>
      <c r="W140" s="256"/>
      <c r="X140" s="256"/>
      <c r="Y140" s="257"/>
      <c r="Z140" s="256"/>
      <c r="AA140" s="256"/>
      <c r="AB140" s="258"/>
      <c r="AC140" s="258"/>
      <c r="AD140" s="247" t="s">
        <v>1277</v>
      </c>
      <c r="AE140" s="210"/>
      <c r="AF140" s="247" t="s">
        <v>1156</v>
      </c>
      <c r="AG140" s="247" t="s">
        <v>1181</v>
      </c>
      <c r="AH140" s="247" t="s">
        <v>498</v>
      </c>
      <c r="AI140" s="249"/>
    </row>
    <row r="141" spans="2:35" ht="50.1" customHeight="1">
      <c r="B141" s="170">
        <f>IF(D141="","",SUBTOTAL(3,$D$5:D141))</f>
        <v>25</v>
      </c>
      <c r="C141" s="171" t="s">
        <v>772</v>
      </c>
      <c r="D141" s="281" t="s">
        <v>551</v>
      </c>
      <c r="E141" s="167" t="s">
        <v>103</v>
      </c>
      <c r="F141" s="286" t="s">
        <v>552</v>
      </c>
      <c r="G141" s="168" t="s">
        <v>1906</v>
      </c>
      <c r="H141" s="168" t="s">
        <v>544</v>
      </c>
      <c r="I141" s="287" t="s">
        <v>954</v>
      </c>
      <c r="J141" s="247" t="s">
        <v>1</v>
      </c>
      <c r="K141" s="247" t="s">
        <v>1336</v>
      </c>
      <c r="L141" s="168" t="s">
        <v>957</v>
      </c>
      <c r="M141" s="250" t="s">
        <v>459</v>
      </c>
      <c r="N141" s="255"/>
      <c r="O141" s="256" t="s">
        <v>356</v>
      </c>
      <c r="P141" s="256"/>
      <c r="Q141" s="256"/>
      <c r="R141" s="256"/>
      <c r="S141" s="256"/>
      <c r="T141" s="256"/>
      <c r="U141" s="256"/>
      <c r="V141" s="256"/>
      <c r="W141" s="256"/>
      <c r="X141" s="256"/>
      <c r="Y141" s="257"/>
      <c r="Z141" s="256"/>
      <c r="AA141" s="256"/>
      <c r="AB141" s="258" t="s">
        <v>356</v>
      </c>
      <c r="AC141" s="258"/>
      <c r="AD141" s="247" t="s">
        <v>986</v>
      </c>
      <c r="AE141" s="210"/>
      <c r="AF141" s="247" t="s">
        <v>1156</v>
      </c>
      <c r="AG141" s="247" t="s">
        <v>1156</v>
      </c>
      <c r="AH141" s="247" t="s">
        <v>552</v>
      </c>
      <c r="AI141" s="249"/>
    </row>
    <row r="142" spans="2:35" ht="50.1" customHeight="1">
      <c r="B142" s="170">
        <f>IF(D142="","",SUBTOTAL(3,$D$5:D142))</f>
        <v>26</v>
      </c>
      <c r="C142" s="171" t="s">
        <v>773</v>
      </c>
      <c r="D142" s="281" t="s">
        <v>553</v>
      </c>
      <c r="E142" s="167" t="s">
        <v>103</v>
      </c>
      <c r="F142" s="286" t="s">
        <v>554</v>
      </c>
      <c r="G142" s="168" t="s">
        <v>1916</v>
      </c>
      <c r="H142" s="168" t="s">
        <v>104</v>
      </c>
      <c r="I142" s="287" t="s">
        <v>555</v>
      </c>
      <c r="J142" s="247" t="s">
        <v>1</v>
      </c>
      <c r="K142" s="247" t="s">
        <v>1337</v>
      </c>
      <c r="L142" s="247">
        <v>6</v>
      </c>
      <c r="M142" s="250" t="s">
        <v>459</v>
      </c>
      <c r="N142" s="255"/>
      <c r="O142" s="256"/>
      <c r="P142" s="256"/>
      <c r="Q142" s="256"/>
      <c r="R142" s="256"/>
      <c r="S142" s="256"/>
      <c r="T142" s="256"/>
      <c r="U142" s="256"/>
      <c r="V142" s="256"/>
      <c r="W142" s="256"/>
      <c r="X142" s="256"/>
      <c r="Y142" s="257"/>
      <c r="Z142" s="256"/>
      <c r="AA142" s="256"/>
      <c r="AB142" s="258"/>
      <c r="AC142" s="258"/>
      <c r="AD142" s="247" t="s">
        <v>986</v>
      </c>
      <c r="AE142" s="210"/>
      <c r="AF142" s="247" t="s">
        <v>1156</v>
      </c>
      <c r="AG142" s="247" t="s">
        <v>1156</v>
      </c>
      <c r="AH142" s="247" t="s">
        <v>554</v>
      </c>
      <c r="AI142" s="249"/>
    </row>
    <row r="143" spans="2:35" ht="50.1" customHeight="1">
      <c r="B143" s="170">
        <f>IF(D143="","",SUBTOTAL(3,$D$5:D143))</f>
        <v>27</v>
      </c>
      <c r="C143" s="171" t="s">
        <v>774</v>
      </c>
      <c r="D143" s="281" t="s">
        <v>556</v>
      </c>
      <c r="E143" s="167" t="s">
        <v>103</v>
      </c>
      <c r="F143" s="286" t="s">
        <v>502</v>
      </c>
      <c r="G143" s="168" t="s">
        <v>1858</v>
      </c>
      <c r="H143" s="168" t="s">
        <v>115</v>
      </c>
      <c r="I143" s="287" t="s">
        <v>463</v>
      </c>
      <c r="J143" s="247" t="s">
        <v>1</v>
      </c>
      <c r="K143" s="247" t="s">
        <v>1323</v>
      </c>
      <c r="L143" s="247">
        <v>12</v>
      </c>
      <c r="M143" s="250" t="s">
        <v>459</v>
      </c>
      <c r="N143" s="255"/>
      <c r="O143" s="256"/>
      <c r="P143" s="256"/>
      <c r="Q143" s="256"/>
      <c r="R143" s="256"/>
      <c r="S143" s="256"/>
      <c r="T143" s="256"/>
      <c r="U143" s="256"/>
      <c r="V143" s="256"/>
      <c r="W143" s="256"/>
      <c r="X143" s="256"/>
      <c r="Y143" s="257"/>
      <c r="Z143" s="256"/>
      <c r="AA143" s="256"/>
      <c r="AB143" s="258"/>
      <c r="AC143" s="258"/>
      <c r="AD143" s="247">
        <v>1</v>
      </c>
      <c r="AE143" s="210"/>
      <c r="AF143" s="247">
        <v>1</v>
      </c>
      <c r="AG143" s="247" t="s">
        <v>1156</v>
      </c>
      <c r="AH143" s="247" t="s">
        <v>502</v>
      </c>
      <c r="AI143" s="249"/>
    </row>
    <row r="144" spans="2:35" ht="50.1" customHeight="1">
      <c r="B144" s="170">
        <f>IF(D144="","",SUBTOTAL(3,$D$5:D144))</f>
        <v>28</v>
      </c>
      <c r="C144" s="171" t="s">
        <v>775</v>
      </c>
      <c r="D144" s="281" t="s">
        <v>557</v>
      </c>
      <c r="E144" s="167" t="s">
        <v>103</v>
      </c>
      <c r="F144" s="286" t="s">
        <v>558</v>
      </c>
      <c r="G144" s="168" t="s">
        <v>1858</v>
      </c>
      <c r="H144" s="168" t="s">
        <v>115</v>
      </c>
      <c r="I144" s="287" t="s">
        <v>463</v>
      </c>
      <c r="J144" s="247" t="s">
        <v>1</v>
      </c>
      <c r="K144" s="247" t="s">
        <v>1338</v>
      </c>
      <c r="L144" s="247">
        <v>12</v>
      </c>
      <c r="M144" s="250" t="s">
        <v>459</v>
      </c>
      <c r="N144" s="255"/>
      <c r="O144" s="256"/>
      <c r="P144" s="256"/>
      <c r="Q144" s="256" t="s">
        <v>356</v>
      </c>
      <c r="R144" s="256"/>
      <c r="S144" s="256"/>
      <c r="T144" s="256"/>
      <c r="U144" s="256"/>
      <c r="V144" s="256"/>
      <c r="W144" s="256"/>
      <c r="X144" s="256"/>
      <c r="Y144" s="257"/>
      <c r="Z144" s="256"/>
      <c r="AA144" s="256"/>
      <c r="AB144" s="258"/>
      <c r="AC144" s="258"/>
      <c r="AD144" s="247" t="s">
        <v>364</v>
      </c>
      <c r="AE144" s="210"/>
      <c r="AF144" s="247" t="s">
        <v>364</v>
      </c>
      <c r="AG144" s="247" t="s">
        <v>1156</v>
      </c>
      <c r="AH144" s="247" t="s">
        <v>558</v>
      </c>
      <c r="AI144" s="249"/>
    </row>
    <row r="145" spans="2:35" ht="50.1" customHeight="1">
      <c r="B145" s="170">
        <f>IF(D145="","",SUBTOTAL(3,$D$5:D145))</f>
        <v>29</v>
      </c>
      <c r="C145" s="171" t="s">
        <v>776</v>
      </c>
      <c r="D145" s="281" t="s">
        <v>559</v>
      </c>
      <c r="E145" s="167" t="s">
        <v>103</v>
      </c>
      <c r="F145" s="286" t="s">
        <v>560</v>
      </c>
      <c r="G145" s="168" t="s">
        <v>1918</v>
      </c>
      <c r="H145" s="168" t="s">
        <v>104</v>
      </c>
      <c r="I145" s="287" t="s">
        <v>561</v>
      </c>
      <c r="J145" s="247" t="s">
        <v>1</v>
      </c>
      <c r="K145" s="247" t="s">
        <v>1339</v>
      </c>
      <c r="L145" s="247" t="s">
        <v>1179</v>
      </c>
      <c r="M145" s="250" t="s">
        <v>459</v>
      </c>
      <c r="N145" s="255"/>
      <c r="O145" s="256"/>
      <c r="P145" s="256"/>
      <c r="Q145" s="256"/>
      <c r="R145" s="256"/>
      <c r="S145" s="256"/>
      <c r="T145" s="256"/>
      <c r="U145" s="256"/>
      <c r="V145" s="256"/>
      <c r="W145" s="256"/>
      <c r="X145" s="256"/>
      <c r="Y145" s="257"/>
      <c r="Z145" s="256"/>
      <c r="AA145" s="256"/>
      <c r="AB145" s="258"/>
      <c r="AC145" s="258"/>
      <c r="AD145" s="247" t="s">
        <v>986</v>
      </c>
      <c r="AE145" s="210"/>
      <c r="AF145" s="247" t="s">
        <v>1156</v>
      </c>
      <c r="AG145" s="247" t="s">
        <v>1156</v>
      </c>
      <c r="AH145" s="247" t="s">
        <v>560</v>
      </c>
      <c r="AI145" s="249"/>
    </row>
    <row r="146" spans="2:35" ht="50.1" customHeight="1">
      <c r="B146" s="170">
        <f>IF(D146="","",SUBTOTAL(3,$D$5:D146))</f>
        <v>30</v>
      </c>
      <c r="C146" s="171" t="s">
        <v>777</v>
      </c>
      <c r="D146" s="281" t="s">
        <v>562</v>
      </c>
      <c r="E146" s="167" t="s">
        <v>103</v>
      </c>
      <c r="F146" s="286" t="s">
        <v>563</v>
      </c>
      <c r="G146" s="168" t="s">
        <v>1888</v>
      </c>
      <c r="H146" s="168" t="s">
        <v>544</v>
      </c>
      <c r="I146" s="287" t="s">
        <v>564</v>
      </c>
      <c r="J146" s="247" t="s">
        <v>1</v>
      </c>
      <c r="K146" s="247" t="s">
        <v>1340</v>
      </c>
      <c r="L146" s="168" t="s">
        <v>953</v>
      </c>
      <c r="M146" s="250" t="s">
        <v>459</v>
      </c>
      <c r="N146" s="255"/>
      <c r="O146" s="256"/>
      <c r="P146" s="256"/>
      <c r="Q146" s="256"/>
      <c r="R146" s="256"/>
      <c r="S146" s="256"/>
      <c r="T146" s="256"/>
      <c r="U146" s="256"/>
      <c r="V146" s="256"/>
      <c r="W146" s="256"/>
      <c r="X146" s="256"/>
      <c r="Y146" s="257"/>
      <c r="Z146" s="256"/>
      <c r="AA146" s="256"/>
      <c r="AB146" s="258"/>
      <c r="AC146" s="258"/>
      <c r="AD146" s="247" t="s">
        <v>1182</v>
      </c>
      <c r="AE146" s="210"/>
      <c r="AF146" s="247" t="s">
        <v>1182</v>
      </c>
      <c r="AG146" s="247" t="s">
        <v>1156</v>
      </c>
      <c r="AH146" s="247" t="s">
        <v>563</v>
      </c>
      <c r="AI146" s="249"/>
    </row>
    <row r="147" spans="2:35" ht="50.1" customHeight="1">
      <c r="B147" s="170">
        <f>IF(D147="","",SUBTOTAL(3,$D$5:D147))</f>
        <v>31</v>
      </c>
      <c r="C147" s="171" t="s">
        <v>778</v>
      </c>
      <c r="D147" s="281" t="s">
        <v>565</v>
      </c>
      <c r="E147" s="167" t="s">
        <v>103</v>
      </c>
      <c r="F147" s="286" t="s">
        <v>566</v>
      </c>
      <c r="G147" s="168" t="s">
        <v>1888</v>
      </c>
      <c r="H147" s="168" t="s">
        <v>567</v>
      </c>
      <c r="I147" s="287" t="s">
        <v>568</v>
      </c>
      <c r="J147" s="247" t="s">
        <v>1</v>
      </c>
      <c r="K147" s="247" t="s">
        <v>1341</v>
      </c>
      <c r="L147" s="168" t="s">
        <v>952</v>
      </c>
      <c r="M147" s="250" t="s">
        <v>459</v>
      </c>
      <c r="N147" s="255"/>
      <c r="O147" s="256"/>
      <c r="P147" s="256"/>
      <c r="Q147" s="256"/>
      <c r="R147" s="256"/>
      <c r="S147" s="256"/>
      <c r="T147" s="256"/>
      <c r="U147" s="256"/>
      <c r="V147" s="256"/>
      <c r="W147" s="256"/>
      <c r="X147" s="256"/>
      <c r="Y147" s="257"/>
      <c r="Z147" s="256"/>
      <c r="AA147" s="256"/>
      <c r="AB147" s="258"/>
      <c r="AC147" s="258"/>
      <c r="AD147" s="247" t="s">
        <v>1156</v>
      </c>
      <c r="AE147" s="210"/>
      <c r="AF147" s="247" t="s">
        <v>1156</v>
      </c>
      <c r="AG147" s="247">
        <v>1</v>
      </c>
      <c r="AH147" s="247" t="s">
        <v>566</v>
      </c>
      <c r="AI147" s="249"/>
    </row>
    <row r="148" spans="2:35" ht="50.1" hidden="1" customHeight="1">
      <c r="B148" s="170">
        <f>IF(D148="","",SUBTOTAL(3,$D$5:D148))</f>
        <v>31</v>
      </c>
      <c r="C148" s="171" t="s">
        <v>779</v>
      </c>
      <c r="D148" s="281" t="s">
        <v>569</v>
      </c>
      <c r="E148" s="167" t="s">
        <v>103</v>
      </c>
      <c r="F148" s="286" t="s">
        <v>1327</v>
      </c>
      <c r="G148" s="168" t="s">
        <v>1913</v>
      </c>
      <c r="H148" s="168" t="s">
        <v>1222</v>
      </c>
      <c r="I148" s="287" t="s">
        <v>1223</v>
      </c>
      <c r="J148" s="247" t="s">
        <v>570</v>
      </c>
      <c r="K148" s="247" t="s">
        <v>1327</v>
      </c>
      <c r="L148" s="247">
        <v>9</v>
      </c>
      <c r="M148" s="250" t="s">
        <v>467</v>
      </c>
      <c r="N148" s="255"/>
      <c r="O148" s="256" t="s">
        <v>356</v>
      </c>
      <c r="P148" s="256"/>
      <c r="Q148" s="256"/>
      <c r="R148" s="256"/>
      <c r="S148" s="256"/>
      <c r="T148" s="256"/>
      <c r="U148" s="256"/>
      <c r="V148" s="256"/>
      <c r="W148" s="256"/>
      <c r="X148" s="256"/>
      <c r="Y148" s="257"/>
      <c r="Z148" s="256" t="s">
        <v>356</v>
      </c>
      <c r="AA148" s="256" t="s">
        <v>356</v>
      </c>
      <c r="AB148" s="258" t="s">
        <v>356</v>
      </c>
      <c r="AC148" s="258"/>
      <c r="AD148" s="247" t="s">
        <v>1265</v>
      </c>
      <c r="AE148" s="210"/>
      <c r="AF148" s="247" t="s">
        <v>1156</v>
      </c>
      <c r="AG148" s="247">
        <v>1</v>
      </c>
      <c r="AH148" s="247" t="s">
        <v>515</v>
      </c>
      <c r="AI148" s="249" t="s">
        <v>95</v>
      </c>
    </row>
    <row r="149" spans="2:35" ht="50.1" customHeight="1">
      <c r="B149" s="170">
        <f>IF(D149="","",SUBTOTAL(3,$D$5:D149))</f>
        <v>32</v>
      </c>
      <c r="C149" s="171" t="s">
        <v>780</v>
      </c>
      <c r="D149" s="281" t="s">
        <v>571</v>
      </c>
      <c r="E149" s="167" t="s">
        <v>103</v>
      </c>
      <c r="F149" s="286" t="s">
        <v>572</v>
      </c>
      <c r="G149" s="168" t="s">
        <v>1906</v>
      </c>
      <c r="H149" s="168" t="s">
        <v>544</v>
      </c>
      <c r="I149" s="287" t="s">
        <v>634</v>
      </c>
      <c r="J149" s="247" t="s">
        <v>1</v>
      </c>
      <c r="K149" s="247" t="s">
        <v>1342</v>
      </c>
      <c r="L149" s="168" t="s">
        <v>951</v>
      </c>
      <c r="M149" s="250" t="s">
        <v>459</v>
      </c>
      <c r="N149" s="255"/>
      <c r="O149" s="256" t="s">
        <v>356</v>
      </c>
      <c r="P149" s="256"/>
      <c r="Q149" s="256"/>
      <c r="R149" s="256"/>
      <c r="S149" s="256"/>
      <c r="T149" s="256"/>
      <c r="U149" s="256"/>
      <c r="V149" s="256"/>
      <c r="W149" s="256"/>
      <c r="X149" s="256"/>
      <c r="Y149" s="257"/>
      <c r="Z149" s="256"/>
      <c r="AA149" s="256"/>
      <c r="AB149" s="258" t="s">
        <v>356</v>
      </c>
      <c r="AC149" s="258"/>
      <c r="AD149" s="247" t="s">
        <v>986</v>
      </c>
      <c r="AE149" s="210"/>
      <c r="AF149" s="247" t="s">
        <v>1156</v>
      </c>
      <c r="AG149" s="247" t="s">
        <v>1156</v>
      </c>
      <c r="AH149" s="247" t="s">
        <v>572</v>
      </c>
      <c r="AI149" s="249"/>
    </row>
    <row r="150" spans="2:35" ht="50.1" hidden="1" customHeight="1">
      <c r="B150" s="170">
        <f>IF(D150="","",SUBTOTAL(3,$D$5:D150))</f>
        <v>32</v>
      </c>
      <c r="C150" s="171" t="s">
        <v>781</v>
      </c>
      <c r="D150" s="281" t="s">
        <v>573</v>
      </c>
      <c r="E150" s="167" t="s">
        <v>103</v>
      </c>
      <c r="F150" s="286" t="s">
        <v>574</v>
      </c>
      <c r="G150" s="168" t="s">
        <v>1904</v>
      </c>
      <c r="H150" s="168" t="s">
        <v>544</v>
      </c>
      <c r="I150" s="287" t="s">
        <v>634</v>
      </c>
      <c r="J150" s="247" t="s">
        <v>570</v>
      </c>
      <c r="K150" s="247" t="s">
        <v>1343</v>
      </c>
      <c r="L150" s="168" t="s">
        <v>951</v>
      </c>
      <c r="M150" s="250" t="s">
        <v>467</v>
      </c>
      <c r="N150" s="255"/>
      <c r="O150" s="256"/>
      <c r="P150" s="256"/>
      <c r="Q150" s="256"/>
      <c r="R150" s="256"/>
      <c r="S150" s="256"/>
      <c r="T150" s="256"/>
      <c r="U150" s="256"/>
      <c r="V150" s="256"/>
      <c r="W150" s="256"/>
      <c r="X150" s="256"/>
      <c r="Y150" s="257"/>
      <c r="Z150" s="256"/>
      <c r="AA150" s="256"/>
      <c r="AB150" s="258"/>
      <c r="AC150" s="258"/>
      <c r="AD150" s="247" t="s">
        <v>1265</v>
      </c>
      <c r="AE150" s="210"/>
      <c r="AF150" s="247" t="s">
        <v>1156</v>
      </c>
      <c r="AG150" s="247" t="s">
        <v>1166</v>
      </c>
      <c r="AH150" s="247" t="s">
        <v>574</v>
      </c>
      <c r="AI150" s="249"/>
    </row>
    <row r="151" spans="2:35" ht="50.1" customHeight="1">
      <c r="B151" s="170">
        <f>IF(D151="","",SUBTOTAL(3,$D$5:D151))</f>
        <v>33</v>
      </c>
      <c r="C151" s="171" t="s">
        <v>782</v>
      </c>
      <c r="D151" s="281" t="s">
        <v>575</v>
      </c>
      <c r="E151" s="167" t="s">
        <v>119</v>
      </c>
      <c r="F151" s="286" t="s">
        <v>505</v>
      </c>
      <c r="G151" s="168" t="s">
        <v>1893</v>
      </c>
      <c r="H151" s="168" t="s">
        <v>1222</v>
      </c>
      <c r="I151" s="287" t="s">
        <v>1223</v>
      </c>
      <c r="J151" s="247" t="s">
        <v>576</v>
      </c>
      <c r="K151" s="247" t="s">
        <v>1324</v>
      </c>
      <c r="L151" s="247">
        <v>16</v>
      </c>
      <c r="M151" s="250" t="s">
        <v>459</v>
      </c>
      <c r="N151" s="255"/>
      <c r="O151" s="256"/>
      <c r="P151" s="256"/>
      <c r="Q151" s="256"/>
      <c r="R151" s="256"/>
      <c r="S151" s="256"/>
      <c r="T151" s="256"/>
      <c r="U151" s="256"/>
      <c r="V151" s="256"/>
      <c r="W151" s="256"/>
      <c r="X151" s="256"/>
      <c r="Y151" s="257"/>
      <c r="Z151" s="256"/>
      <c r="AA151" s="256"/>
      <c r="AB151" s="258"/>
      <c r="AC151" s="258"/>
      <c r="AD151" s="247">
        <v>1</v>
      </c>
      <c r="AE151" s="210"/>
      <c r="AF151" s="247">
        <v>1</v>
      </c>
      <c r="AG151" s="247">
        <v>1</v>
      </c>
      <c r="AH151" s="247" t="s">
        <v>505</v>
      </c>
      <c r="AI151" s="249"/>
    </row>
    <row r="152" spans="2:35" ht="50.1" hidden="1" customHeight="1">
      <c r="B152" s="170">
        <f>IF(D152="","",SUBTOTAL(3,$D$5:D152))</f>
        <v>33</v>
      </c>
      <c r="C152" s="171" t="s">
        <v>783</v>
      </c>
      <c r="D152" s="281" t="s">
        <v>577</v>
      </c>
      <c r="E152" s="167" t="s">
        <v>103</v>
      </c>
      <c r="F152" s="287" t="s">
        <v>580</v>
      </c>
      <c r="G152" s="168" t="s">
        <v>1862</v>
      </c>
      <c r="H152" s="168" t="s">
        <v>1222</v>
      </c>
      <c r="I152" s="287" t="s">
        <v>1223</v>
      </c>
      <c r="J152" s="247" t="s">
        <v>579</v>
      </c>
      <c r="K152" s="247" t="s">
        <v>1127</v>
      </c>
      <c r="L152" s="247">
        <v>10</v>
      </c>
      <c r="M152" s="250" t="s">
        <v>467</v>
      </c>
      <c r="N152" s="251"/>
      <c r="O152" s="171"/>
      <c r="P152" s="171"/>
      <c r="Q152" s="171"/>
      <c r="R152" s="171"/>
      <c r="S152" s="171"/>
      <c r="T152" s="171"/>
      <c r="U152" s="171"/>
      <c r="V152" s="171"/>
      <c r="W152" s="171"/>
      <c r="X152" s="171"/>
      <c r="Y152" s="252"/>
      <c r="Z152" s="171"/>
      <c r="AA152" s="171"/>
      <c r="AB152" s="253"/>
      <c r="AC152" s="253"/>
      <c r="AD152" s="247" t="s">
        <v>1279</v>
      </c>
      <c r="AE152" s="210"/>
      <c r="AF152" s="168" t="s">
        <v>1166</v>
      </c>
      <c r="AG152" s="168" t="s">
        <v>1166</v>
      </c>
      <c r="AH152" s="168" t="s">
        <v>580</v>
      </c>
      <c r="AI152" s="249"/>
    </row>
    <row r="153" spans="2:35" ht="50.1" hidden="1" customHeight="1">
      <c r="B153" s="170">
        <f>IF(D153="","",SUBTOTAL(3,$D$5:D153))</f>
        <v>33</v>
      </c>
      <c r="C153" s="171" t="s">
        <v>784</v>
      </c>
      <c r="D153" s="281" t="s">
        <v>581</v>
      </c>
      <c r="E153" s="167" t="s">
        <v>103</v>
      </c>
      <c r="F153" s="286" t="s">
        <v>582</v>
      </c>
      <c r="G153" s="168" t="s">
        <v>1913</v>
      </c>
      <c r="H153" s="168" t="s">
        <v>1222</v>
      </c>
      <c r="I153" s="287" t="s">
        <v>1223</v>
      </c>
      <c r="J153" s="247" t="s">
        <v>583</v>
      </c>
      <c r="K153" s="247" t="s">
        <v>1364</v>
      </c>
      <c r="L153" s="247">
        <v>9</v>
      </c>
      <c r="M153" s="250" t="s">
        <v>467</v>
      </c>
      <c r="N153" s="255"/>
      <c r="O153" s="256"/>
      <c r="P153" s="256"/>
      <c r="Q153" s="256"/>
      <c r="R153" s="256"/>
      <c r="S153" s="256"/>
      <c r="T153" s="256"/>
      <c r="U153" s="256"/>
      <c r="V153" s="256"/>
      <c r="W153" s="256"/>
      <c r="X153" s="256"/>
      <c r="Y153" s="257"/>
      <c r="Z153" s="256"/>
      <c r="AA153" s="256"/>
      <c r="AB153" s="258"/>
      <c r="AC153" s="258"/>
      <c r="AD153" s="247" t="s">
        <v>1278</v>
      </c>
      <c r="AE153" s="210"/>
      <c r="AF153" s="247" t="s">
        <v>1156</v>
      </c>
      <c r="AG153" s="247" t="s">
        <v>578</v>
      </c>
      <c r="AH153" s="247" t="s">
        <v>582</v>
      </c>
      <c r="AI153" s="249"/>
    </row>
    <row r="154" spans="2:35" ht="50.1" customHeight="1">
      <c r="B154" s="170">
        <f>IF(D154="","",SUBTOTAL(3,$D$5:D154))</f>
        <v>34</v>
      </c>
      <c r="C154" s="171" t="s">
        <v>785</v>
      </c>
      <c r="D154" s="281" t="s">
        <v>584</v>
      </c>
      <c r="E154" s="167" t="s">
        <v>103</v>
      </c>
      <c r="F154" s="286" t="s">
        <v>585</v>
      </c>
      <c r="G154" s="168" t="s">
        <v>1906</v>
      </c>
      <c r="H154" s="168" t="s">
        <v>544</v>
      </c>
      <c r="I154" s="287" t="s">
        <v>586</v>
      </c>
      <c r="J154" s="247" t="s">
        <v>1</v>
      </c>
      <c r="K154" s="247" t="s">
        <v>1344</v>
      </c>
      <c r="L154" s="168" t="s">
        <v>950</v>
      </c>
      <c r="M154" s="250" t="s">
        <v>459</v>
      </c>
      <c r="N154" s="255"/>
      <c r="O154" s="256"/>
      <c r="P154" s="256"/>
      <c r="Q154" s="256"/>
      <c r="R154" s="256"/>
      <c r="S154" s="256"/>
      <c r="T154" s="256"/>
      <c r="U154" s="256"/>
      <c r="V154" s="256"/>
      <c r="W154" s="256"/>
      <c r="X154" s="256"/>
      <c r="Y154" s="257"/>
      <c r="Z154" s="256"/>
      <c r="AA154" s="256"/>
      <c r="AB154" s="258"/>
      <c r="AC154" s="258"/>
      <c r="AD154" s="247" t="s">
        <v>986</v>
      </c>
      <c r="AE154" s="210"/>
      <c r="AF154" s="247" t="s">
        <v>1156</v>
      </c>
      <c r="AG154" s="247" t="s">
        <v>1156</v>
      </c>
      <c r="AH154" s="247" t="s">
        <v>585</v>
      </c>
      <c r="AI154" s="249"/>
    </row>
    <row r="155" spans="2:35" ht="50.1" customHeight="1">
      <c r="B155" s="170">
        <f>IF(D155="","",SUBTOTAL(3,$D$5:D155))</f>
        <v>35</v>
      </c>
      <c r="C155" s="171" t="s">
        <v>786</v>
      </c>
      <c r="D155" s="281" t="s">
        <v>587</v>
      </c>
      <c r="E155" s="167" t="s">
        <v>103</v>
      </c>
      <c r="F155" s="286" t="s">
        <v>588</v>
      </c>
      <c r="G155" s="168" t="s">
        <v>1893</v>
      </c>
      <c r="H155" s="168" t="s">
        <v>115</v>
      </c>
      <c r="I155" s="287" t="s">
        <v>463</v>
      </c>
      <c r="J155" s="247" t="s">
        <v>1</v>
      </c>
      <c r="K155" s="247" t="s">
        <v>1345</v>
      </c>
      <c r="L155" s="247">
        <v>16</v>
      </c>
      <c r="M155" s="250" t="s">
        <v>459</v>
      </c>
      <c r="N155" s="255"/>
      <c r="O155" s="256"/>
      <c r="P155" s="256"/>
      <c r="Q155" s="256"/>
      <c r="R155" s="256"/>
      <c r="S155" s="256"/>
      <c r="T155" s="256"/>
      <c r="U155" s="256"/>
      <c r="V155" s="256"/>
      <c r="W155" s="256"/>
      <c r="X155" s="256"/>
      <c r="Y155" s="257"/>
      <c r="Z155" s="256"/>
      <c r="AA155" s="256"/>
      <c r="AB155" s="258"/>
      <c r="AC155" s="258"/>
      <c r="AD155" s="247" t="s">
        <v>985</v>
      </c>
      <c r="AE155" s="210"/>
      <c r="AF155" s="247" t="s">
        <v>1159</v>
      </c>
      <c r="AG155" s="247" t="s">
        <v>1159</v>
      </c>
      <c r="AH155" s="247" t="s">
        <v>588</v>
      </c>
      <c r="AI155" s="249"/>
    </row>
    <row r="156" spans="2:35" ht="50.1" customHeight="1">
      <c r="B156" s="170">
        <f>IF(D156="","",SUBTOTAL(3,$D$5:D156))</f>
        <v>36</v>
      </c>
      <c r="C156" s="171" t="s">
        <v>787</v>
      </c>
      <c r="D156" s="281" t="s">
        <v>589</v>
      </c>
      <c r="E156" s="167" t="s">
        <v>103</v>
      </c>
      <c r="F156" s="286" t="s">
        <v>541</v>
      </c>
      <c r="G156" s="168" t="s">
        <v>1893</v>
      </c>
      <c r="H156" s="168" t="s">
        <v>1222</v>
      </c>
      <c r="I156" s="287" t="s">
        <v>1223</v>
      </c>
      <c r="J156" s="247" t="s">
        <v>1</v>
      </c>
      <c r="K156" s="247" t="s">
        <v>1332</v>
      </c>
      <c r="L156" s="247">
        <v>16</v>
      </c>
      <c r="M156" s="250" t="s">
        <v>459</v>
      </c>
      <c r="N156" s="255"/>
      <c r="O156" s="256"/>
      <c r="P156" s="256"/>
      <c r="Q156" s="256"/>
      <c r="R156" s="256"/>
      <c r="S156" s="256"/>
      <c r="T156" s="256"/>
      <c r="U156" s="256"/>
      <c r="V156" s="256"/>
      <c r="W156" s="256"/>
      <c r="X156" s="256"/>
      <c r="Y156" s="257"/>
      <c r="Z156" s="256"/>
      <c r="AA156" s="256"/>
      <c r="AB156" s="258"/>
      <c r="AC156" s="258"/>
      <c r="AD156" s="247" t="s">
        <v>1275</v>
      </c>
      <c r="AE156" s="210"/>
      <c r="AF156" s="247" t="s">
        <v>1159</v>
      </c>
      <c r="AG156" s="247" t="s">
        <v>1156</v>
      </c>
      <c r="AH156" s="247" t="s">
        <v>541</v>
      </c>
      <c r="AI156" s="249"/>
    </row>
    <row r="157" spans="2:35" ht="50.1" customHeight="1">
      <c r="B157" s="170">
        <f>IF(D157="","",SUBTOTAL(3,$D$5:D157))</f>
        <v>37</v>
      </c>
      <c r="C157" s="171" t="s">
        <v>788</v>
      </c>
      <c r="D157" s="281" t="s">
        <v>590</v>
      </c>
      <c r="E157" s="167" t="s">
        <v>103</v>
      </c>
      <c r="F157" s="286" t="s">
        <v>591</v>
      </c>
      <c r="G157" s="168" t="s">
        <v>1906</v>
      </c>
      <c r="H157" s="168" t="s">
        <v>544</v>
      </c>
      <c r="I157" s="287" t="s">
        <v>592</v>
      </c>
      <c r="J157" s="247" t="s">
        <v>1</v>
      </c>
      <c r="K157" s="247" t="s">
        <v>1346</v>
      </c>
      <c r="L157" s="168" t="s">
        <v>949</v>
      </c>
      <c r="M157" s="250" t="s">
        <v>459</v>
      </c>
      <c r="N157" s="255"/>
      <c r="O157" s="256"/>
      <c r="P157" s="256"/>
      <c r="Q157" s="256"/>
      <c r="R157" s="256"/>
      <c r="S157" s="256"/>
      <c r="T157" s="256"/>
      <c r="U157" s="256"/>
      <c r="V157" s="256"/>
      <c r="W157" s="256"/>
      <c r="X157" s="256"/>
      <c r="Y157" s="257"/>
      <c r="Z157" s="256"/>
      <c r="AA157" s="256"/>
      <c r="AB157" s="258"/>
      <c r="AC157" s="258"/>
      <c r="AD157" s="247" t="s">
        <v>1275</v>
      </c>
      <c r="AE157" s="210"/>
      <c r="AF157" s="247" t="s">
        <v>1159</v>
      </c>
      <c r="AG157" s="247" t="s">
        <v>1156</v>
      </c>
      <c r="AH157" s="247" t="s">
        <v>591</v>
      </c>
      <c r="AI157" s="249"/>
    </row>
    <row r="158" spans="2:35" ht="50.1" customHeight="1">
      <c r="B158" s="170">
        <f>IF(D158="","",SUBTOTAL(3,$D$5:D158))</f>
        <v>38</v>
      </c>
      <c r="C158" s="171" t="s">
        <v>789</v>
      </c>
      <c r="D158" s="281" t="s">
        <v>593</v>
      </c>
      <c r="E158" s="167" t="s">
        <v>103</v>
      </c>
      <c r="F158" s="286" t="s">
        <v>594</v>
      </c>
      <c r="G158" s="168" t="s">
        <v>1906</v>
      </c>
      <c r="H158" s="168" t="s">
        <v>544</v>
      </c>
      <c r="I158" s="287" t="s">
        <v>592</v>
      </c>
      <c r="J158" s="247" t="s">
        <v>1</v>
      </c>
      <c r="K158" s="247" t="s">
        <v>1347</v>
      </c>
      <c r="L158" s="168" t="s">
        <v>948</v>
      </c>
      <c r="M158" s="250" t="s">
        <v>459</v>
      </c>
      <c r="N158" s="255"/>
      <c r="O158" s="256"/>
      <c r="P158" s="256"/>
      <c r="Q158" s="256"/>
      <c r="R158" s="256"/>
      <c r="S158" s="256"/>
      <c r="T158" s="256"/>
      <c r="U158" s="256"/>
      <c r="V158" s="256"/>
      <c r="W158" s="256"/>
      <c r="X158" s="256"/>
      <c r="Y158" s="257"/>
      <c r="Z158" s="256"/>
      <c r="AA158" s="256"/>
      <c r="AB158" s="258"/>
      <c r="AC158" s="258"/>
      <c r="AD158" s="247" t="s">
        <v>986</v>
      </c>
      <c r="AE158" s="210"/>
      <c r="AF158" s="247" t="s">
        <v>1156</v>
      </c>
      <c r="AG158" s="247" t="s">
        <v>1156</v>
      </c>
      <c r="AH158" s="247" t="s">
        <v>594</v>
      </c>
      <c r="AI158" s="249"/>
    </row>
    <row r="159" spans="2:35" ht="50.1" customHeight="1">
      <c r="B159" s="170">
        <f>IF(D159="","",SUBTOTAL(3,$D$5:D159))</f>
        <v>39</v>
      </c>
      <c r="C159" s="171" t="s">
        <v>790</v>
      </c>
      <c r="D159" s="281" t="s">
        <v>595</v>
      </c>
      <c r="E159" s="167" t="s">
        <v>103</v>
      </c>
      <c r="F159" s="287" t="s">
        <v>999</v>
      </c>
      <c r="G159" s="168" t="s">
        <v>1906</v>
      </c>
      <c r="H159" s="168" t="s">
        <v>1378</v>
      </c>
      <c r="I159" s="287" t="s">
        <v>1424</v>
      </c>
      <c r="J159" s="247" t="s">
        <v>1</v>
      </c>
      <c r="K159" s="247" t="s">
        <v>999</v>
      </c>
      <c r="L159" s="168" t="s">
        <v>947</v>
      </c>
      <c r="M159" s="250" t="s">
        <v>459</v>
      </c>
      <c r="N159" s="255"/>
      <c r="O159" s="256"/>
      <c r="P159" s="256" t="s">
        <v>356</v>
      </c>
      <c r="Q159" s="256"/>
      <c r="R159" s="256"/>
      <c r="S159" s="256"/>
      <c r="T159" s="256"/>
      <c r="U159" s="256"/>
      <c r="V159" s="256"/>
      <c r="W159" s="256"/>
      <c r="X159" s="256"/>
      <c r="Y159" s="257"/>
      <c r="Z159" s="256" t="s">
        <v>95</v>
      </c>
      <c r="AA159" s="256" t="s">
        <v>356</v>
      </c>
      <c r="AB159" s="258"/>
      <c r="AC159" s="258"/>
      <c r="AD159" s="247" t="s">
        <v>995</v>
      </c>
      <c r="AE159" s="210"/>
      <c r="AF159" s="247" t="s">
        <v>1156</v>
      </c>
      <c r="AG159" s="247" t="s">
        <v>1177</v>
      </c>
      <c r="AH159" s="168" t="s">
        <v>596</v>
      </c>
      <c r="AI159" s="249" t="s">
        <v>95</v>
      </c>
    </row>
    <row r="160" spans="2:35" ht="50.1" customHeight="1">
      <c r="B160" s="170">
        <f>IF(D160="","",SUBTOTAL(3,$D$5:D160))</f>
        <v>40</v>
      </c>
      <c r="C160" s="171" t="s">
        <v>791</v>
      </c>
      <c r="D160" s="281" t="s">
        <v>597</v>
      </c>
      <c r="E160" s="167" t="s">
        <v>103</v>
      </c>
      <c r="F160" s="287" t="s">
        <v>598</v>
      </c>
      <c r="G160" s="168" t="s">
        <v>1906</v>
      </c>
      <c r="H160" s="168" t="s">
        <v>544</v>
      </c>
      <c r="I160" s="287" t="s">
        <v>592</v>
      </c>
      <c r="J160" s="247" t="s">
        <v>1</v>
      </c>
      <c r="K160" s="247" t="s">
        <v>998</v>
      </c>
      <c r="L160" s="168" t="s">
        <v>947</v>
      </c>
      <c r="M160" s="250" t="s">
        <v>459</v>
      </c>
      <c r="N160" s="255"/>
      <c r="O160" s="256"/>
      <c r="P160" s="256"/>
      <c r="Q160" s="256"/>
      <c r="R160" s="256"/>
      <c r="S160" s="256"/>
      <c r="T160" s="256"/>
      <c r="U160" s="256"/>
      <c r="V160" s="256"/>
      <c r="W160" s="256"/>
      <c r="X160" s="256"/>
      <c r="Y160" s="257"/>
      <c r="Z160" s="256"/>
      <c r="AA160" s="256"/>
      <c r="AB160" s="258"/>
      <c r="AC160" s="258"/>
      <c r="AD160" s="247" t="s">
        <v>1287</v>
      </c>
      <c r="AE160" s="210"/>
      <c r="AF160" s="247" t="s">
        <v>1159</v>
      </c>
      <c r="AG160" s="247">
        <v>1</v>
      </c>
      <c r="AH160" s="168" t="s">
        <v>598</v>
      </c>
      <c r="AI160" s="249"/>
    </row>
    <row r="161" spans="2:35" ht="50.1" customHeight="1">
      <c r="B161" s="170">
        <f>IF(D161="","",SUBTOTAL(3,$D$5:D161))</f>
        <v>41</v>
      </c>
      <c r="C161" s="171" t="s">
        <v>792</v>
      </c>
      <c r="D161" s="281" t="s">
        <v>599</v>
      </c>
      <c r="E161" s="167" t="s">
        <v>103</v>
      </c>
      <c r="F161" s="286" t="s">
        <v>354</v>
      </c>
      <c r="G161" s="168" t="s">
        <v>1902</v>
      </c>
      <c r="H161" s="168" t="s">
        <v>115</v>
      </c>
      <c r="I161" s="287" t="s">
        <v>463</v>
      </c>
      <c r="J161" s="247" t="s">
        <v>1</v>
      </c>
      <c r="K161" s="247" t="s">
        <v>1133</v>
      </c>
      <c r="L161" s="247">
        <v>10</v>
      </c>
      <c r="M161" s="250" t="s">
        <v>459</v>
      </c>
      <c r="N161" s="255"/>
      <c r="O161" s="256"/>
      <c r="P161" s="256" t="s">
        <v>356</v>
      </c>
      <c r="Q161" s="256" t="s">
        <v>356</v>
      </c>
      <c r="R161" s="256"/>
      <c r="S161" s="256"/>
      <c r="T161" s="256"/>
      <c r="U161" s="256"/>
      <c r="V161" s="256"/>
      <c r="W161" s="256"/>
      <c r="X161" s="256"/>
      <c r="Y161" s="257"/>
      <c r="Z161" s="256"/>
      <c r="AA161" s="256"/>
      <c r="AB161" s="258"/>
      <c r="AC161" s="258"/>
      <c r="AD161" s="247" t="s">
        <v>985</v>
      </c>
      <c r="AE161" s="210"/>
      <c r="AF161" s="247" t="s">
        <v>1159</v>
      </c>
      <c r="AG161" s="247" t="s">
        <v>1159</v>
      </c>
      <c r="AH161" s="247" t="s">
        <v>354</v>
      </c>
      <c r="AI161" s="249"/>
    </row>
    <row r="162" spans="2:35" ht="50.1" customHeight="1">
      <c r="B162" s="170">
        <f>IF(D162="","",SUBTOTAL(3,$D$5:D162))</f>
        <v>42</v>
      </c>
      <c r="C162" s="171" t="s">
        <v>793</v>
      </c>
      <c r="D162" s="281" t="s">
        <v>600</v>
      </c>
      <c r="E162" s="167" t="s">
        <v>103</v>
      </c>
      <c r="F162" s="286" t="s">
        <v>1348</v>
      </c>
      <c r="G162" s="168" t="s">
        <v>1902</v>
      </c>
      <c r="H162" s="168" t="s">
        <v>1222</v>
      </c>
      <c r="I162" s="287" t="s">
        <v>1223</v>
      </c>
      <c r="J162" s="247" t="s">
        <v>485</v>
      </c>
      <c r="K162" s="247" t="s">
        <v>1348</v>
      </c>
      <c r="L162" s="247">
        <v>10</v>
      </c>
      <c r="M162" s="250" t="s">
        <v>459</v>
      </c>
      <c r="N162" s="255"/>
      <c r="O162" s="256"/>
      <c r="P162" s="256" t="s">
        <v>356</v>
      </c>
      <c r="Q162" s="256"/>
      <c r="R162" s="256"/>
      <c r="S162" s="256"/>
      <c r="T162" s="256"/>
      <c r="U162" s="256"/>
      <c r="V162" s="256"/>
      <c r="W162" s="256"/>
      <c r="X162" s="256"/>
      <c r="Y162" s="257"/>
      <c r="Z162" s="256" t="s">
        <v>356</v>
      </c>
      <c r="AA162" s="256" t="s">
        <v>356</v>
      </c>
      <c r="AB162" s="258"/>
      <c r="AC162" s="258"/>
      <c r="AD162" s="247" t="s">
        <v>1286</v>
      </c>
      <c r="AE162" s="210"/>
      <c r="AF162" s="247" t="s">
        <v>1159</v>
      </c>
      <c r="AG162" s="168" t="s">
        <v>1166</v>
      </c>
      <c r="AH162" s="247" t="s">
        <v>601</v>
      </c>
      <c r="AI162" s="249" t="s">
        <v>95</v>
      </c>
    </row>
    <row r="163" spans="2:35" ht="50.1" customHeight="1">
      <c r="B163" s="170">
        <f>IF(D163="","",SUBTOTAL(3,$D$5:D163))</f>
        <v>43</v>
      </c>
      <c r="C163" s="171" t="s">
        <v>794</v>
      </c>
      <c r="D163" s="281" t="s">
        <v>602</v>
      </c>
      <c r="E163" s="167" t="s">
        <v>103</v>
      </c>
      <c r="F163" s="287" t="s">
        <v>859</v>
      </c>
      <c r="G163" s="168" t="s">
        <v>1902</v>
      </c>
      <c r="H163" s="168" t="s">
        <v>115</v>
      </c>
      <c r="I163" s="287" t="s">
        <v>463</v>
      </c>
      <c r="J163" s="247" t="s">
        <v>1</v>
      </c>
      <c r="K163" s="247" t="s">
        <v>1349</v>
      </c>
      <c r="L163" s="247">
        <v>10</v>
      </c>
      <c r="M163" s="250" t="s">
        <v>459</v>
      </c>
      <c r="N163" s="251"/>
      <c r="O163" s="171"/>
      <c r="P163" s="171"/>
      <c r="Q163" s="171"/>
      <c r="R163" s="171"/>
      <c r="S163" s="171"/>
      <c r="T163" s="171"/>
      <c r="U163" s="171"/>
      <c r="V163" s="171"/>
      <c r="W163" s="171"/>
      <c r="X163" s="171"/>
      <c r="Y163" s="252"/>
      <c r="Z163" s="171"/>
      <c r="AA163" s="171"/>
      <c r="AB163" s="253"/>
      <c r="AC163" s="253"/>
      <c r="AD163" s="247">
        <v>2</v>
      </c>
      <c r="AE163" s="210"/>
      <c r="AF163" s="247">
        <v>2</v>
      </c>
      <c r="AG163" s="247">
        <v>2</v>
      </c>
      <c r="AH163" s="168" t="s">
        <v>859</v>
      </c>
      <c r="AI163" s="249"/>
    </row>
    <row r="164" spans="2:35" ht="50.1" customHeight="1">
      <c r="B164" s="170">
        <f>IF(D164="","",SUBTOTAL(3,$D$5:D164))</f>
        <v>44</v>
      </c>
      <c r="C164" s="171" t="s">
        <v>795</v>
      </c>
      <c r="D164" s="281" t="s">
        <v>603</v>
      </c>
      <c r="E164" s="167" t="s">
        <v>103</v>
      </c>
      <c r="F164" s="286" t="s">
        <v>604</v>
      </c>
      <c r="G164" s="168" t="s">
        <v>1902</v>
      </c>
      <c r="H164" s="168" t="s">
        <v>1222</v>
      </c>
      <c r="I164" s="287" t="s">
        <v>1223</v>
      </c>
      <c r="J164" s="247" t="s">
        <v>1</v>
      </c>
      <c r="K164" s="247" t="s">
        <v>1350</v>
      </c>
      <c r="L164" s="247">
        <v>10</v>
      </c>
      <c r="M164" s="250" t="s">
        <v>459</v>
      </c>
      <c r="N164" s="255"/>
      <c r="O164" s="256"/>
      <c r="P164" s="256"/>
      <c r="Q164" s="256"/>
      <c r="R164" s="256"/>
      <c r="S164" s="256"/>
      <c r="T164" s="256"/>
      <c r="U164" s="256"/>
      <c r="V164" s="256"/>
      <c r="W164" s="256"/>
      <c r="X164" s="256"/>
      <c r="Y164" s="257"/>
      <c r="Z164" s="256"/>
      <c r="AA164" s="256"/>
      <c r="AB164" s="258"/>
      <c r="AC164" s="258"/>
      <c r="AD164" s="247">
        <v>2</v>
      </c>
      <c r="AE164" s="210"/>
      <c r="AF164" s="247">
        <v>2</v>
      </c>
      <c r="AG164" s="247" t="s">
        <v>364</v>
      </c>
      <c r="AH164" s="247" t="s">
        <v>604</v>
      </c>
      <c r="AI164" s="249"/>
    </row>
    <row r="165" spans="2:35" ht="50.1" customHeight="1">
      <c r="B165" s="170">
        <f>IF(D165="","",SUBTOTAL(3,$D$5:D165))</f>
        <v>45</v>
      </c>
      <c r="C165" s="171" t="s">
        <v>796</v>
      </c>
      <c r="D165" s="281" t="s">
        <v>605</v>
      </c>
      <c r="E165" s="167" t="s">
        <v>113</v>
      </c>
      <c r="F165" s="287" t="s">
        <v>607</v>
      </c>
      <c r="G165" s="168" t="s">
        <v>1902</v>
      </c>
      <c r="H165" s="168" t="s">
        <v>104</v>
      </c>
      <c r="I165" s="287" t="s">
        <v>606</v>
      </c>
      <c r="J165" s="247" t="s">
        <v>526</v>
      </c>
      <c r="K165" s="247" t="s">
        <v>1351</v>
      </c>
      <c r="L165" s="247" t="s">
        <v>1430</v>
      </c>
      <c r="M165" s="250" t="s">
        <v>459</v>
      </c>
      <c r="N165" s="255"/>
      <c r="O165" s="256"/>
      <c r="P165" s="256"/>
      <c r="Q165" s="256"/>
      <c r="R165" s="256"/>
      <c r="S165" s="256"/>
      <c r="T165" s="256"/>
      <c r="U165" s="256"/>
      <c r="V165" s="256"/>
      <c r="W165" s="256"/>
      <c r="X165" s="256"/>
      <c r="Y165" s="257"/>
      <c r="Z165" s="256"/>
      <c r="AA165" s="256"/>
      <c r="AB165" s="258"/>
      <c r="AC165" s="258"/>
      <c r="AD165" s="247">
        <v>1</v>
      </c>
      <c r="AE165" s="210"/>
      <c r="AF165" s="247">
        <v>1</v>
      </c>
      <c r="AG165" s="247">
        <v>1</v>
      </c>
      <c r="AH165" s="168" t="s">
        <v>607</v>
      </c>
      <c r="AI165" s="249"/>
    </row>
    <row r="166" spans="2:35" ht="50.1" customHeight="1">
      <c r="B166" s="170">
        <f>IF(D166="","",SUBTOTAL(3,$D$5:D166))</f>
        <v>46</v>
      </c>
      <c r="C166" s="171" t="s">
        <v>797</v>
      </c>
      <c r="D166" s="281" t="s">
        <v>608</v>
      </c>
      <c r="E166" s="167" t="s">
        <v>103</v>
      </c>
      <c r="F166" s="286" t="s">
        <v>609</v>
      </c>
      <c r="G166" s="168" t="s">
        <v>1902</v>
      </c>
      <c r="H166" s="168" t="s">
        <v>1222</v>
      </c>
      <c r="I166" s="287" t="s">
        <v>1223</v>
      </c>
      <c r="J166" s="247" t="s">
        <v>1</v>
      </c>
      <c r="K166" s="247" t="s">
        <v>1352</v>
      </c>
      <c r="L166" s="247">
        <v>10</v>
      </c>
      <c r="M166" s="250" t="s">
        <v>459</v>
      </c>
      <c r="N166" s="255"/>
      <c r="O166" s="256"/>
      <c r="P166" s="256"/>
      <c r="Q166" s="256"/>
      <c r="R166" s="256"/>
      <c r="S166" s="256"/>
      <c r="T166" s="256"/>
      <c r="U166" s="256"/>
      <c r="V166" s="256"/>
      <c r="W166" s="256"/>
      <c r="X166" s="256"/>
      <c r="Y166" s="257"/>
      <c r="Z166" s="256"/>
      <c r="AA166" s="256"/>
      <c r="AB166" s="258"/>
      <c r="AC166" s="258"/>
      <c r="AD166" s="247">
        <v>1</v>
      </c>
      <c r="AE166" s="210"/>
      <c r="AF166" s="247">
        <v>1</v>
      </c>
      <c r="AG166" s="247" t="s">
        <v>364</v>
      </c>
      <c r="AH166" s="247" t="s">
        <v>609</v>
      </c>
      <c r="AI166" s="249"/>
    </row>
    <row r="167" spans="2:35" ht="50.1" customHeight="1">
      <c r="B167" s="170">
        <f>IF(D167="","",SUBTOTAL(3,$D$5:D167))</f>
        <v>47</v>
      </c>
      <c r="C167" s="171" t="s">
        <v>798</v>
      </c>
      <c r="D167" s="281" t="s">
        <v>610</v>
      </c>
      <c r="E167" s="167" t="s">
        <v>103</v>
      </c>
      <c r="F167" s="286" t="s">
        <v>611</v>
      </c>
      <c r="G167" s="168" t="s">
        <v>1902</v>
      </c>
      <c r="H167" s="168" t="s">
        <v>1222</v>
      </c>
      <c r="I167" s="287" t="s">
        <v>1223</v>
      </c>
      <c r="J167" s="247" t="s">
        <v>1</v>
      </c>
      <c r="K167" s="247" t="s">
        <v>1353</v>
      </c>
      <c r="L167" s="247">
        <v>10</v>
      </c>
      <c r="M167" s="250" t="s">
        <v>459</v>
      </c>
      <c r="N167" s="255"/>
      <c r="O167" s="256"/>
      <c r="P167" s="256"/>
      <c r="Q167" s="256"/>
      <c r="R167" s="256"/>
      <c r="S167" s="256"/>
      <c r="T167" s="256"/>
      <c r="U167" s="256"/>
      <c r="V167" s="256"/>
      <c r="W167" s="256"/>
      <c r="X167" s="256"/>
      <c r="Y167" s="257"/>
      <c r="Z167" s="256"/>
      <c r="AA167" s="256"/>
      <c r="AB167" s="258"/>
      <c r="AC167" s="258"/>
      <c r="AD167" s="247">
        <v>1</v>
      </c>
      <c r="AE167" s="210"/>
      <c r="AF167" s="247">
        <v>1</v>
      </c>
      <c r="AG167" s="247" t="s">
        <v>1156</v>
      </c>
      <c r="AH167" s="247" t="s">
        <v>611</v>
      </c>
      <c r="AI167" s="249"/>
    </row>
    <row r="168" spans="2:35" ht="50.1" customHeight="1">
      <c r="B168" s="170">
        <f>IF(D168="","",SUBTOTAL(3,$D$5:D168))</f>
        <v>48</v>
      </c>
      <c r="C168" s="171" t="s">
        <v>799</v>
      </c>
      <c r="D168" s="281" t="s">
        <v>612</v>
      </c>
      <c r="E168" s="167" t="s">
        <v>103</v>
      </c>
      <c r="F168" s="286" t="s">
        <v>613</v>
      </c>
      <c r="G168" s="168" t="s">
        <v>1902</v>
      </c>
      <c r="H168" s="168" t="s">
        <v>1222</v>
      </c>
      <c r="I168" s="287" t="s">
        <v>1223</v>
      </c>
      <c r="J168" s="247" t="s">
        <v>614</v>
      </c>
      <c r="K168" s="247" t="s">
        <v>1354</v>
      </c>
      <c r="L168" s="247">
        <v>10</v>
      </c>
      <c r="M168" s="250" t="s">
        <v>459</v>
      </c>
      <c r="N168" s="255"/>
      <c r="O168" s="256"/>
      <c r="P168" s="256"/>
      <c r="Q168" s="256"/>
      <c r="R168" s="256"/>
      <c r="S168" s="256"/>
      <c r="T168" s="256"/>
      <c r="U168" s="256"/>
      <c r="V168" s="256"/>
      <c r="W168" s="256"/>
      <c r="X168" s="256"/>
      <c r="Y168" s="257"/>
      <c r="Z168" s="256"/>
      <c r="AA168" s="256"/>
      <c r="AB168" s="258"/>
      <c r="AC168" s="258"/>
      <c r="AD168" s="247" t="s">
        <v>1166</v>
      </c>
      <c r="AE168" s="210"/>
      <c r="AF168" s="247" t="s">
        <v>1166</v>
      </c>
      <c r="AG168" s="247">
        <v>3</v>
      </c>
      <c r="AH168" s="247" t="s">
        <v>613</v>
      </c>
      <c r="AI168" s="249"/>
    </row>
    <row r="169" spans="2:35" ht="50.1" customHeight="1">
      <c r="B169" s="170">
        <f>IF(D169="","",SUBTOTAL(3,$D$5:D169))</f>
        <v>49</v>
      </c>
      <c r="C169" s="171" t="s">
        <v>800</v>
      </c>
      <c r="D169" s="281" t="s">
        <v>615</v>
      </c>
      <c r="E169" s="167" t="s">
        <v>103</v>
      </c>
      <c r="F169" s="286" t="s">
        <v>616</v>
      </c>
      <c r="G169" s="168" t="s">
        <v>1914</v>
      </c>
      <c r="H169" s="168" t="s">
        <v>107</v>
      </c>
      <c r="I169" s="287" t="s">
        <v>1427</v>
      </c>
      <c r="J169" s="247" t="s">
        <v>485</v>
      </c>
      <c r="K169" s="247" t="s">
        <v>1355</v>
      </c>
      <c r="L169" s="247">
        <v>10</v>
      </c>
      <c r="M169" s="250" t="s">
        <v>459</v>
      </c>
      <c r="N169" s="255"/>
      <c r="O169" s="256"/>
      <c r="P169" s="256"/>
      <c r="Q169" s="256"/>
      <c r="R169" s="256"/>
      <c r="S169" s="256"/>
      <c r="T169" s="256"/>
      <c r="U169" s="256"/>
      <c r="V169" s="256"/>
      <c r="W169" s="256"/>
      <c r="X169" s="256"/>
      <c r="Y169" s="257"/>
      <c r="Z169" s="256" t="s">
        <v>95</v>
      </c>
      <c r="AA169" s="256"/>
      <c r="AB169" s="258"/>
      <c r="AC169" s="258"/>
      <c r="AD169" s="247" t="s">
        <v>1426</v>
      </c>
      <c r="AE169" s="210"/>
      <c r="AF169" s="247" t="s">
        <v>1166</v>
      </c>
      <c r="AG169" s="247">
        <v>2</v>
      </c>
      <c r="AH169" s="247" t="s">
        <v>616</v>
      </c>
      <c r="AI169" s="249" t="s">
        <v>95</v>
      </c>
    </row>
    <row r="170" spans="2:35" ht="50.1" customHeight="1">
      <c r="B170" s="170">
        <f>IF(D170="","",SUBTOTAL(3,$D$5:D170))</f>
        <v>50</v>
      </c>
      <c r="C170" s="171" t="s">
        <v>801</v>
      </c>
      <c r="D170" s="281" t="s">
        <v>617</v>
      </c>
      <c r="E170" s="167" t="s">
        <v>103</v>
      </c>
      <c r="F170" s="287" t="s">
        <v>607</v>
      </c>
      <c r="G170" s="168" t="s">
        <v>1902</v>
      </c>
      <c r="H170" s="168" t="s">
        <v>1222</v>
      </c>
      <c r="I170" s="287" t="s">
        <v>1223</v>
      </c>
      <c r="J170" s="168" t="s">
        <v>1</v>
      </c>
      <c r="K170" s="168" t="s">
        <v>1356</v>
      </c>
      <c r="L170" s="168">
        <v>10</v>
      </c>
      <c r="M170" s="172" t="s">
        <v>459</v>
      </c>
      <c r="N170" s="255"/>
      <c r="O170" s="256"/>
      <c r="P170" s="256"/>
      <c r="Q170" s="256"/>
      <c r="R170" s="256"/>
      <c r="S170" s="256"/>
      <c r="T170" s="256"/>
      <c r="U170" s="256"/>
      <c r="V170" s="256"/>
      <c r="W170" s="256"/>
      <c r="X170" s="256"/>
      <c r="Y170" s="257"/>
      <c r="Z170" s="256"/>
      <c r="AA170" s="256"/>
      <c r="AB170" s="258"/>
      <c r="AC170" s="258"/>
      <c r="AD170" s="168">
        <v>1</v>
      </c>
      <c r="AE170" s="210"/>
      <c r="AF170" s="168">
        <v>1</v>
      </c>
      <c r="AG170" s="168">
        <v>1</v>
      </c>
      <c r="AH170" s="168" t="s">
        <v>607</v>
      </c>
      <c r="AI170" s="249"/>
    </row>
    <row r="171" spans="2:35" ht="50.1" customHeight="1">
      <c r="B171" s="170">
        <f>IF(D171="","",SUBTOTAL(3,$D$5:D171))</f>
        <v>51</v>
      </c>
      <c r="C171" s="171" t="s">
        <v>802</v>
      </c>
      <c r="D171" s="281" t="s">
        <v>618</v>
      </c>
      <c r="E171" s="167" t="s">
        <v>103</v>
      </c>
      <c r="F171" s="287" t="s">
        <v>607</v>
      </c>
      <c r="G171" s="168" t="s">
        <v>1902</v>
      </c>
      <c r="H171" s="168" t="s">
        <v>115</v>
      </c>
      <c r="I171" s="287" t="s">
        <v>463</v>
      </c>
      <c r="J171" s="168" t="s">
        <v>1</v>
      </c>
      <c r="K171" s="168" t="s">
        <v>1356</v>
      </c>
      <c r="L171" s="168">
        <v>10</v>
      </c>
      <c r="M171" s="172" t="s">
        <v>459</v>
      </c>
      <c r="N171" s="255"/>
      <c r="O171" s="256"/>
      <c r="P171" s="256"/>
      <c r="Q171" s="256"/>
      <c r="R171" s="256"/>
      <c r="S171" s="256"/>
      <c r="T171" s="256"/>
      <c r="U171" s="256"/>
      <c r="V171" s="256"/>
      <c r="W171" s="256"/>
      <c r="X171" s="256"/>
      <c r="Y171" s="257"/>
      <c r="Z171" s="256"/>
      <c r="AA171" s="256"/>
      <c r="AB171" s="258"/>
      <c r="AC171" s="258"/>
      <c r="AD171" s="168">
        <v>1</v>
      </c>
      <c r="AE171" s="210"/>
      <c r="AF171" s="168">
        <v>1</v>
      </c>
      <c r="AG171" s="168">
        <v>1</v>
      </c>
      <c r="AH171" s="168" t="s">
        <v>607</v>
      </c>
      <c r="AI171" s="249"/>
    </row>
    <row r="172" spans="2:35" ht="50.1" customHeight="1">
      <c r="B172" s="170">
        <f>IF(D172="","",SUBTOTAL(3,$D$5:D172))</f>
        <v>52</v>
      </c>
      <c r="C172" s="171" t="s">
        <v>803</v>
      </c>
      <c r="D172" s="281" t="s">
        <v>619</v>
      </c>
      <c r="E172" s="167" t="s">
        <v>103</v>
      </c>
      <c r="F172" s="287" t="s">
        <v>860</v>
      </c>
      <c r="G172" s="168" t="s">
        <v>1902</v>
      </c>
      <c r="H172" s="168" t="s">
        <v>1222</v>
      </c>
      <c r="I172" s="287" t="s">
        <v>1223</v>
      </c>
      <c r="J172" s="168" t="s">
        <v>1</v>
      </c>
      <c r="K172" s="168" t="s">
        <v>1357</v>
      </c>
      <c r="L172" s="168">
        <v>10</v>
      </c>
      <c r="M172" s="172" t="s">
        <v>459</v>
      </c>
      <c r="N172" s="255"/>
      <c r="O172" s="256"/>
      <c r="P172" s="256"/>
      <c r="Q172" s="256"/>
      <c r="R172" s="256"/>
      <c r="S172" s="256"/>
      <c r="T172" s="256"/>
      <c r="U172" s="256"/>
      <c r="V172" s="256"/>
      <c r="W172" s="256"/>
      <c r="X172" s="256"/>
      <c r="Y172" s="257"/>
      <c r="Z172" s="256"/>
      <c r="AA172" s="256"/>
      <c r="AB172" s="258"/>
      <c r="AC172" s="258"/>
      <c r="AD172" s="168">
        <v>2</v>
      </c>
      <c r="AE172" s="210"/>
      <c r="AF172" s="168">
        <v>2</v>
      </c>
      <c r="AG172" s="168">
        <v>1</v>
      </c>
      <c r="AH172" s="168" t="s">
        <v>860</v>
      </c>
      <c r="AI172" s="249"/>
    </row>
    <row r="173" spans="2:35" ht="50.1" customHeight="1">
      <c r="B173" s="170">
        <f>IF(D173="","",SUBTOTAL(3,$D$5:D173))</f>
        <v>53</v>
      </c>
      <c r="C173" s="171" t="s">
        <v>804</v>
      </c>
      <c r="D173" s="281" t="s">
        <v>620</v>
      </c>
      <c r="E173" s="167" t="s">
        <v>103</v>
      </c>
      <c r="F173" s="287" t="s">
        <v>859</v>
      </c>
      <c r="G173" s="168" t="s">
        <v>1902</v>
      </c>
      <c r="H173" s="168" t="s">
        <v>115</v>
      </c>
      <c r="I173" s="287" t="s">
        <v>463</v>
      </c>
      <c r="J173" s="168" t="s">
        <v>1</v>
      </c>
      <c r="K173" s="168" t="s">
        <v>1357</v>
      </c>
      <c r="L173" s="168">
        <v>10</v>
      </c>
      <c r="M173" s="172" t="s">
        <v>459</v>
      </c>
      <c r="N173" s="255"/>
      <c r="O173" s="256"/>
      <c r="P173" s="256"/>
      <c r="Q173" s="256"/>
      <c r="R173" s="256"/>
      <c r="S173" s="256"/>
      <c r="T173" s="256"/>
      <c r="U173" s="256"/>
      <c r="V173" s="256"/>
      <c r="W173" s="256"/>
      <c r="X173" s="256"/>
      <c r="Y173" s="257"/>
      <c r="Z173" s="256"/>
      <c r="AA173" s="256"/>
      <c r="AB173" s="258"/>
      <c r="AC173" s="258"/>
      <c r="AD173" s="168">
        <v>2</v>
      </c>
      <c r="AE173" s="210"/>
      <c r="AF173" s="168">
        <v>2</v>
      </c>
      <c r="AG173" s="168">
        <v>1</v>
      </c>
      <c r="AH173" s="168" t="s">
        <v>859</v>
      </c>
      <c r="AI173" s="249"/>
    </row>
    <row r="174" spans="2:35" ht="50.1" customHeight="1">
      <c r="B174" s="170">
        <f>IF(D174="","",SUBTOTAL(3,$D$5:D174))</f>
        <v>54</v>
      </c>
      <c r="C174" s="171" t="s">
        <v>805</v>
      </c>
      <c r="D174" s="281" t="s">
        <v>621</v>
      </c>
      <c r="E174" s="167" t="s">
        <v>103</v>
      </c>
      <c r="F174" s="287" t="s">
        <v>861</v>
      </c>
      <c r="G174" s="168" t="s">
        <v>1902</v>
      </c>
      <c r="H174" s="168" t="s">
        <v>622</v>
      </c>
      <c r="I174" s="287" t="s">
        <v>490</v>
      </c>
      <c r="J174" s="168" t="s">
        <v>1</v>
      </c>
      <c r="K174" s="247" t="s">
        <v>1280</v>
      </c>
      <c r="L174" s="168">
        <v>10</v>
      </c>
      <c r="M174" s="172" t="s">
        <v>459</v>
      </c>
      <c r="N174" s="255"/>
      <c r="O174" s="256"/>
      <c r="P174" s="256"/>
      <c r="Q174" s="256"/>
      <c r="R174" s="256"/>
      <c r="S174" s="256"/>
      <c r="T174" s="256"/>
      <c r="U174" s="256"/>
      <c r="V174" s="256"/>
      <c r="W174" s="256"/>
      <c r="X174" s="256"/>
      <c r="Y174" s="257"/>
      <c r="Z174" s="256"/>
      <c r="AA174" s="256"/>
      <c r="AB174" s="258"/>
      <c r="AC174" s="258"/>
      <c r="AD174" s="247" t="s">
        <v>1242</v>
      </c>
      <c r="AE174" s="210"/>
      <c r="AF174" s="168">
        <v>2</v>
      </c>
      <c r="AG174" s="168">
        <v>2</v>
      </c>
      <c r="AH174" s="168" t="s">
        <v>861</v>
      </c>
      <c r="AI174" s="249"/>
    </row>
    <row r="175" spans="2:35" ht="50.1" customHeight="1">
      <c r="B175" s="170">
        <f>IF(D175="","",SUBTOTAL(3,$D$5:D175))</f>
        <v>55</v>
      </c>
      <c r="C175" s="171" t="s">
        <v>806</v>
      </c>
      <c r="D175" s="281" t="s">
        <v>623</v>
      </c>
      <c r="E175" s="167" t="s">
        <v>103</v>
      </c>
      <c r="F175" s="287" t="s">
        <v>862</v>
      </c>
      <c r="G175" s="168" t="s">
        <v>1902</v>
      </c>
      <c r="H175" s="168" t="s">
        <v>1222</v>
      </c>
      <c r="I175" s="287" t="s">
        <v>1223</v>
      </c>
      <c r="J175" s="168" t="s">
        <v>1</v>
      </c>
      <c r="K175" s="247" t="s">
        <v>1280</v>
      </c>
      <c r="L175" s="168">
        <v>10</v>
      </c>
      <c r="M175" s="172" t="s">
        <v>459</v>
      </c>
      <c r="N175" s="255"/>
      <c r="O175" s="256"/>
      <c r="P175" s="256"/>
      <c r="Q175" s="256"/>
      <c r="R175" s="256"/>
      <c r="S175" s="256"/>
      <c r="T175" s="256"/>
      <c r="U175" s="256"/>
      <c r="V175" s="256"/>
      <c r="W175" s="256"/>
      <c r="X175" s="256"/>
      <c r="Y175" s="257"/>
      <c r="Z175" s="256"/>
      <c r="AA175" s="256"/>
      <c r="AB175" s="258"/>
      <c r="AC175" s="258"/>
      <c r="AD175" s="168" t="s">
        <v>1242</v>
      </c>
      <c r="AE175" s="210"/>
      <c r="AF175" s="168">
        <v>2</v>
      </c>
      <c r="AG175" s="168">
        <v>2</v>
      </c>
      <c r="AH175" s="168" t="s">
        <v>862</v>
      </c>
      <c r="AI175" s="249"/>
    </row>
    <row r="176" spans="2:35" ht="50.1" customHeight="1">
      <c r="B176" s="170">
        <f>IF(D176="","",SUBTOTAL(3,$D$5:D176))</f>
        <v>56</v>
      </c>
      <c r="C176" s="171" t="s">
        <v>807</v>
      </c>
      <c r="D176" s="281" t="s">
        <v>624</v>
      </c>
      <c r="E176" s="167" t="s">
        <v>103</v>
      </c>
      <c r="F176" s="287" t="s">
        <v>862</v>
      </c>
      <c r="G176" s="168" t="s">
        <v>1902</v>
      </c>
      <c r="H176" s="168" t="s">
        <v>115</v>
      </c>
      <c r="I176" s="287" t="s">
        <v>463</v>
      </c>
      <c r="J176" s="168" t="s">
        <v>1</v>
      </c>
      <c r="K176" s="168" t="s">
        <v>1283</v>
      </c>
      <c r="L176" s="168">
        <v>10</v>
      </c>
      <c r="M176" s="172" t="s">
        <v>459</v>
      </c>
      <c r="N176" s="255"/>
      <c r="O176" s="256"/>
      <c r="P176" s="256"/>
      <c r="Q176" s="256"/>
      <c r="R176" s="256"/>
      <c r="S176" s="256"/>
      <c r="T176" s="256"/>
      <c r="U176" s="256"/>
      <c r="V176" s="256"/>
      <c r="W176" s="256"/>
      <c r="X176" s="256"/>
      <c r="Y176" s="257"/>
      <c r="Z176" s="256"/>
      <c r="AA176" s="256"/>
      <c r="AB176" s="258"/>
      <c r="AC176" s="258"/>
      <c r="AD176" s="168" t="s">
        <v>1242</v>
      </c>
      <c r="AE176" s="210"/>
      <c r="AF176" s="168">
        <v>2</v>
      </c>
      <c r="AG176" s="168">
        <v>1</v>
      </c>
      <c r="AH176" s="168" t="s">
        <v>862</v>
      </c>
      <c r="AI176" s="249"/>
    </row>
    <row r="177" spans="2:35" ht="50.1" customHeight="1">
      <c r="B177" s="170">
        <f>IF(D177="","",SUBTOTAL(3,$D$5:D177))</f>
        <v>57</v>
      </c>
      <c r="C177" s="171" t="s">
        <v>808</v>
      </c>
      <c r="D177" s="281" t="s">
        <v>625</v>
      </c>
      <c r="E177" s="167" t="s">
        <v>103</v>
      </c>
      <c r="F177" s="287" t="s">
        <v>626</v>
      </c>
      <c r="G177" s="168" t="s">
        <v>1906</v>
      </c>
      <c r="H177" s="168" t="s">
        <v>544</v>
      </c>
      <c r="I177" s="287" t="s">
        <v>627</v>
      </c>
      <c r="J177" s="168" t="s">
        <v>1</v>
      </c>
      <c r="K177" s="168" t="s">
        <v>1374</v>
      </c>
      <c r="L177" s="168" t="s">
        <v>947</v>
      </c>
      <c r="M177" s="172" t="s">
        <v>459</v>
      </c>
      <c r="N177" s="255"/>
      <c r="O177" s="256"/>
      <c r="P177" s="256"/>
      <c r="Q177" s="256"/>
      <c r="R177" s="256"/>
      <c r="S177" s="256"/>
      <c r="T177" s="256"/>
      <c r="U177" s="256"/>
      <c r="V177" s="256"/>
      <c r="W177" s="256"/>
      <c r="X177" s="256"/>
      <c r="Y177" s="257"/>
      <c r="Z177" s="256"/>
      <c r="AA177" s="256"/>
      <c r="AB177" s="258"/>
      <c r="AC177" s="258"/>
      <c r="AD177" s="168">
        <v>2</v>
      </c>
      <c r="AE177" s="210"/>
      <c r="AF177" s="168">
        <v>2</v>
      </c>
      <c r="AG177" s="168">
        <v>1</v>
      </c>
      <c r="AH177" s="168" t="s">
        <v>626</v>
      </c>
      <c r="AI177" s="249"/>
    </row>
    <row r="178" spans="2:35" ht="50.1" customHeight="1">
      <c r="B178" s="170">
        <f>IF(D178="","",SUBTOTAL(3,$D$5:D178))</f>
        <v>58</v>
      </c>
      <c r="C178" s="171" t="s">
        <v>809</v>
      </c>
      <c r="D178" s="281" t="s">
        <v>628</v>
      </c>
      <c r="E178" s="167" t="s">
        <v>103</v>
      </c>
      <c r="F178" s="287" t="s">
        <v>466</v>
      </c>
      <c r="G178" s="168" t="s">
        <v>1902</v>
      </c>
      <c r="H178" s="168" t="s">
        <v>1222</v>
      </c>
      <c r="I178" s="287" t="s">
        <v>1223</v>
      </c>
      <c r="J178" s="168" t="s">
        <v>376</v>
      </c>
      <c r="K178" s="168" t="s">
        <v>1319</v>
      </c>
      <c r="L178" s="168">
        <v>10</v>
      </c>
      <c r="M178" s="172" t="s">
        <v>459</v>
      </c>
      <c r="N178" s="255"/>
      <c r="O178" s="256"/>
      <c r="P178" s="256"/>
      <c r="Q178" s="256"/>
      <c r="R178" s="256"/>
      <c r="S178" s="256"/>
      <c r="T178" s="256"/>
      <c r="U178" s="256"/>
      <c r="V178" s="256"/>
      <c r="W178" s="256"/>
      <c r="X178" s="256"/>
      <c r="Y178" s="257"/>
      <c r="Z178" s="256"/>
      <c r="AA178" s="256"/>
      <c r="AB178" s="258"/>
      <c r="AC178" s="258"/>
      <c r="AD178" s="247" t="s">
        <v>1279</v>
      </c>
      <c r="AE178" s="210"/>
      <c r="AF178" s="168" t="s">
        <v>1166</v>
      </c>
      <c r="AG178" s="168" t="s">
        <v>1166</v>
      </c>
      <c r="AH178" s="168" t="s">
        <v>466</v>
      </c>
      <c r="AI178" s="249"/>
    </row>
    <row r="179" spans="2:35" ht="50.1" customHeight="1">
      <c r="B179" s="170">
        <f>IF(D179="","",SUBTOTAL(3,$D$5:D179))</f>
        <v>59</v>
      </c>
      <c r="C179" s="171" t="s">
        <v>810</v>
      </c>
      <c r="D179" s="281" t="s">
        <v>629</v>
      </c>
      <c r="E179" s="167" t="s">
        <v>103</v>
      </c>
      <c r="F179" s="287" t="s">
        <v>466</v>
      </c>
      <c r="G179" s="168" t="s">
        <v>1862</v>
      </c>
      <c r="H179" s="168" t="s">
        <v>1222</v>
      </c>
      <c r="I179" s="287" t="s">
        <v>1223</v>
      </c>
      <c r="J179" s="168" t="s">
        <v>517</v>
      </c>
      <c r="K179" s="168" t="s">
        <v>1358</v>
      </c>
      <c r="L179" s="168">
        <v>10</v>
      </c>
      <c r="M179" s="172" t="s">
        <v>459</v>
      </c>
      <c r="N179" s="255"/>
      <c r="O179" s="256"/>
      <c r="P179" s="256"/>
      <c r="Q179" s="256"/>
      <c r="R179" s="256"/>
      <c r="S179" s="256"/>
      <c r="T179" s="256"/>
      <c r="U179" s="256"/>
      <c r="V179" s="256"/>
      <c r="W179" s="256"/>
      <c r="X179" s="256"/>
      <c r="Y179" s="257"/>
      <c r="Z179" s="256"/>
      <c r="AA179" s="256"/>
      <c r="AB179" s="258"/>
      <c r="AC179" s="258"/>
      <c r="AD179" s="247" t="s">
        <v>1279</v>
      </c>
      <c r="AE179" s="210"/>
      <c r="AF179" s="168" t="s">
        <v>1166</v>
      </c>
      <c r="AG179" s="168" t="s">
        <v>1166</v>
      </c>
      <c r="AH179" s="168" t="s">
        <v>466</v>
      </c>
      <c r="AI179" s="249"/>
    </row>
    <row r="180" spans="2:35" ht="50.1" customHeight="1">
      <c r="B180" s="170">
        <f>IF(D180="","",SUBTOTAL(3,$D$5:D180))</f>
        <v>60</v>
      </c>
      <c r="C180" s="171" t="s">
        <v>811</v>
      </c>
      <c r="D180" s="281" t="s">
        <v>630</v>
      </c>
      <c r="E180" s="167" t="s">
        <v>103</v>
      </c>
      <c r="F180" s="287" t="s">
        <v>631</v>
      </c>
      <c r="G180" s="168" t="s">
        <v>1922</v>
      </c>
      <c r="H180" s="168" t="s">
        <v>115</v>
      </c>
      <c r="I180" s="287" t="s">
        <v>632</v>
      </c>
      <c r="J180" s="168" t="s">
        <v>1</v>
      </c>
      <c r="K180" s="168" t="s">
        <v>1359</v>
      </c>
      <c r="L180" s="168" t="s">
        <v>1435</v>
      </c>
      <c r="M180" s="172" t="s">
        <v>459</v>
      </c>
      <c r="N180" s="255"/>
      <c r="O180" s="256" t="s">
        <v>356</v>
      </c>
      <c r="P180" s="256"/>
      <c r="Q180" s="256"/>
      <c r="R180" s="256"/>
      <c r="S180" s="256"/>
      <c r="T180" s="256"/>
      <c r="U180" s="256"/>
      <c r="V180" s="256"/>
      <c r="W180" s="256"/>
      <c r="X180" s="256"/>
      <c r="Y180" s="257"/>
      <c r="Z180" s="256"/>
      <c r="AA180" s="256"/>
      <c r="AB180" s="258"/>
      <c r="AC180" s="258"/>
      <c r="AD180" s="247" t="s">
        <v>986</v>
      </c>
      <c r="AE180" s="210"/>
      <c r="AF180" s="247" t="s">
        <v>1156</v>
      </c>
      <c r="AG180" s="247" t="s">
        <v>1156</v>
      </c>
      <c r="AH180" s="168" t="s">
        <v>631</v>
      </c>
      <c r="AI180" s="249"/>
    </row>
    <row r="181" spans="2:35" ht="50.1" customHeight="1">
      <c r="B181" s="170">
        <f>IF(D181="","",SUBTOTAL(3,$D$5:D181))</f>
        <v>61</v>
      </c>
      <c r="C181" s="171" t="s">
        <v>812</v>
      </c>
      <c r="D181" s="281" t="s">
        <v>633</v>
      </c>
      <c r="E181" s="167" t="s">
        <v>103</v>
      </c>
      <c r="F181" s="287" t="s">
        <v>1443</v>
      </c>
      <c r="G181" s="168" t="s">
        <v>1919</v>
      </c>
      <c r="H181" s="168" t="s">
        <v>1390</v>
      </c>
      <c r="I181" s="287" t="s">
        <v>1421</v>
      </c>
      <c r="J181" s="168" t="s">
        <v>1</v>
      </c>
      <c r="K181" s="168" t="s">
        <v>1360</v>
      </c>
      <c r="L181" s="168" t="s">
        <v>1439</v>
      </c>
      <c r="M181" s="172" t="s">
        <v>459</v>
      </c>
      <c r="N181" s="255"/>
      <c r="O181" s="256"/>
      <c r="P181" s="256" t="s">
        <v>356</v>
      </c>
      <c r="Q181" s="256" t="s">
        <v>356</v>
      </c>
      <c r="R181" s="256"/>
      <c r="S181" s="256"/>
      <c r="T181" s="256"/>
      <c r="U181" s="256"/>
      <c r="V181" s="256"/>
      <c r="W181" s="256"/>
      <c r="X181" s="256"/>
      <c r="Y181" s="257"/>
      <c r="Z181" s="256" t="s">
        <v>356</v>
      </c>
      <c r="AA181" s="256" t="s">
        <v>356</v>
      </c>
      <c r="AB181" s="258"/>
      <c r="AC181" s="258" t="s">
        <v>356</v>
      </c>
      <c r="AD181" s="247" t="s">
        <v>1242</v>
      </c>
      <c r="AE181" s="210"/>
      <c r="AF181" s="247" t="s">
        <v>1177</v>
      </c>
      <c r="AG181" s="247" t="s">
        <v>1177</v>
      </c>
      <c r="AH181" s="168" t="s">
        <v>607</v>
      </c>
      <c r="AI181" s="249" t="s">
        <v>95</v>
      </c>
    </row>
    <row r="182" spans="2:35" ht="50.1" hidden="1" customHeight="1">
      <c r="B182" s="170">
        <f>IF(D182="","",SUBTOTAL(3,$D$5:D182))</f>
        <v>61</v>
      </c>
      <c r="C182" s="171" t="s">
        <v>813</v>
      </c>
      <c r="D182" s="281" t="s">
        <v>635</v>
      </c>
      <c r="E182" s="167" t="s">
        <v>113</v>
      </c>
      <c r="F182" s="287" t="s">
        <v>638</v>
      </c>
      <c r="G182" s="168" t="s">
        <v>1901</v>
      </c>
      <c r="H182" s="168" t="s">
        <v>104</v>
      </c>
      <c r="I182" s="287" t="s">
        <v>637</v>
      </c>
      <c r="J182" s="168" t="s">
        <v>636</v>
      </c>
      <c r="K182" s="168" t="s">
        <v>1361</v>
      </c>
      <c r="L182" s="168" t="s">
        <v>1440</v>
      </c>
      <c r="M182" s="172" t="s">
        <v>467</v>
      </c>
      <c r="N182" s="255"/>
      <c r="O182" s="256"/>
      <c r="P182" s="256" t="s">
        <v>356</v>
      </c>
      <c r="Q182" s="256"/>
      <c r="R182" s="256"/>
      <c r="S182" s="256"/>
      <c r="T182" s="256"/>
      <c r="U182" s="256"/>
      <c r="V182" s="256"/>
      <c r="W182" s="256"/>
      <c r="X182" s="256"/>
      <c r="Y182" s="257"/>
      <c r="Z182" s="256"/>
      <c r="AA182" s="256"/>
      <c r="AB182" s="258"/>
      <c r="AC182" s="258"/>
      <c r="AD182" s="247" t="s">
        <v>1279</v>
      </c>
      <c r="AE182" s="210"/>
      <c r="AF182" s="247" t="s">
        <v>1166</v>
      </c>
      <c r="AG182" s="247" t="s">
        <v>1166</v>
      </c>
      <c r="AH182" s="168" t="s">
        <v>638</v>
      </c>
      <c r="AI182" s="249"/>
    </row>
    <row r="183" spans="2:35" ht="50.1" customHeight="1">
      <c r="B183" s="170">
        <f>IF(D183="","",SUBTOTAL(3,$D$5:D183))</f>
        <v>62</v>
      </c>
      <c r="C183" s="171" t="s">
        <v>814</v>
      </c>
      <c r="D183" s="281" t="s">
        <v>639</v>
      </c>
      <c r="E183" s="167" t="s">
        <v>103</v>
      </c>
      <c r="F183" s="287" t="s">
        <v>1445</v>
      </c>
      <c r="G183" s="168" t="s">
        <v>1858</v>
      </c>
      <c r="H183" s="168" t="s">
        <v>1222</v>
      </c>
      <c r="I183" s="287" t="s">
        <v>1223</v>
      </c>
      <c r="J183" s="168" t="s">
        <v>1</v>
      </c>
      <c r="K183" s="168" t="s">
        <v>1133</v>
      </c>
      <c r="L183" s="168">
        <v>12</v>
      </c>
      <c r="M183" s="172" t="s">
        <v>459</v>
      </c>
      <c r="N183" s="255"/>
      <c r="O183" s="256"/>
      <c r="P183" s="256" t="s">
        <v>356</v>
      </c>
      <c r="Q183" s="256"/>
      <c r="R183" s="256"/>
      <c r="S183" s="256"/>
      <c r="T183" s="256"/>
      <c r="U183" s="256"/>
      <c r="V183" s="256"/>
      <c r="W183" s="256"/>
      <c r="X183" s="256"/>
      <c r="Y183" s="257"/>
      <c r="Z183" s="256" t="s">
        <v>356</v>
      </c>
      <c r="AA183" s="256" t="s">
        <v>356</v>
      </c>
      <c r="AB183" s="258"/>
      <c r="AC183" s="258"/>
      <c r="AD183" s="247" t="s">
        <v>985</v>
      </c>
      <c r="AE183" s="210"/>
      <c r="AF183" s="247" t="s">
        <v>1159</v>
      </c>
      <c r="AG183" s="247" t="s">
        <v>1159</v>
      </c>
      <c r="AH183" s="168" t="s">
        <v>354</v>
      </c>
      <c r="AI183" s="249" t="s">
        <v>95</v>
      </c>
    </row>
    <row r="184" spans="2:35" ht="50.1" hidden="1" customHeight="1">
      <c r="B184" s="170">
        <f>IF(D184="","",SUBTOTAL(3,$D$5:D184))</f>
        <v>62</v>
      </c>
      <c r="C184" s="171" t="s">
        <v>815</v>
      </c>
      <c r="D184" s="281" t="s">
        <v>640</v>
      </c>
      <c r="E184" s="167" t="s">
        <v>113</v>
      </c>
      <c r="F184" s="287" t="s">
        <v>1672</v>
      </c>
      <c r="G184" s="168" t="s">
        <v>1911</v>
      </c>
      <c r="H184" s="168" t="s">
        <v>104</v>
      </c>
      <c r="I184" s="287" t="s">
        <v>641</v>
      </c>
      <c r="J184" s="168" t="s">
        <v>418</v>
      </c>
      <c r="K184" s="168" t="s">
        <v>1362</v>
      </c>
      <c r="L184" s="168">
        <v>3</v>
      </c>
      <c r="M184" s="172" t="s">
        <v>643</v>
      </c>
      <c r="N184" s="260"/>
      <c r="O184" s="167"/>
      <c r="P184" s="167" t="s">
        <v>356</v>
      </c>
      <c r="Q184" s="167"/>
      <c r="R184" s="167"/>
      <c r="S184" s="167"/>
      <c r="T184" s="167"/>
      <c r="U184" s="167"/>
      <c r="V184" s="167"/>
      <c r="W184" s="167"/>
      <c r="X184" s="167"/>
      <c r="Y184" s="261"/>
      <c r="Z184" s="167"/>
      <c r="AA184" s="167"/>
      <c r="AB184" s="262"/>
      <c r="AC184" s="262"/>
      <c r="AD184" s="247">
        <v>22</v>
      </c>
      <c r="AE184" s="210"/>
      <c r="AF184" s="247">
        <v>22</v>
      </c>
      <c r="AG184" s="247">
        <v>22</v>
      </c>
      <c r="AH184" s="168" t="s">
        <v>642</v>
      </c>
      <c r="AI184" s="249"/>
    </row>
    <row r="185" spans="2:35" ht="50.1" customHeight="1">
      <c r="B185" s="170">
        <f>IF(D185="","",SUBTOTAL(3,$D$5:D185))</f>
        <v>63</v>
      </c>
      <c r="C185" s="171" t="s">
        <v>816</v>
      </c>
      <c r="D185" s="281" t="s">
        <v>644</v>
      </c>
      <c r="E185" s="167" t="s">
        <v>103</v>
      </c>
      <c r="F185" s="287" t="s">
        <v>354</v>
      </c>
      <c r="G185" s="168" t="s">
        <v>1858</v>
      </c>
      <c r="H185" s="168" t="s">
        <v>645</v>
      </c>
      <c r="I185" s="287" t="s">
        <v>538</v>
      </c>
      <c r="J185" s="168" t="s">
        <v>1</v>
      </c>
      <c r="K185" s="168" t="s">
        <v>1133</v>
      </c>
      <c r="L185" s="168">
        <v>12</v>
      </c>
      <c r="M185" s="172" t="s">
        <v>459</v>
      </c>
      <c r="N185" s="255"/>
      <c r="O185" s="256"/>
      <c r="P185" s="256" t="s">
        <v>356</v>
      </c>
      <c r="Q185" s="256"/>
      <c r="R185" s="256"/>
      <c r="S185" s="256"/>
      <c r="T185" s="256"/>
      <c r="U185" s="256"/>
      <c r="V185" s="256"/>
      <c r="W185" s="256"/>
      <c r="X185" s="256"/>
      <c r="Y185" s="257"/>
      <c r="Z185" s="256"/>
      <c r="AA185" s="256"/>
      <c r="AB185" s="258"/>
      <c r="AC185" s="258"/>
      <c r="AD185" s="247" t="s">
        <v>985</v>
      </c>
      <c r="AE185" s="210"/>
      <c r="AF185" s="247" t="s">
        <v>1159</v>
      </c>
      <c r="AG185" s="247" t="s">
        <v>1159</v>
      </c>
      <c r="AH185" s="168" t="s">
        <v>354</v>
      </c>
      <c r="AI185" s="249"/>
    </row>
    <row r="186" spans="2:35" ht="50.1" customHeight="1">
      <c r="B186" s="170">
        <f>IF(D186="","",SUBTOTAL(3,$D$5:D186))</f>
        <v>64</v>
      </c>
      <c r="C186" s="171" t="s">
        <v>817</v>
      </c>
      <c r="D186" s="281" t="s">
        <v>646</v>
      </c>
      <c r="E186" s="167" t="s">
        <v>103</v>
      </c>
      <c r="F186" s="287" t="s">
        <v>647</v>
      </c>
      <c r="G186" s="168" t="s">
        <v>1906</v>
      </c>
      <c r="H186" s="168" t="s">
        <v>544</v>
      </c>
      <c r="I186" s="287" t="s">
        <v>627</v>
      </c>
      <c r="J186" s="168" t="s">
        <v>1</v>
      </c>
      <c r="K186" s="168" t="s">
        <v>1363</v>
      </c>
      <c r="L186" s="168" t="s">
        <v>946</v>
      </c>
      <c r="M186" s="172" t="s">
        <v>459</v>
      </c>
      <c r="N186" s="255"/>
      <c r="O186" s="256"/>
      <c r="P186" s="256"/>
      <c r="Q186" s="256"/>
      <c r="R186" s="256"/>
      <c r="S186" s="256"/>
      <c r="T186" s="256"/>
      <c r="U186" s="256"/>
      <c r="V186" s="256"/>
      <c r="W186" s="256"/>
      <c r="X186" s="256"/>
      <c r="Y186" s="257"/>
      <c r="Z186" s="256"/>
      <c r="AA186" s="256"/>
      <c r="AB186" s="258"/>
      <c r="AC186" s="258"/>
      <c r="AD186" s="247" t="s">
        <v>1159</v>
      </c>
      <c r="AE186" s="210"/>
      <c r="AF186" s="247" t="s">
        <v>1159</v>
      </c>
      <c r="AG186" s="247" t="s">
        <v>648</v>
      </c>
      <c r="AH186" s="168" t="s">
        <v>647</v>
      </c>
      <c r="AI186" s="249"/>
    </row>
    <row r="187" spans="2:35" ht="50.1" hidden="1" customHeight="1">
      <c r="B187" s="170">
        <f>IF(D187="","",SUBTOTAL(3,$D$5:D187))</f>
        <v>64</v>
      </c>
      <c r="C187" s="171" t="s">
        <v>818</v>
      </c>
      <c r="D187" s="281" t="s">
        <v>649</v>
      </c>
      <c r="E187" s="167" t="s">
        <v>113</v>
      </c>
      <c r="F187" s="287" t="s">
        <v>650</v>
      </c>
      <c r="G187" s="168" t="s">
        <v>1900</v>
      </c>
      <c r="H187" s="168" t="s">
        <v>104</v>
      </c>
      <c r="I187" s="287" t="s">
        <v>475</v>
      </c>
      <c r="J187" s="168" t="s">
        <v>371</v>
      </c>
      <c r="K187" s="168" t="s">
        <v>1364</v>
      </c>
      <c r="L187" s="168">
        <v>2</v>
      </c>
      <c r="M187" s="172" t="s">
        <v>487</v>
      </c>
      <c r="N187" s="255"/>
      <c r="O187" s="256"/>
      <c r="P187" s="256"/>
      <c r="Q187" s="256"/>
      <c r="R187" s="256"/>
      <c r="S187" s="256"/>
      <c r="T187" s="256"/>
      <c r="U187" s="256"/>
      <c r="V187" s="256"/>
      <c r="W187" s="256"/>
      <c r="X187" s="256"/>
      <c r="Y187" s="257"/>
      <c r="Z187" s="256"/>
      <c r="AA187" s="256"/>
      <c r="AB187" s="258"/>
      <c r="AC187" s="258"/>
      <c r="AD187" s="247" t="s">
        <v>1278</v>
      </c>
      <c r="AE187" s="210"/>
      <c r="AF187" s="247" t="s">
        <v>1156</v>
      </c>
      <c r="AG187" s="247" t="s">
        <v>578</v>
      </c>
      <c r="AH187" s="168" t="s">
        <v>650</v>
      </c>
      <c r="AI187" s="249"/>
    </row>
    <row r="188" spans="2:35" ht="50.1" hidden="1" customHeight="1">
      <c r="B188" s="170">
        <f>IF(D188="","",SUBTOTAL(3,$D$5:D188))</f>
        <v>64</v>
      </c>
      <c r="C188" s="171" t="s">
        <v>819</v>
      </c>
      <c r="D188" s="281" t="s">
        <v>651</v>
      </c>
      <c r="E188" s="167" t="s">
        <v>652</v>
      </c>
      <c r="F188" s="287" t="s">
        <v>378</v>
      </c>
      <c r="G188" s="168" t="s">
        <v>1898</v>
      </c>
      <c r="H188" s="168" t="s">
        <v>544</v>
      </c>
      <c r="I188" s="287" t="s">
        <v>475</v>
      </c>
      <c r="J188" s="168" t="s">
        <v>371</v>
      </c>
      <c r="K188" s="168" t="s">
        <v>1311</v>
      </c>
      <c r="L188" s="168">
        <v>2</v>
      </c>
      <c r="M188" s="172" t="s">
        <v>653</v>
      </c>
      <c r="N188" s="255"/>
      <c r="O188" s="256"/>
      <c r="P188" s="256" t="s">
        <v>356</v>
      </c>
      <c r="Q188" s="256"/>
      <c r="R188" s="256"/>
      <c r="S188" s="256"/>
      <c r="T188" s="256"/>
      <c r="U188" s="256"/>
      <c r="V188" s="256"/>
      <c r="W188" s="256"/>
      <c r="X188" s="256"/>
      <c r="Y188" s="257"/>
      <c r="Z188" s="256" t="s">
        <v>356</v>
      </c>
      <c r="AA188" s="256" t="s">
        <v>356</v>
      </c>
      <c r="AB188" s="258"/>
      <c r="AC188" s="258"/>
      <c r="AD188" s="247" t="s">
        <v>1279</v>
      </c>
      <c r="AE188" s="210"/>
      <c r="AF188" s="247" t="s">
        <v>578</v>
      </c>
      <c r="AG188" s="247" t="s">
        <v>578</v>
      </c>
      <c r="AH188" s="168" t="s">
        <v>378</v>
      </c>
      <c r="AI188" s="249"/>
    </row>
    <row r="189" spans="2:35" ht="50.1" customHeight="1">
      <c r="B189" s="170">
        <f>IF(D189="","",SUBTOTAL(3,$D$5:D189))</f>
        <v>65</v>
      </c>
      <c r="C189" s="171" t="s">
        <v>820</v>
      </c>
      <c r="D189" s="281" t="s">
        <v>654</v>
      </c>
      <c r="E189" s="167" t="s">
        <v>103</v>
      </c>
      <c r="F189" s="287" t="s">
        <v>1365</v>
      </c>
      <c r="G189" s="168" t="s">
        <v>1899</v>
      </c>
      <c r="H189" s="168" t="s">
        <v>1390</v>
      </c>
      <c r="I189" s="287" t="s">
        <v>1422</v>
      </c>
      <c r="J189" s="168" t="s">
        <v>1</v>
      </c>
      <c r="K189" s="168" t="s">
        <v>1365</v>
      </c>
      <c r="L189" s="168">
        <v>10</v>
      </c>
      <c r="M189" s="172" t="s">
        <v>459</v>
      </c>
      <c r="N189" s="255"/>
      <c r="O189" s="256"/>
      <c r="P189" s="256" t="s">
        <v>356</v>
      </c>
      <c r="Q189" s="256"/>
      <c r="R189" s="256"/>
      <c r="S189" s="256"/>
      <c r="T189" s="256"/>
      <c r="U189" s="256"/>
      <c r="V189" s="256"/>
      <c r="W189" s="256"/>
      <c r="X189" s="256"/>
      <c r="Y189" s="257"/>
      <c r="Z189" s="256" t="s">
        <v>356</v>
      </c>
      <c r="AA189" s="256" t="s">
        <v>356</v>
      </c>
      <c r="AB189" s="258"/>
      <c r="AC189" s="258" t="s">
        <v>356</v>
      </c>
      <c r="AD189" s="247" t="s">
        <v>1296</v>
      </c>
      <c r="AE189" s="210"/>
      <c r="AF189" s="247" t="s">
        <v>656</v>
      </c>
      <c r="AG189" s="247" t="s">
        <v>648</v>
      </c>
      <c r="AH189" s="168" t="s">
        <v>655</v>
      </c>
      <c r="AI189" s="249" t="s">
        <v>95</v>
      </c>
    </row>
    <row r="190" spans="2:35" ht="50.1" customHeight="1">
      <c r="B190" s="170">
        <f>IF(D190="","",SUBTOTAL(3,$D$5:D190))</f>
        <v>66</v>
      </c>
      <c r="C190" s="171" t="s">
        <v>1153</v>
      </c>
      <c r="D190" s="281" t="s">
        <v>1152</v>
      </c>
      <c r="E190" s="167" t="s">
        <v>103</v>
      </c>
      <c r="F190" s="287" t="s">
        <v>1444</v>
      </c>
      <c r="G190" s="168" t="s">
        <v>1907</v>
      </c>
      <c r="H190" s="168" t="s">
        <v>1222</v>
      </c>
      <c r="I190" s="287" t="s">
        <v>1422</v>
      </c>
      <c r="J190" s="168" t="s">
        <v>1</v>
      </c>
      <c r="K190" s="168" t="s">
        <v>1136</v>
      </c>
      <c r="L190" s="168">
        <v>25</v>
      </c>
      <c r="M190" s="172" t="s">
        <v>459</v>
      </c>
      <c r="N190" s="255"/>
      <c r="O190" s="256"/>
      <c r="P190" s="256"/>
      <c r="Q190" s="256"/>
      <c r="R190" s="256"/>
      <c r="S190" s="256"/>
      <c r="T190" s="256"/>
      <c r="U190" s="256"/>
      <c r="V190" s="256"/>
      <c r="W190" s="256"/>
      <c r="X190" s="256"/>
      <c r="Y190" s="257"/>
      <c r="Z190" s="256" t="s">
        <v>356</v>
      </c>
      <c r="AA190" s="256" t="s">
        <v>356</v>
      </c>
      <c r="AB190" s="258"/>
      <c r="AC190" s="258" t="s">
        <v>356</v>
      </c>
      <c r="AD190" s="247" t="s">
        <v>986</v>
      </c>
      <c r="AE190" s="210"/>
      <c r="AF190" s="247" t="s">
        <v>1156</v>
      </c>
      <c r="AG190" s="247" t="s">
        <v>1156</v>
      </c>
      <c r="AH190" s="168" t="s">
        <v>1136</v>
      </c>
      <c r="AI190" s="249" t="s">
        <v>95</v>
      </c>
    </row>
    <row r="191" spans="2:35" ht="50.1" customHeight="1">
      <c r="B191" s="170">
        <f>IF(D191="","",SUBTOTAL(3,$D$5:D191))</f>
        <v>67</v>
      </c>
      <c r="C191" s="171" t="s">
        <v>1158</v>
      </c>
      <c r="D191" s="281" t="s">
        <v>1157</v>
      </c>
      <c r="E191" s="167" t="s">
        <v>103</v>
      </c>
      <c r="F191" s="287" t="s">
        <v>1140</v>
      </c>
      <c r="G191" s="168" t="s">
        <v>1387</v>
      </c>
      <c r="H191" s="168" t="s">
        <v>1222</v>
      </c>
      <c r="I191" s="287" t="s">
        <v>1223</v>
      </c>
      <c r="J191" s="168" t="s">
        <v>1</v>
      </c>
      <c r="K191" s="168" t="s">
        <v>1140</v>
      </c>
      <c r="L191" s="168">
        <v>25</v>
      </c>
      <c r="M191" s="172" t="s">
        <v>459</v>
      </c>
      <c r="N191" s="255"/>
      <c r="O191" s="256"/>
      <c r="P191" s="256"/>
      <c r="Q191" s="256"/>
      <c r="R191" s="256"/>
      <c r="S191" s="256"/>
      <c r="T191" s="256"/>
      <c r="U191" s="256"/>
      <c r="V191" s="256"/>
      <c r="W191" s="256"/>
      <c r="X191" s="256"/>
      <c r="Y191" s="257"/>
      <c r="Z191" s="256" t="s">
        <v>356</v>
      </c>
      <c r="AA191" s="256" t="s">
        <v>356</v>
      </c>
      <c r="AB191" s="258"/>
      <c r="AC191" s="258"/>
      <c r="AD191" s="247" t="s">
        <v>1276</v>
      </c>
      <c r="AE191" s="210"/>
      <c r="AF191" s="247" t="s">
        <v>1156</v>
      </c>
      <c r="AG191" s="247" t="s">
        <v>1159</v>
      </c>
      <c r="AH191" s="168" t="s">
        <v>1140</v>
      </c>
      <c r="AI191" s="249" t="s">
        <v>95</v>
      </c>
    </row>
    <row r="192" spans="2:35" ht="50.1" hidden="1" customHeight="1">
      <c r="B192" s="170">
        <f>IF(D192="","",SUBTOTAL(3,$D$5:D192))</f>
        <v>67</v>
      </c>
      <c r="C192" s="171" t="s">
        <v>1160</v>
      </c>
      <c r="D192" s="281" t="s">
        <v>1161</v>
      </c>
      <c r="E192" s="167" t="s">
        <v>103</v>
      </c>
      <c r="F192" s="287" t="s">
        <v>1162</v>
      </c>
      <c r="G192" s="168" t="s">
        <v>1915</v>
      </c>
      <c r="H192" s="168" t="s">
        <v>1222</v>
      </c>
      <c r="I192" s="287" t="s">
        <v>1397</v>
      </c>
      <c r="J192" s="168" t="s">
        <v>423</v>
      </c>
      <c r="K192" s="168" t="s">
        <v>1162</v>
      </c>
      <c r="L192" s="168">
        <v>12</v>
      </c>
      <c r="M192" s="172" t="s">
        <v>467</v>
      </c>
      <c r="N192" s="255"/>
      <c r="O192" s="256"/>
      <c r="P192" s="256"/>
      <c r="Q192" s="256"/>
      <c r="R192" s="256"/>
      <c r="S192" s="256"/>
      <c r="T192" s="256"/>
      <c r="U192" s="256"/>
      <c r="V192" s="256"/>
      <c r="W192" s="256"/>
      <c r="X192" s="256"/>
      <c r="Y192" s="257"/>
      <c r="Z192" s="256" t="s">
        <v>356</v>
      </c>
      <c r="AA192" s="256" t="s">
        <v>356</v>
      </c>
      <c r="AB192" s="258"/>
      <c r="AC192" s="258" t="s">
        <v>356</v>
      </c>
      <c r="AD192" s="247" t="s">
        <v>979</v>
      </c>
      <c r="AE192" s="210"/>
      <c r="AF192" s="247" t="s">
        <v>1166</v>
      </c>
      <c r="AG192" s="247" t="s">
        <v>1156</v>
      </c>
      <c r="AH192" s="168" t="s">
        <v>1162</v>
      </c>
      <c r="AI192" s="249" t="s">
        <v>95</v>
      </c>
    </row>
    <row r="193" spans="2:35" ht="50.1" customHeight="1">
      <c r="B193" s="170">
        <f>IF(D193="","",SUBTOTAL(3,$D$5:D193))</f>
        <v>68</v>
      </c>
      <c r="C193" s="171" t="s">
        <v>1164</v>
      </c>
      <c r="D193" s="281" t="s">
        <v>1163</v>
      </c>
      <c r="E193" s="167" t="s">
        <v>103</v>
      </c>
      <c r="F193" s="287" t="s">
        <v>1446</v>
      </c>
      <c r="G193" s="168" t="s">
        <v>1387</v>
      </c>
      <c r="H193" s="168" t="s">
        <v>1222</v>
      </c>
      <c r="I193" s="287" t="s">
        <v>1223</v>
      </c>
      <c r="J193" s="168" t="s">
        <v>1</v>
      </c>
      <c r="K193" s="168" t="s">
        <v>1165</v>
      </c>
      <c r="L193" s="168">
        <v>25</v>
      </c>
      <c r="M193" s="172" t="s">
        <v>459</v>
      </c>
      <c r="N193" s="255"/>
      <c r="O193" s="256"/>
      <c r="P193" s="256"/>
      <c r="Q193" s="256"/>
      <c r="R193" s="256"/>
      <c r="S193" s="256"/>
      <c r="T193" s="256"/>
      <c r="U193" s="256"/>
      <c r="V193" s="256"/>
      <c r="W193" s="256"/>
      <c r="X193" s="256"/>
      <c r="Y193" s="257"/>
      <c r="Z193" s="256" t="s">
        <v>356</v>
      </c>
      <c r="AA193" s="256" t="s">
        <v>356</v>
      </c>
      <c r="AB193" s="258"/>
      <c r="AC193" s="258"/>
      <c r="AD193" s="247" t="s">
        <v>986</v>
      </c>
      <c r="AE193" s="210"/>
      <c r="AF193" s="247" t="s">
        <v>1156</v>
      </c>
      <c r="AG193" s="247" t="s">
        <v>1156</v>
      </c>
      <c r="AH193" s="168" t="s">
        <v>1165</v>
      </c>
      <c r="AI193" s="249" t="s">
        <v>95</v>
      </c>
    </row>
    <row r="194" spans="2:35" ht="50.1" customHeight="1">
      <c r="B194" s="170">
        <f>IF(D194="","",SUBTOTAL(3,$D$5:D194))</f>
        <v>69</v>
      </c>
      <c r="C194" s="171" t="s">
        <v>1168</v>
      </c>
      <c r="D194" s="281" t="s">
        <v>1167</v>
      </c>
      <c r="E194" s="167" t="s">
        <v>103</v>
      </c>
      <c r="F194" s="287" t="s">
        <v>1169</v>
      </c>
      <c r="G194" s="168" t="s">
        <v>1907</v>
      </c>
      <c r="H194" s="168" t="s">
        <v>1222</v>
      </c>
      <c r="I194" s="287" t="s">
        <v>1422</v>
      </c>
      <c r="J194" s="168" t="s">
        <v>1</v>
      </c>
      <c r="K194" s="168" t="s">
        <v>1169</v>
      </c>
      <c r="L194" s="168">
        <v>25</v>
      </c>
      <c r="M194" s="172" t="s">
        <v>459</v>
      </c>
      <c r="N194" s="255"/>
      <c r="O194" s="256"/>
      <c r="P194" s="256"/>
      <c r="Q194" s="256"/>
      <c r="R194" s="256"/>
      <c r="S194" s="256"/>
      <c r="T194" s="256"/>
      <c r="U194" s="256"/>
      <c r="V194" s="256"/>
      <c r="W194" s="256"/>
      <c r="X194" s="256"/>
      <c r="Y194" s="257"/>
      <c r="Z194" s="256" t="s">
        <v>356</v>
      </c>
      <c r="AA194" s="256" t="s">
        <v>356</v>
      </c>
      <c r="AB194" s="258"/>
      <c r="AC194" s="258" t="s">
        <v>356</v>
      </c>
      <c r="AD194" s="247" t="s">
        <v>986</v>
      </c>
      <c r="AE194" s="210"/>
      <c r="AF194" s="247" t="s">
        <v>1156</v>
      </c>
      <c r="AG194" s="247" t="s">
        <v>1156</v>
      </c>
      <c r="AH194" s="168" t="s">
        <v>1169</v>
      </c>
      <c r="AI194" s="249" t="s">
        <v>95</v>
      </c>
    </row>
    <row r="195" spans="2:35" ht="50.1" customHeight="1">
      <c r="B195" s="170">
        <f>IF(D195="","",SUBTOTAL(3,$D$5:D195))</f>
        <v>70</v>
      </c>
      <c r="C195" s="171" t="s">
        <v>1171</v>
      </c>
      <c r="D195" s="281" t="s">
        <v>1170</v>
      </c>
      <c r="E195" s="167" t="s">
        <v>103</v>
      </c>
      <c r="F195" s="287" t="s">
        <v>1172</v>
      </c>
      <c r="G195" s="168" t="s">
        <v>1387</v>
      </c>
      <c r="H195" s="168" t="s">
        <v>1222</v>
      </c>
      <c r="I195" s="287" t="s">
        <v>1223</v>
      </c>
      <c r="J195" s="168" t="s">
        <v>1</v>
      </c>
      <c r="K195" s="168" t="s">
        <v>1172</v>
      </c>
      <c r="L195" s="168">
        <v>25</v>
      </c>
      <c r="M195" s="172" t="s">
        <v>459</v>
      </c>
      <c r="N195" s="255"/>
      <c r="O195" s="256"/>
      <c r="P195" s="256"/>
      <c r="Q195" s="256"/>
      <c r="R195" s="256"/>
      <c r="S195" s="256"/>
      <c r="T195" s="256"/>
      <c r="U195" s="256"/>
      <c r="V195" s="256"/>
      <c r="W195" s="256"/>
      <c r="X195" s="256"/>
      <c r="Y195" s="257"/>
      <c r="Z195" s="256" t="s">
        <v>356</v>
      </c>
      <c r="AA195" s="256" t="s">
        <v>356</v>
      </c>
      <c r="AB195" s="258"/>
      <c r="AC195" s="258"/>
      <c r="AD195" s="247" t="s">
        <v>1276</v>
      </c>
      <c r="AE195" s="210"/>
      <c r="AF195" s="247" t="s">
        <v>1156</v>
      </c>
      <c r="AG195" s="247" t="s">
        <v>1159</v>
      </c>
      <c r="AH195" s="168" t="s">
        <v>1172</v>
      </c>
      <c r="AI195" s="249" t="s">
        <v>95</v>
      </c>
    </row>
    <row r="196" spans="2:35" ht="50.1" customHeight="1">
      <c r="B196" s="170">
        <f>IF(D196="","",SUBTOTAL(3,$D$5:D196))</f>
        <v>71</v>
      </c>
      <c r="C196" s="171" t="s">
        <v>1174</v>
      </c>
      <c r="D196" s="281" t="s">
        <v>1173</v>
      </c>
      <c r="E196" s="167" t="s">
        <v>103</v>
      </c>
      <c r="F196" s="287" t="s">
        <v>1175</v>
      </c>
      <c r="G196" s="168" t="s">
        <v>1387</v>
      </c>
      <c r="H196" s="168" t="s">
        <v>1222</v>
      </c>
      <c r="I196" s="287" t="s">
        <v>1223</v>
      </c>
      <c r="J196" s="168" t="s">
        <v>1</v>
      </c>
      <c r="K196" s="168" t="s">
        <v>1175</v>
      </c>
      <c r="L196" s="168">
        <v>25</v>
      </c>
      <c r="M196" s="172" t="s">
        <v>459</v>
      </c>
      <c r="N196" s="255"/>
      <c r="O196" s="256"/>
      <c r="P196" s="256"/>
      <c r="Q196" s="256"/>
      <c r="R196" s="256"/>
      <c r="S196" s="256"/>
      <c r="T196" s="256"/>
      <c r="U196" s="256"/>
      <c r="V196" s="256"/>
      <c r="W196" s="256"/>
      <c r="X196" s="256"/>
      <c r="Y196" s="257"/>
      <c r="Z196" s="256" t="s">
        <v>356</v>
      </c>
      <c r="AA196" s="256"/>
      <c r="AB196" s="258"/>
      <c r="AC196" s="258"/>
      <c r="AD196" s="247" t="s">
        <v>1276</v>
      </c>
      <c r="AE196" s="210"/>
      <c r="AF196" s="247" t="s">
        <v>1156</v>
      </c>
      <c r="AG196" s="247" t="s">
        <v>1159</v>
      </c>
      <c r="AH196" s="168" t="s">
        <v>1175</v>
      </c>
      <c r="AI196" s="249" t="s">
        <v>95</v>
      </c>
    </row>
    <row r="197" spans="2:35" ht="50.1" customHeight="1">
      <c r="B197" s="170">
        <f>IF(D197="","",SUBTOTAL(3,$D$5:D197))</f>
        <v>72</v>
      </c>
      <c r="C197" s="171" t="s">
        <v>1367</v>
      </c>
      <c r="D197" s="281" t="s">
        <v>1370</v>
      </c>
      <c r="E197" s="167" t="s">
        <v>103</v>
      </c>
      <c r="F197" s="287" t="s">
        <v>1375</v>
      </c>
      <c r="G197" s="168" t="s">
        <v>1912</v>
      </c>
      <c r="H197" s="168" t="s">
        <v>1378</v>
      </c>
      <c r="I197" s="287" t="s">
        <v>1373</v>
      </c>
      <c r="J197" s="168" t="s">
        <v>1</v>
      </c>
      <c r="K197" s="168" t="s">
        <v>1375</v>
      </c>
      <c r="L197" s="168" t="s">
        <v>1377</v>
      </c>
      <c r="M197" s="172" t="s">
        <v>459</v>
      </c>
      <c r="N197" s="255"/>
      <c r="O197" s="256"/>
      <c r="P197" s="256"/>
      <c r="Q197" s="256"/>
      <c r="R197" s="256"/>
      <c r="S197" s="256"/>
      <c r="T197" s="256"/>
      <c r="U197" s="256"/>
      <c r="V197" s="256"/>
      <c r="W197" s="256"/>
      <c r="X197" s="256"/>
      <c r="Y197" s="257"/>
      <c r="Z197" s="256" t="s">
        <v>356</v>
      </c>
      <c r="AA197" s="256" t="s">
        <v>356</v>
      </c>
      <c r="AB197" s="258"/>
      <c r="AC197" s="258"/>
      <c r="AD197" s="247" t="s">
        <v>1376</v>
      </c>
      <c r="AE197" s="210"/>
      <c r="AF197" s="247" t="s">
        <v>1156</v>
      </c>
      <c r="AG197" s="247" t="s">
        <v>1159</v>
      </c>
      <c r="AH197" s="168" t="s">
        <v>1175</v>
      </c>
      <c r="AI197" s="249" t="s">
        <v>95</v>
      </c>
    </row>
    <row r="198" spans="2:35" ht="50.1" customHeight="1">
      <c r="B198" s="170">
        <f>IF(D198="","",SUBTOTAL(3,$D$5:D198))</f>
        <v>73</v>
      </c>
      <c r="C198" s="171" t="s">
        <v>1368</v>
      </c>
      <c r="D198" s="281" t="s">
        <v>1371</v>
      </c>
      <c r="E198" s="167" t="s">
        <v>103</v>
      </c>
      <c r="F198" s="287" t="s">
        <v>1379</v>
      </c>
      <c r="G198" s="168" t="s">
        <v>1912</v>
      </c>
      <c r="H198" s="168" t="s">
        <v>1378</v>
      </c>
      <c r="I198" s="287" t="s">
        <v>1373</v>
      </c>
      <c r="J198" s="168" t="s">
        <v>1</v>
      </c>
      <c r="K198" s="168" t="s">
        <v>1379</v>
      </c>
      <c r="L198" s="168" t="s">
        <v>1377</v>
      </c>
      <c r="M198" s="172" t="s">
        <v>459</v>
      </c>
      <c r="N198" s="255"/>
      <c r="O198" s="256"/>
      <c r="P198" s="256"/>
      <c r="Q198" s="256"/>
      <c r="R198" s="256"/>
      <c r="S198" s="256"/>
      <c r="T198" s="256"/>
      <c r="U198" s="256"/>
      <c r="V198" s="256"/>
      <c r="W198" s="256"/>
      <c r="X198" s="256"/>
      <c r="Y198" s="257"/>
      <c r="Z198" s="256" t="s">
        <v>356</v>
      </c>
      <c r="AA198" s="256"/>
      <c r="AB198" s="258"/>
      <c r="AC198" s="258"/>
      <c r="AD198" s="247" t="s">
        <v>1376</v>
      </c>
      <c r="AE198" s="210"/>
      <c r="AF198" s="247" t="s">
        <v>1156</v>
      </c>
      <c r="AG198" s="247" t="s">
        <v>1159</v>
      </c>
      <c r="AH198" s="168" t="s">
        <v>1175</v>
      </c>
      <c r="AI198" s="249" t="s">
        <v>95</v>
      </c>
    </row>
    <row r="199" spans="2:35" ht="50.1" customHeight="1">
      <c r="B199" s="170">
        <f>IF(D199="","",SUBTOTAL(3,$D$5:D199))</f>
        <v>74</v>
      </c>
      <c r="C199" s="171" t="s">
        <v>1369</v>
      </c>
      <c r="D199" s="281" t="s">
        <v>1372</v>
      </c>
      <c r="E199" s="167" t="s">
        <v>103</v>
      </c>
      <c r="F199" s="287" t="s">
        <v>1380</v>
      </c>
      <c r="G199" s="168" t="s">
        <v>1912</v>
      </c>
      <c r="H199" s="168" t="s">
        <v>1378</v>
      </c>
      <c r="I199" s="287" t="s">
        <v>1373</v>
      </c>
      <c r="J199" s="168" t="s">
        <v>1</v>
      </c>
      <c r="K199" s="168" t="s">
        <v>1380</v>
      </c>
      <c r="L199" s="168" t="s">
        <v>1377</v>
      </c>
      <c r="M199" s="172" t="s">
        <v>459</v>
      </c>
      <c r="N199" s="255"/>
      <c r="O199" s="256"/>
      <c r="P199" s="256"/>
      <c r="Q199" s="256"/>
      <c r="R199" s="256"/>
      <c r="S199" s="256"/>
      <c r="T199" s="256"/>
      <c r="U199" s="256"/>
      <c r="V199" s="256"/>
      <c r="W199" s="256"/>
      <c r="X199" s="256"/>
      <c r="Y199" s="257"/>
      <c r="Z199" s="256" t="s">
        <v>356</v>
      </c>
      <c r="AA199" s="256" t="s">
        <v>356</v>
      </c>
      <c r="AB199" s="258"/>
      <c r="AC199" s="258"/>
      <c r="AD199" s="247" t="s">
        <v>1376</v>
      </c>
      <c r="AE199" s="210"/>
      <c r="AF199" s="247" t="s">
        <v>1156</v>
      </c>
      <c r="AG199" s="247" t="s">
        <v>1159</v>
      </c>
      <c r="AH199" s="168" t="s">
        <v>1175</v>
      </c>
      <c r="AI199" s="249" t="s">
        <v>95</v>
      </c>
    </row>
    <row r="200" spans="2:35" ht="50.1" hidden="1" customHeight="1">
      <c r="B200" s="170">
        <f>IF(D200="","",SUBTOTAL(3,$D$5:D200))</f>
        <v>74</v>
      </c>
      <c r="C200" s="171" t="s">
        <v>1187</v>
      </c>
      <c r="D200" s="281" t="s">
        <v>1186</v>
      </c>
      <c r="E200" s="167" t="s">
        <v>455</v>
      </c>
      <c r="F200" s="287" t="s">
        <v>1447</v>
      </c>
      <c r="G200" s="168" t="s">
        <v>1897</v>
      </c>
      <c r="H200" s="168" t="s">
        <v>1472</v>
      </c>
      <c r="I200" s="287" t="s">
        <v>1827</v>
      </c>
      <c r="J200" s="168" t="s">
        <v>1194</v>
      </c>
      <c r="K200" s="168" t="s">
        <v>1188</v>
      </c>
      <c r="L200" s="168">
        <v>3</v>
      </c>
      <c r="M200" s="172" t="s">
        <v>467</v>
      </c>
      <c r="N200" s="255"/>
      <c r="O200" s="256"/>
      <c r="P200" s="256"/>
      <c r="Q200" s="256"/>
      <c r="R200" s="256"/>
      <c r="S200" s="256"/>
      <c r="T200" s="256"/>
      <c r="U200" s="256"/>
      <c r="V200" s="256"/>
      <c r="W200" s="256"/>
      <c r="X200" s="256"/>
      <c r="Y200" s="257"/>
      <c r="Z200" s="256" t="s">
        <v>356</v>
      </c>
      <c r="AA200" s="256" t="s">
        <v>356</v>
      </c>
      <c r="AB200" s="258"/>
      <c r="AC200" s="258" t="s">
        <v>356</v>
      </c>
      <c r="AD200" s="247" t="s">
        <v>1279</v>
      </c>
      <c r="AE200" s="210"/>
      <c r="AF200" s="247" t="s">
        <v>1166</v>
      </c>
      <c r="AG200" s="247" t="s">
        <v>1166</v>
      </c>
      <c r="AH200" s="168" t="s">
        <v>1188</v>
      </c>
      <c r="AI200" s="249" t="s">
        <v>95</v>
      </c>
    </row>
    <row r="201" spans="2:35" ht="50.1" hidden="1" customHeight="1">
      <c r="B201" s="170">
        <f>IF(D201="","",SUBTOTAL(3,$D$5:D201))</f>
        <v>74</v>
      </c>
      <c r="C201" s="171" t="s">
        <v>1191</v>
      </c>
      <c r="D201" s="281" t="s">
        <v>1190</v>
      </c>
      <c r="E201" s="167" t="s">
        <v>455</v>
      </c>
      <c r="F201" s="287" t="s">
        <v>1447</v>
      </c>
      <c r="G201" s="168" t="s">
        <v>1894</v>
      </c>
      <c r="H201" s="168" t="s">
        <v>1472</v>
      </c>
      <c r="I201" s="287" t="s">
        <v>1826</v>
      </c>
      <c r="J201" s="168" t="s">
        <v>1194</v>
      </c>
      <c r="K201" s="168" t="s">
        <v>1188</v>
      </c>
      <c r="L201" s="168">
        <v>5</v>
      </c>
      <c r="M201" s="172" t="s">
        <v>467</v>
      </c>
      <c r="N201" s="255"/>
      <c r="O201" s="256"/>
      <c r="P201" s="256"/>
      <c r="Q201" s="256"/>
      <c r="R201" s="256"/>
      <c r="S201" s="256"/>
      <c r="T201" s="256"/>
      <c r="U201" s="256"/>
      <c r="V201" s="256"/>
      <c r="W201" s="256"/>
      <c r="X201" s="256"/>
      <c r="Y201" s="257"/>
      <c r="Z201" s="256" t="s">
        <v>356</v>
      </c>
      <c r="AA201" s="256" t="s">
        <v>356</v>
      </c>
      <c r="AB201" s="258"/>
      <c r="AC201" s="258" t="s">
        <v>356</v>
      </c>
      <c r="AD201" s="247" t="s">
        <v>1279</v>
      </c>
      <c r="AE201" s="210"/>
      <c r="AF201" s="247" t="s">
        <v>1166</v>
      </c>
      <c r="AG201" s="247" t="s">
        <v>1166</v>
      </c>
      <c r="AH201" s="168" t="s">
        <v>1188</v>
      </c>
      <c r="AI201" s="249" t="s">
        <v>95</v>
      </c>
    </row>
    <row r="202" spans="2:35" ht="50.1" customHeight="1">
      <c r="B202" s="170">
        <f>IF(D202="","",SUBTOTAL(3,$D$5:D202))</f>
        <v>75</v>
      </c>
      <c r="C202" s="171" t="s">
        <v>1220</v>
      </c>
      <c r="D202" s="281" t="s">
        <v>1219</v>
      </c>
      <c r="E202" s="167" t="s">
        <v>103</v>
      </c>
      <c r="F202" s="287" t="s">
        <v>1221</v>
      </c>
      <c r="G202" s="168" t="s">
        <v>1895</v>
      </c>
      <c r="H202" s="168" t="s">
        <v>1222</v>
      </c>
      <c r="I202" s="287" t="s">
        <v>1223</v>
      </c>
      <c r="J202" s="168" t="s">
        <v>1</v>
      </c>
      <c r="K202" s="168" t="s">
        <v>1221</v>
      </c>
      <c r="L202" s="168">
        <v>16</v>
      </c>
      <c r="M202" s="172" t="s">
        <v>459</v>
      </c>
      <c r="N202" s="255"/>
      <c r="O202" s="256"/>
      <c r="P202" s="256"/>
      <c r="Q202" s="256"/>
      <c r="R202" s="256"/>
      <c r="S202" s="256"/>
      <c r="T202" s="256"/>
      <c r="U202" s="256"/>
      <c r="V202" s="256"/>
      <c r="W202" s="256"/>
      <c r="X202" s="256"/>
      <c r="Y202" s="257"/>
      <c r="Z202" s="256" t="s">
        <v>356</v>
      </c>
      <c r="AA202" s="256" t="s">
        <v>356</v>
      </c>
      <c r="AB202" s="258"/>
      <c r="AC202" s="258"/>
      <c r="AD202" s="247" t="s">
        <v>986</v>
      </c>
      <c r="AE202" s="210"/>
      <c r="AF202" s="247" t="s">
        <v>1156</v>
      </c>
      <c r="AG202" s="247" t="s">
        <v>1156</v>
      </c>
      <c r="AH202" s="168" t="s">
        <v>1221</v>
      </c>
      <c r="AI202" s="249" t="s">
        <v>95</v>
      </c>
    </row>
    <row r="203" spans="2:35" ht="50.1" customHeight="1" thickBot="1">
      <c r="B203" s="173">
        <f>IF(D203="","",SUBTOTAL(3,$D$5:D203))</f>
        <v>76</v>
      </c>
      <c r="C203" s="174" t="s">
        <v>1225</v>
      </c>
      <c r="D203" s="282" t="s">
        <v>1224</v>
      </c>
      <c r="E203" s="175" t="s">
        <v>103</v>
      </c>
      <c r="F203" s="288" t="s">
        <v>1227</v>
      </c>
      <c r="G203" s="176" t="s">
        <v>1895</v>
      </c>
      <c r="H203" s="176" t="s">
        <v>1222</v>
      </c>
      <c r="I203" s="288" t="s">
        <v>1223</v>
      </c>
      <c r="J203" s="176" t="s">
        <v>1</v>
      </c>
      <c r="K203" s="176" t="s">
        <v>1227</v>
      </c>
      <c r="L203" s="176">
        <v>16</v>
      </c>
      <c r="M203" s="177" t="s">
        <v>459</v>
      </c>
      <c r="N203" s="263"/>
      <c r="O203" s="264"/>
      <c r="P203" s="264"/>
      <c r="Q203" s="264"/>
      <c r="R203" s="264"/>
      <c r="S203" s="264"/>
      <c r="T203" s="264"/>
      <c r="U203" s="264"/>
      <c r="V203" s="264"/>
      <c r="W203" s="264"/>
      <c r="X203" s="264"/>
      <c r="Y203" s="265"/>
      <c r="Z203" s="264" t="s">
        <v>356</v>
      </c>
      <c r="AA203" s="264" t="s">
        <v>356</v>
      </c>
      <c r="AB203" s="266"/>
      <c r="AC203" s="266"/>
      <c r="AD203" s="267" t="s">
        <v>986</v>
      </c>
      <c r="AE203" s="210"/>
      <c r="AF203" s="268" t="s">
        <v>1156</v>
      </c>
      <c r="AG203" s="268">
        <v>1.1000000000000001</v>
      </c>
      <c r="AH203" s="195" t="s">
        <v>1226</v>
      </c>
      <c r="AI203" s="249" t="s">
        <v>95</v>
      </c>
    </row>
    <row r="204" spans="2:35" ht="50.1" hidden="1" customHeight="1" thickTop="1" thickBot="1">
      <c r="B204" s="173">
        <f>IF(D204="","",SUBTOTAL(3,$D$5:D204))</f>
        <v>76</v>
      </c>
      <c r="C204" s="174" t="s">
        <v>1381</v>
      </c>
      <c r="D204" s="282" t="s">
        <v>1382</v>
      </c>
      <c r="E204" s="175" t="s">
        <v>113</v>
      </c>
      <c r="F204" s="288" t="s">
        <v>1162</v>
      </c>
      <c r="G204" s="176" t="s">
        <v>1894</v>
      </c>
      <c r="H204" s="176" t="s">
        <v>1472</v>
      </c>
      <c r="I204" s="287" t="s">
        <v>1826</v>
      </c>
      <c r="J204" s="176" t="s">
        <v>1420</v>
      </c>
      <c r="K204" s="176" t="s">
        <v>1162</v>
      </c>
      <c r="L204" s="176">
        <v>5</v>
      </c>
      <c r="M204" s="177" t="s">
        <v>467</v>
      </c>
      <c r="N204" s="263"/>
      <c r="O204" s="264"/>
      <c r="P204" s="264"/>
      <c r="Q204" s="264"/>
      <c r="R204" s="264"/>
      <c r="S204" s="264"/>
      <c r="T204" s="264"/>
      <c r="U204" s="264"/>
      <c r="V204" s="264"/>
      <c r="W204" s="264"/>
      <c r="X204" s="264"/>
      <c r="Y204" s="265"/>
      <c r="Z204" s="264" t="s">
        <v>356</v>
      </c>
      <c r="AA204" s="264" t="s">
        <v>356</v>
      </c>
      <c r="AB204" s="266"/>
      <c r="AC204" s="266" t="s">
        <v>356</v>
      </c>
      <c r="AD204" s="267" t="s">
        <v>979</v>
      </c>
      <c r="AE204" s="210"/>
      <c r="AF204" s="268" t="s">
        <v>1156</v>
      </c>
      <c r="AG204" s="268">
        <v>1.1000000000000001</v>
      </c>
      <c r="AH204" s="195" t="s">
        <v>1226</v>
      </c>
      <c r="AI204" s="249" t="s">
        <v>95</v>
      </c>
    </row>
    <row r="205" spans="2:35" ht="50.1" customHeight="1" thickTop="1" thickBot="1">
      <c r="B205" s="170">
        <f>IF(D205="","",SUBTOTAL(3,$D$5:D205))</f>
        <v>77</v>
      </c>
      <c r="C205" s="171" t="s">
        <v>1517</v>
      </c>
      <c r="D205" s="281" t="s">
        <v>1518</v>
      </c>
      <c r="E205" s="167" t="s">
        <v>455</v>
      </c>
      <c r="F205" s="287" t="s">
        <v>1820</v>
      </c>
      <c r="G205" s="168" t="s">
        <v>1896</v>
      </c>
      <c r="H205" s="168" t="s">
        <v>1472</v>
      </c>
      <c r="I205" s="287" t="s">
        <v>1825</v>
      </c>
      <c r="J205" s="168" t="s">
        <v>1522</v>
      </c>
      <c r="K205" s="168" t="s">
        <v>1519</v>
      </c>
      <c r="L205" s="168" t="s">
        <v>1521</v>
      </c>
      <c r="M205" s="172" t="s">
        <v>459</v>
      </c>
      <c r="N205" s="255"/>
      <c r="O205" s="256"/>
      <c r="P205" s="256"/>
      <c r="Q205" s="256"/>
      <c r="R205" s="256"/>
      <c r="S205" s="256"/>
      <c r="T205" s="256"/>
      <c r="U205" s="256"/>
      <c r="V205" s="256"/>
      <c r="W205" s="256"/>
      <c r="X205" s="256"/>
      <c r="Y205" s="257"/>
      <c r="Z205" s="256" t="s">
        <v>356</v>
      </c>
      <c r="AA205" s="256" t="s">
        <v>356</v>
      </c>
      <c r="AB205" s="258"/>
      <c r="AC205" s="258" t="s">
        <v>356</v>
      </c>
      <c r="AD205" s="247" t="s">
        <v>1520</v>
      </c>
      <c r="AE205" s="210"/>
      <c r="AF205" s="268" t="s">
        <v>1156</v>
      </c>
      <c r="AG205" s="268">
        <v>1.1000000000000001</v>
      </c>
      <c r="AH205" s="195" t="s">
        <v>1226</v>
      </c>
      <c r="AI205" s="249" t="s">
        <v>95</v>
      </c>
    </row>
    <row r="206" spans="2:35" ht="50.1" customHeight="1" thickTop="1" thickBot="1">
      <c r="B206" s="170">
        <f>IF(D206="","",SUBTOTAL(3,$D$5:D206))</f>
        <v>78</v>
      </c>
      <c r="C206" s="171" t="s">
        <v>1640</v>
      </c>
      <c r="D206" s="281" t="s">
        <v>1641</v>
      </c>
      <c r="E206" s="167" t="s">
        <v>110</v>
      </c>
      <c r="F206" s="287" t="s">
        <v>1649</v>
      </c>
      <c r="G206" s="168" t="s">
        <v>1892</v>
      </c>
      <c r="H206" s="168" t="s">
        <v>1390</v>
      </c>
      <c r="I206" s="287" t="s">
        <v>1422</v>
      </c>
      <c r="J206" s="168" t="s">
        <v>1660</v>
      </c>
      <c r="K206" s="168" t="s">
        <v>1649</v>
      </c>
      <c r="L206" s="168">
        <v>6</v>
      </c>
      <c r="M206" s="172" t="s">
        <v>459</v>
      </c>
      <c r="N206" s="255"/>
      <c r="O206" s="256"/>
      <c r="P206" s="256"/>
      <c r="Q206" s="256"/>
      <c r="R206" s="256"/>
      <c r="S206" s="256"/>
      <c r="T206" s="256"/>
      <c r="U206" s="256"/>
      <c r="V206" s="256"/>
      <c r="W206" s="256"/>
      <c r="X206" s="256"/>
      <c r="Y206" s="257"/>
      <c r="Z206" s="256" t="s">
        <v>356</v>
      </c>
      <c r="AA206" s="256" t="s">
        <v>356</v>
      </c>
      <c r="AB206" s="258"/>
      <c r="AC206" s="258" t="s">
        <v>356</v>
      </c>
      <c r="AD206" s="247" t="s">
        <v>1376</v>
      </c>
      <c r="AE206" s="210"/>
      <c r="AF206" s="268" t="s">
        <v>1156</v>
      </c>
      <c r="AG206" s="268">
        <v>1.1000000000000001</v>
      </c>
      <c r="AH206" s="195" t="s">
        <v>1226</v>
      </c>
      <c r="AI206" s="249" t="s">
        <v>95</v>
      </c>
    </row>
    <row r="207" spans="2:35" ht="50.1" customHeight="1" thickTop="1" thickBot="1">
      <c r="B207" s="173">
        <f>IF(D207="","",SUBTOTAL(3,$D$5:D207))</f>
        <v>79</v>
      </c>
      <c r="C207" s="174" t="s">
        <v>1639</v>
      </c>
      <c r="D207" s="282" t="s">
        <v>1642</v>
      </c>
      <c r="E207" s="175" t="s">
        <v>110</v>
      </c>
      <c r="F207" s="288" t="s">
        <v>1444</v>
      </c>
      <c r="G207" s="168" t="s">
        <v>1892</v>
      </c>
      <c r="H207" s="176" t="s">
        <v>1390</v>
      </c>
      <c r="I207" s="288" t="s">
        <v>1422</v>
      </c>
      <c r="J207" s="176" t="s">
        <v>1660</v>
      </c>
      <c r="K207" s="176" t="s">
        <v>1136</v>
      </c>
      <c r="L207" s="176">
        <v>6</v>
      </c>
      <c r="M207" s="177" t="s">
        <v>459</v>
      </c>
      <c r="N207" s="263"/>
      <c r="O207" s="264"/>
      <c r="P207" s="264"/>
      <c r="Q207" s="264"/>
      <c r="R207" s="264"/>
      <c r="S207" s="264"/>
      <c r="T207" s="264"/>
      <c r="U207" s="264"/>
      <c r="V207" s="264"/>
      <c r="W207" s="264"/>
      <c r="X207" s="264"/>
      <c r="Y207" s="265"/>
      <c r="Z207" s="264" t="s">
        <v>356</v>
      </c>
      <c r="AA207" s="264" t="s">
        <v>356</v>
      </c>
      <c r="AB207" s="266"/>
      <c r="AC207" s="266" t="s">
        <v>356</v>
      </c>
      <c r="AD207" s="267" t="s">
        <v>1520</v>
      </c>
      <c r="AE207" s="210"/>
      <c r="AF207" s="268" t="s">
        <v>1156</v>
      </c>
      <c r="AG207" s="268">
        <v>1.1000000000000001</v>
      </c>
      <c r="AH207" s="195" t="s">
        <v>1226</v>
      </c>
      <c r="AI207" s="249" t="s">
        <v>95</v>
      </c>
    </row>
    <row r="208" spans="2:35" ht="50.1" customHeight="1" thickTop="1" thickBot="1">
      <c r="B208" s="170">
        <f>IF(D208="","",SUBTOTAL(3,$D$5:D208))</f>
        <v>80</v>
      </c>
      <c r="C208" s="171" t="s">
        <v>1821</v>
      </c>
      <c r="D208" s="281" t="s">
        <v>1822</v>
      </c>
      <c r="E208" s="167" t="s">
        <v>103</v>
      </c>
      <c r="F208" s="287" t="s">
        <v>1823</v>
      </c>
      <c r="G208" s="168" t="s">
        <v>1893</v>
      </c>
      <c r="H208" s="168" t="s">
        <v>1222</v>
      </c>
      <c r="I208" s="287" t="s">
        <v>1422</v>
      </c>
      <c r="J208" s="168" t="s">
        <v>1</v>
      </c>
      <c r="K208" s="168" t="s">
        <v>1823</v>
      </c>
      <c r="L208" s="168">
        <v>16</v>
      </c>
      <c r="M208" s="172" t="s">
        <v>459</v>
      </c>
      <c r="N208" s="255"/>
      <c r="O208" s="256"/>
      <c r="P208" s="256"/>
      <c r="Q208" s="256"/>
      <c r="R208" s="256"/>
      <c r="S208" s="256"/>
      <c r="T208" s="256"/>
      <c r="U208" s="256"/>
      <c r="V208" s="256"/>
      <c r="W208" s="256"/>
      <c r="X208" s="256"/>
      <c r="Y208" s="257"/>
      <c r="Z208" s="256" t="s">
        <v>356</v>
      </c>
      <c r="AA208" s="256" t="s">
        <v>356</v>
      </c>
      <c r="AB208" s="258"/>
      <c r="AC208" s="258" t="s">
        <v>356</v>
      </c>
      <c r="AD208" s="247" t="s">
        <v>1520</v>
      </c>
      <c r="AE208" s="210"/>
      <c r="AF208" s="268" t="s">
        <v>1156</v>
      </c>
      <c r="AG208" s="268">
        <v>1.1000000000000001</v>
      </c>
      <c r="AH208" s="195" t="s">
        <v>1226</v>
      </c>
      <c r="AI208" s="249" t="s">
        <v>95</v>
      </c>
    </row>
    <row r="209" spans="2:35" ht="50.1" customHeight="1" thickTop="1" thickBot="1">
      <c r="B209" s="178">
        <f>IF(D209="","",SUBTOTAL(3,$D$5:D209))</f>
        <v>81</v>
      </c>
      <c r="C209" s="193" t="s">
        <v>1833</v>
      </c>
      <c r="D209" s="283" t="s">
        <v>1834</v>
      </c>
      <c r="E209" s="194" t="s">
        <v>103</v>
      </c>
      <c r="F209" s="289" t="s">
        <v>1835</v>
      </c>
      <c r="G209" s="195" t="s">
        <v>1893</v>
      </c>
      <c r="H209" s="195" t="s">
        <v>1222</v>
      </c>
      <c r="I209" s="289" t="s">
        <v>1422</v>
      </c>
      <c r="J209" s="195" t="s">
        <v>1</v>
      </c>
      <c r="K209" s="195" t="s">
        <v>1823</v>
      </c>
      <c r="L209" s="195">
        <v>16</v>
      </c>
      <c r="M209" s="196" t="s">
        <v>459</v>
      </c>
      <c r="N209" s="269"/>
      <c r="O209" s="270"/>
      <c r="P209" s="270"/>
      <c r="Q209" s="270"/>
      <c r="R209" s="270"/>
      <c r="S209" s="270"/>
      <c r="T209" s="270"/>
      <c r="U209" s="270"/>
      <c r="V209" s="270"/>
      <c r="W209" s="270"/>
      <c r="X209" s="270"/>
      <c r="Y209" s="271"/>
      <c r="Z209" s="270" t="s">
        <v>356</v>
      </c>
      <c r="AA209" s="270" t="s">
        <v>356</v>
      </c>
      <c r="AB209" s="272"/>
      <c r="AC209" s="272" t="s">
        <v>356</v>
      </c>
      <c r="AD209" s="268" t="s">
        <v>1520</v>
      </c>
      <c r="AE209" s="210"/>
      <c r="AF209" s="268" t="s">
        <v>1156</v>
      </c>
      <c r="AG209" s="268">
        <v>1.1000000000000001</v>
      </c>
      <c r="AH209" s="195" t="s">
        <v>1226</v>
      </c>
      <c r="AI209" s="249" t="s">
        <v>95</v>
      </c>
    </row>
    <row r="210" spans="2:35" ht="9" customHeight="1" thickTop="1">
      <c r="B210" s="273"/>
      <c r="C210" s="274"/>
      <c r="D210" s="275"/>
      <c r="E210" s="275"/>
      <c r="F210" s="276"/>
      <c r="G210" s="277"/>
      <c r="H210" s="273"/>
      <c r="I210" s="273"/>
      <c r="J210" s="273"/>
      <c r="K210" s="277"/>
      <c r="L210" s="273"/>
      <c r="M210" s="278"/>
      <c r="N210" s="277"/>
      <c r="O210" s="277"/>
      <c r="P210" s="277"/>
      <c r="Q210" s="277"/>
      <c r="R210" s="277"/>
      <c r="S210" s="277"/>
      <c r="T210" s="277"/>
      <c r="U210" s="277"/>
      <c r="V210" s="277"/>
      <c r="W210" s="277"/>
      <c r="X210" s="277"/>
      <c r="Y210" s="277"/>
      <c r="Z210" s="277"/>
      <c r="AA210" s="277"/>
      <c r="AB210" s="277"/>
      <c r="AC210" s="277"/>
      <c r="AD210" s="273"/>
      <c r="AF210" s="273"/>
      <c r="AG210" s="273"/>
      <c r="AH210" s="273"/>
    </row>
    <row r="211" spans="2:35">
      <c r="D211" s="279"/>
    </row>
    <row r="212" spans="2:35">
      <c r="D212" s="279"/>
    </row>
  </sheetData>
  <autoFilter ref="A4:AI209" xr:uid="{D03135BD-7F14-4B5A-839B-439F038BE7EF}">
    <filterColumn colId="12">
      <filters>
        <filter val="AWS D1.1"/>
      </filters>
    </filterColumn>
  </autoFilter>
  <mergeCells count="4">
    <mergeCell ref="B2:M2"/>
    <mergeCell ref="N3:AC3"/>
    <mergeCell ref="Q1:T1"/>
    <mergeCell ref="Q2:T2"/>
  </mergeCells>
  <conditionalFormatting sqref="I59">
    <cfRule type="expression" dxfId="231" priority="1">
      <formula>MOD(ROW(),2)=0</formula>
    </cfRule>
    <cfRule type="expression" dxfId="230" priority="2">
      <formula>MOD(ROW(),2)=0</formula>
    </cfRule>
    <cfRule type="expression" priority="3">
      <formula>"MOD(ROW(),2)=1"</formula>
    </cfRule>
  </conditionalFormatting>
  <pageMargins left="0.3" right="0.1" top="0.45" bottom="0.3" header="0.23" footer="0.16"/>
  <pageSetup scale="63" fitToHeight="0" orientation="landscape" blackAndWhite="1" r:id="rId1"/>
  <headerFooter alignWithMargins="0">
    <oddFooter>&amp;CPage &amp;P of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77B3E-1324-4FF6-8BC7-08159E240665}">
  <sheetPr codeName="Sheet3">
    <tabColor rgb="FFFF0000"/>
    <pageSetUpPr fitToPage="1"/>
  </sheetPr>
  <dimension ref="A1:K21"/>
  <sheetViews>
    <sheetView view="pageBreakPreview" zoomScale="130" zoomScaleNormal="130" zoomScaleSheetLayoutView="130" workbookViewId="0">
      <pane xSplit="1" ySplit="6" topLeftCell="B7" activePane="bottomRight" state="frozen"/>
      <selection pane="topRight" activeCell="C1" sqref="C1"/>
      <selection pane="bottomLeft" activeCell="A7" sqref="A7"/>
      <selection pane="bottomRight" activeCell="A8" sqref="A8"/>
    </sheetView>
  </sheetViews>
  <sheetFormatPr defaultColWidth="5.7109375" defaultRowHeight="8.25"/>
  <cols>
    <col min="1" max="1" width="9.7109375" style="3" customWidth="1"/>
    <col min="2" max="2" width="24.7109375" style="2" customWidth="1"/>
    <col min="3" max="3" width="22.85546875" style="4" customWidth="1"/>
    <col min="4" max="4" width="26.7109375" style="14" customWidth="1"/>
    <col min="5" max="5" width="24.7109375" style="4" customWidth="1"/>
    <col min="6" max="9" width="5.7109375" style="4"/>
    <col min="10" max="10" width="6.85546875" style="4" bestFit="1" customWidth="1"/>
    <col min="11" max="16384" width="5.7109375" style="4"/>
  </cols>
  <sheetData>
    <row r="1" spans="1:11" ht="20.100000000000001" customHeight="1">
      <c r="B1" s="396" t="s">
        <v>1147</v>
      </c>
      <c r="C1" s="396"/>
      <c r="D1" s="396"/>
      <c r="E1" s="396"/>
    </row>
    <row r="2" spans="1:11" ht="20.100000000000001" customHeight="1">
      <c r="B2" s="396"/>
      <c r="C2" s="396"/>
      <c r="D2" s="396"/>
      <c r="E2" s="396"/>
      <c r="H2" s="388" t="s">
        <v>325</v>
      </c>
      <c r="I2" s="388"/>
      <c r="J2" s="388"/>
      <c r="K2" s="388"/>
    </row>
    <row r="3" spans="1:11" ht="20.100000000000001" customHeight="1">
      <c r="B3" s="396"/>
      <c r="C3" s="396"/>
      <c r="D3" s="396"/>
      <c r="E3" s="396"/>
      <c r="H3" s="389">
        <f ca="1">TODAY()</f>
        <v>46017</v>
      </c>
      <c r="I3" s="389"/>
      <c r="J3" s="389"/>
      <c r="K3" s="389"/>
    </row>
    <row r="4" spans="1:11" ht="24.95" customHeight="1">
      <c r="A4" s="393" t="s">
        <v>1597</v>
      </c>
      <c r="B4" s="396"/>
      <c r="C4" s="396"/>
      <c r="D4" s="396"/>
      <c r="E4" s="396"/>
    </row>
    <row r="5" spans="1:11" s="2" customFormat="1" ht="35.1" customHeight="1">
      <c r="A5" s="393"/>
      <c r="B5" s="397"/>
      <c r="C5" s="397"/>
      <c r="D5" s="397"/>
      <c r="E5" s="397"/>
    </row>
    <row r="6" spans="1:11" s="2" customFormat="1" ht="35.1" customHeight="1">
      <c r="A6" s="393"/>
      <c r="B6" s="6" t="s">
        <v>1839</v>
      </c>
      <c r="C6" s="6" t="s">
        <v>1840</v>
      </c>
      <c r="D6" s="6" t="s">
        <v>324</v>
      </c>
      <c r="E6" s="7" t="s">
        <v>1841</v>
      </c>
      <c r="J6" s="291"/>
    </row>
    <row r="7" spans="1:11" s="2" customFormat="1" ht="42" customHeight="1">
      <c r="A7" s="19">
        <v>12</v>
      </c>
      <c r="B7" s="45" t="str">
        <f>IF($A7&lt;&gt;"",VLOOKUP($A7,TCW!$D7:$R468,2,FALSE),"")</f>
        <v>W-021</v>
      </c>
      <c r="C7" s="45" t="str">
        <f>IF($A7&lt;&gt;"",VLOOKUP($A7,TCW!$D7:$R468,3,FALSE),"")</f>
        <v>Le Van San</v>
      </c>
      <c r="D7" s="45" t="str">
        <f>IF($A7&lt;&gt;"",VLOOKUP($A7,TCW!$D7:$R468,15,FALSE),"")</f>
        <v>OSR-WPS-ASME-GT-014</v>
      </c>
      <c r="E7" s="60">
        <f>IF($A7&lt;&gt;"",VLOOKUP($A7,TCW!$D7:$R468,12,FALSE),"")</f>
        <v>45931</v>
      </c>
      <c r="J7" s="160"/>
    </row>
    <row r="8" spans="1:11" s="10" customFormat="1" ht="17.25" customHeight="1">
      <c r="A8" s="65"/>
      <c r="B8" s="394"/>
      <c r="C8" s="395"/>
      <c r="D8" s="395"/>
      <c r="E8" s="395"/>
      <c r="J8" s="160"/>
    </row>
    <row r="9" spans="1:11" s="10" customFormat="1" ht="30" customHeight="1">
      <c r="A9" s="65"/>
      <c r="B9" s="390" t="s">
        <v>1150</v>
      </c>
      <c r="C9" s="391"/>
      <c r="D9" s="390" t="s">
        <v>1149</v>
      </c>
      <c r="E9" s="391"/>
      <c r="J9" s="160"/>
    </row>
    <row r="10" spans="1:11" s="10" customFormat="1" ht="69.95" customHeight="1">
      <c r="A10" s="65"/>
      <c r="B10" s="50" t="s">
        <v>1148</v>
      </c>
      <c r="C10" s="51"/>
      <c r="D10" s="50" t="s">
        <v>1148</v>
      </c>
      <c r="E10" s="52"/>
      <c r="J10" s="160"/>
    </row>
    <row r="11" spans="1:11" s="10" customFormat="1" ht="30" customHeight="1">
      <c r="A11" s="65"/>
      <c r="B11" s="390" t="s">
        <v>1150</v>
      </c>
      <c r="C11" s="391"/>
      <c r="D11" s="390" t="s">
        <v>1149</v>
      </c>
      <c r="E11" s="391"/>
      <c r="J11" s="160"/>
    </row>
    <row r="12" spans="1:11" s="10" customFormat="1" ht="69.95" customHeight="1">
      <c r="A12" s="65"/>
      <c r="B12" s="50" t="s">
        <v>1148</v>
      </c>
      <c r="C12" s="51"/>
      <c r="D12" s="50" t="s">
        <v>1148</v>
      </c>
      <c r="E12" s="52"/>
      <c r="J12" s="160"/>
    </row>
    <row r="13" spans="1:11" s="10" customFormat="1" ht="30" customHeight="1">
      <c r="A13" s="65"/>
      <c r="B13" s="390" t="s">
        <v>1150</v>
      </c>
      <c r="C13" s="391"/>
      <c r="D13" s="390" t="s">
        <v>1149</v>
      </c>
      <c r="E13" s="391"/>
      <c r="J13" s="160"/>
    </row>
    <row r="14" spans="1:11" s="10" customFormat="1" ht="69.95" customHeight="1">
      <c r="A14" s="65"/>
      <c r="B14" s="50" t="s">
        <v>1148</v>
      </c>
      <c r="C14" s="51"/>
      <c r="D14" s="50" t="s">
        <v>1148</v>
      </c>
      <c r="E14" s="52"/>
      <c r="J14" s="160"/>
    </row>
    <row r="15" spans="1:11" s="10" customFormat="1" ht="30" customHeight="1">
      <c r="A15" s="65"/>
      <c r="B15" s="390" t="s">
        <v>1150</v>
      </c>
      <c r="C15" s="391"/>
      <c r="D15" s="390" t="s">
        <v>1149</v>
      </c>
      <c r="E15" s="391"/>
    </row>
    <row r="16" spans="1:11" s="10" customFormat="1" ht="69.95" customHeight="1">
      <c r="A16" s="65"/>
      <c r="B16" s="50" t="s">
        <v>1148</v>
      </c>
      <c r="C16" s="51"/>
      <c r="D16" s="50" t="s">
        <v>1148</v>
      </c>
      <c r="E16" s="52"/>
    </row>
    <row r="17" spans="1:5" s="10" customFormat="1" ht="30" customHeight="1">
      <c r="A17" s="65"/>
      <c r="B17" s="390" t="s">
        <v>1150</v>
      </c>
      <c r="C17" s="391"/>
      <c r="D17" s="390" t="s">
        <v>1149</v>
      </c>
      <c r="E17" s="391"/>
    </row>
    <row r="18" spans="1:5" s="10" customFormat="1" ht="69.95" customHeight="1">
      <c r="A18" s="65"/>
      <c r="B18" s="50" t="s">
        <v>1148</v>
      </c>
      <c r="C18" s="51"/>
      <c r="D18" s="50" t="s">
        <v>1148</v>
      </c>
      <c r="E18" s="52"/>
    </row>
    <row r="19" spans="1:5" s="10" customFormat="1" ht="49.5" customHeight="1">
      <c r="A19" s="65"/>
      <c r="B19" s="392" t="s">
        <v>1144</v>
      </c>
      <c r="C19" s="392"/>
      <c r="D19" s="392"/>
      <c r="E19" s="392"/>
    </row>
    <row r="20" spans="1:5" s="10" customFormat="1" ht="30" customHeight="1">
      <c r="A20" s="65"/>
      <c r="B20" s="49" t="s">
        <v>1145</v>
      </c>
      <c r="C20" s="11"/>
      <c r="D20" s="11"/>
      <c r="E20" s="12"/>
    </row>
    <row r="21" spans="1:5" ht="30" customHeight="1">
      <c r="B21" s="49" t="s">
        <v>1146</v>
      </c>
      <c r="C21" s="11"/>
      <c r="D21" s="11"/>
      <c r="E21" s="12"/>
    </row>
  </sheetData>
  <autoFilter ref="B6:E21" xr:uid="{7F438109-313A-42BB-B0FB-F7C999A97445}"/>
  <mergeCells count="16">
    <mergeCell ref="A4:A6"/>
    <mergeCell ref="B11:C11"/>
    <mergeCell ref="D11:E11"/>
    <mergeCell ref="B13:C13"/>
    <mergeCell ref="D13:E13"/>
    <mergeCell ref="B8:E8"/>
    <mergeCell ref="B9:C9"/>
    <mergeCell ref="D9:E9"/>
    <mergeCell ref="B1:E5"/>
    <mergeCell ref="H2:K2"/>
    <mergeCell ref="H3:K3"/>
    <mergeCell ref="B17:C17"/>
    <mergeCell ref="D17:E17"/>
    <mergeCell ref="B19:E19"/>
    <mergeCell ref="B15:C15"/>
    <mergeCell ref="D15:E15"/>
  </mergeCells>
  <printOptions horizontalCentered="1" verticalCentered="1"/>
  <pageMargins left="0.65" right="0.5" top="0.1" bottom="0.25" header="0.511811023622047" footer="0.196850393700787"/>
  <pageSetup scale="9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49A3E-9D58-4018-AA46-81A8B966ADA3}">
  <sheetPr codeName="Sheet4">
    <tabColor rgb="FFFF0000"/>
  </sheetPr>
  <dimension ref="A1:AH470"/>
  <sheetViews>
    <sheetView view="pageBreakPreview" zoomScale="90" zoomScaleNormal="130" zoomScaleSheetLayoutView="90" workbookViewId="0">
      <pane xSplit="4" ySplit="6" topLeftCell="E7" activePane="bottomRight" state="frozen"/>
      <selection pane="topRight" activeCell="C1" sqref="C1"/>
      <selection pane="bottomLeft" activeCell="A7" sqref="A7"/>
      <selection pane="bottomRight" activeCell="M9" sqref="M9"/>
    </sheetView>
  </sheetViews>
  <sheetFormatPr defaultColWidth="5.7109375" defaultRowHeight="12.75"/>
  <cols>
    <col min="1" max="1" width="4.42578125" style="63" bestFit="1" customWidth="1"/>
    <col min="2" max="2" width="10.42578125" style="5" customWidth="1"/>
    <col min="3" max="3" width="11.7109375" style="5" customWidth="1"/>
    <col min="4" max="4" width="4.7109375" style="13" customWidth="1"/>
    <col min="5" max="5" width="8.42578125" style="38" customWidth="1"/>
    <col min="6" max="6" width="21.140625" style="9" customWidth="1"/>
    <col min="7" max="7" width="11.28515625" style="43" customWidth="1"/>
    <col min="8" max="8" width="8" style="86" customWidth="1"/>
    <col min="9" max="9" width="16" style="15" customWidth="1"/>
    <col min="10" max="10" width="14.42578125" style="8" customWidth="1"/>
    <col min="11" max="11" width="29.42578125" style="15" customWidth="1"/>
    <col min="12" max="12" width="14.5703125" style="15" customWidth="1"/>
    <col min="13" max="13" width="21" style="16" customWidth="1"/>
    <col min="14" max="16" width="10.28515625" style="2" customWidth="1"/>
    <col min="17" max="17" width="11.5703125" style="44" customWidth="1"/>
    <col min="18" max="18" width="22" style="16" customWidth="1"/>
    <col min="19" max="19" width="5.7109375" style="2" customWidth="1"/>
    <col min="20" max="22" width="5.7109375" style="4" customWidth="1"/>
    <col min="23" max="23" width="5.7109375" style="2" customWidth="1"/>
    <col min="24" max="24" width="5.7109375" style="4" customWidth="1"/>
    <col min="25" max="25" width="5.7109375" style="2" customWidth="1"/>
    <col min="26" max="26" width="7" style="2" customWidth="1"/>
    <col min="27" max="32" width="5.7109375" style="2" customWidth="1"/>
    <col min="33" max="33" width="11.42578125" style="3" customWidth="1"/>
    <col min="34" max="34" width="18.7109375" style="2" bestFit="1" customWidth="1"/>
    <col min="35" max="16384" width="5.7109375" style="4"/>
  </cols>
  <sheetData>
    <row r="1" spans="1:34" ht="20.100000000000001" customHeight="1">
      <c r="D1" s="1"/>
      <c r="E1" s="1"/>
      <c r="F1" s="422" t="s">
        <v>1601</v>
      </c>
      <c r="G1" s="422"/>
      <c r="H1" s="422"/>
      <c r="I1" s="422"/>
      <c r="J1" s="422"/>
      <c r="K1" s="422"/>
      <c r="L1" s="422"/>
      <c r="M1" s="423"/>
      <c r="N1" s="423"/>
      <c r="O1" s="423"/>
      <c r="P1" s="423"/>
      <c r="Q1" s="423"/>
      <c r="R1" s="134"/>
      <c r="S1" s="135"/>
      <c r="T1" s="135"/>
      <c r="U1" s="135"/>
      <c r="V1" s="135"/>
      <c r="W1" s="135"/>
      <c r="X1" s="388" t="s">
        <v>325</v>
      </c>
      <c r="Y1" s="388"/>
      <c r="Z1" s="388"/>
      <c r="AA1" s="388"/>
      <c r="AB1" s="388"/>
      <c r="AC1" s="388"/>
      <c r="AD1" s="388"/>
      <c r="AE1" s="388"/>
      <c r="AF1" s="388"/>
      <c r="AH1" s="160"/>
    </row>
    <row r="2" spans="1:34" ht="20.100000000000001" customHeight="1">
      <c r="D2" s="1"/>
      <c r="E2" s="1"/>
      <c r="F2" s="422"/>
      <c r="G2" s="422"/>
      <c r="H2" s="422"/>
      <c r="I2" s="422"/>
      <c r="J2" s="422"/>
      <c r="K2" s="422"/>
      <c r="L2" s="422"/>
      <c r="M2" s="423"/>
      <c r="N2" s="423"/>
      <c r="O2" s="423"/>
      <c r="P2" s="423"/>
      <c r="Q2" s="423"/>
      <c r="R2" s="134"/>
      <c r="S2" s="135"/>
      <c r="T2" s="135"/>
      <c r="U2" s="135"/>
      <c r="V2" s="135"/>
      <c r="W2" s="135"/>
      <c r="X2" s="406">
        <f ca="1">TODAY()</f>
        <v>46017</v>
      </c>
      <c r="Y2" s="406"/>
      <c r="Z2" s="406"/>
      <c r="AA2" s="406"/>
      <c r="AB2" s="406"/>
      <c r="AC2" s="406"/>
      <c r="AD2" s="406"/>
      <c r="AE2" s="406"/>
      <c r="AF2" s="406"/>
      <c r="AH2" s="161"/>
    </row>
    <row r="3" spans="1:34" ht="20.100000000000001" customHeight="1" thickBot="1">
      <c r="D3" s="1"/>
      <c r="E3" s="1"/>
      <c r="F3" s="424"/>
      <c r="G3" s="424"/>
      <c r="H3" s="424"/>
      <c r="I3" s="424"/>
      <c r="J3" s="424"/>
      <c r="K3" s="424"/>
      <c r="L3" s="424"/>
      <c r="M3" s="425"/>
      <c r="N3" s="425"/>
      <c r="O3" s="425"/>
      <c r="P3" s="425"/>
      <c r="Q3" s="425"/>
      <c r="R3" s="134"/>
      <c r="S3" s="135"/>
      <c r="T3" s="135"/>
      <c r="U3" s="135"/>
      <c r="V3" s="135"/>
      <c r="X3" s="135"/>
    </row>
    <row r="4" spans="1:34" ht="24.95" customHeight="1" thickTop="1">
      <c r="A4" s="398" t="s">
        <v>1794</v>
      </c>
      <c r="B4" s="399" t="s">
        <v>827</v>
      </c>
      <c r="C4" s="399" t="s">
        <v>1812</v>
      </c>
      <c r="D4" s="404" t="s">
        <v>840</v>
      </c>
      <c r="E4" s="400" t="s">
        <v>1838</v>
      </c>
      <c r="F4" s="410" t="s">
        <v>1598</v>
      </c>
      <c r="G4" s="415" t="s">
        <v>857</v>
      </c>
      <c r="H4" s="400" t="s">
        <v>844</v>
      </c>
      <c r="I4" s="407" t="s">
        <v>975</v>
      </c>
      <c r="J4" s="408"/>
      <c r="K4" s="408"/>
      <c r="L4" s="409"/>
      <c r="M4" s="400" t="s">
        <v>841</v>
      </c>
      <c r="N4" s="412" t="s">
        <v>1423</v>
      </c>
      <c r="O4" s="413"/>
      <c r="P4" s="414"/>
      <c r="Q4" s="402" t="s">
        <v>842</v>
      </c>
      <c r="R4" s="417" t="s">
        <v>1602</v>
      </c>
      <c r="S4" s="419" t="s">
        <v>132</v>
      </c>
      <c r="T4" s="420"/>
      <c r="U4" s="420"/>
      <c r="V4" s="420"/>
      <c r="W4" s="420"/>
      <c r="X4" s="420"/>
      <c r="Y4" s="420"/>
      <c r="Z4" s="420"/>
      <c r="AA4" s="420"/>
      <c r="AB4" s="420"/>
      <c r="AC4" s="420"/>
      <c r="AD4" s="420"/>
      <c r="AE4" s="420"/>
      <c r="AF4" s="421"/>
      <c r="AG4" s="399" t="s">
        <v>828</v>
      </c>
      <c r="AH4" s="161"/>
    </row>
    <row r="5" spans="1:34" s="2" customFormat="1" ht="51.75" customHeight="1">
      <c r="A5" s="398"/>
      <c r="B5" s="399"/>
      <c r="C5" s="399"/>
      <c r="D5" s="405"/>
      <c r="E5" s="401"/>
      <c r="F5" s="411"/>
      <c r="G5" s="416"/>
      <c r="H5" s="401"/>
      <c r="I5" s="118" t="s">
        <v>976</v>
      </c>
      <c r="J5" s="118" t="s">
        <v>1924</v>
      </c>
      <c r="K5" s="118" t="s">
        <v>845</v>
      </c>
      <c r="L5" s="118" t="s">
        <v>846</v>
      </c>
      <c r="M5" s="401"/>
      <c r="N5" s="127" t="s">
        <v>843</v>
      </c>
      <c r="O5" s="119" t="s">
        <v>1272</v>
      </c>
      <c r="P5" s="119" t="s">
        <v>1273</v>
      </c>
      <c r="Q5" s="403"/>
      <c r="R5" s="418"/>
      <c r="S5" s="136" t="s">
        <v>210</v>
      </c>
      <c r="T5" s="137" t="s">
        <v>824</v>
      </c>
      <c r="U5" s="137" t="s">
        <v>825</v>
      </c>
      <c r="V5" s="137" t="s">
        <v>1599</v>
      </c>
      <c r="W5" s="138" t="s">
        <v>1630</v>
      </c>
      <c r="X5" s="136" t="s">
        <v>133</v>
      </c>
      <c r="Y5" s="138" t="s">
        <v>865</v>
      </c>
      <c r="Z5" s="136" t="s">
        <v>1687</v>
      </c>
      <c r="AA5" s="138">
        <v>113</v>
      </c>
      <c r="AB5" s="138" t="s">
        <v>260</v>
      </c>
      <c r="AC5" s="138" t="s">
        <v>1554</v>
      </c>
      <c r="AD5" s="138" t="s">
        <v>1555</v>
      </c>
      <c r="AE5" s="139" t="s">
        <v>1579</v>
      </c>
      <c r="AF5" s="139" t="s">
        <v>1828</v>
      </c>
      <c r="AG5" s="399"/>
      <c r="AH5" s="162" t="s">
        <v>1600</v>
      </c>
    </row>
    <row r="6" spans="1:34" s="2" customFormat="1" ht="12.75" customHeight="1">
      <c r="A6" s="130"/>
      <c r="B6" s="128"/>
      <c r="C6" s="156"/>
      <c r="D6" s="126"/>
      <c r="E6" s="122"/>
      <c r="F6" s="114"/>
      <c r="G6" s="124"/>
      <c r="H6" s="122"/>
      <c r="I6" s="122"/>
      <c r="J6" s="122"/>
      <c r="K6" s="122"/>
      <c r="L6" s="122"/>
      <c r="M6" s="122"/>
      <c r="N6" s="125"/>
      <c r="O6" s="124"/>
      <c r="P6" s="124"/>
      <c r="Q6" s="129"/>
      <c r="R6" s="123"/>
      <c r="S6" s="140"/>
      <c r="T6" s="141"/>
      <c r="U6" s="141"/>
      <c r="V6" s="141"/>
      <c r="W6" s="142"/>
      <c r="X6" s="140"/>
      <c r="Y6" s="142"/>
      <c r="Z6" s="142"/>
      <c r="AA6" s="142"/>
      <c r="AB6" s="142"/>
      <c r="AC6" s="142"/>
      <c r="AD6" s="142"/>
      <c r="AE6" s="143"/>
      <c r="AF6" s="143"/>
      <c r="AG6" s="128"/>
      <c r="AH6" s="162"/>
    </row>
    <row r="7" spans="1:34" s="2" customFormat="1" ht="45" customHeight="1">
      <c r="A7" s="19">
        <f t="shared" ref="A7:A71" si="0">A6+1</f>
        <v>1</v>
      </c>
      <c r="B7" s="28" t="s">
        <v>1638</v>
      </c>
      <c r="C7" s="295" t="s">
        <v>1635</v>
      </c>
      <c r="D7" s="46">
        <f>IF(F7="","",SUBTOTAL(3,$F$6:F7))</f>
        <v>1</v>
      </c>
      <c r="E7" s="120" t="s">
        <v>237</v>
      </c>
      <c r="F7" s="117" t="s">
        <v>1696</v>
      </c>
      <c r="G7" s="57" t="s">
        <v>718</v>
      </c>
      <c r="H7" s="82" t="str">
        <f>IF($G7&lt;&gt;"",VLOOKUP($G7,'WPS '!C$5:M$209,3,FALSE),"")</f>
        <v>FCAW</v>
      </c>
      <c r="I7" s="58" t="s">
        <v>851</v>
      </c>
      <c r="J7" s="58" t="s">
        <v>1215</v>
      </c>
      <c r="K7" s="68" t="s">
        <v>964</v>
      </c>
      <c r="L7" s="58" t="str">
        <f>IF($G7&lt;&gt;"",VLOOKUP($G7,'WPS '!C$5:M$209,8,FALSE),"")</f>
        <v>E71T-1C</v>
      </c>
      <c r="M7" s="75" t="s">
        <v>290</v>
      </c>
      <c r="N7" s="59">
        <v>45852</v>
      </c>
      <c r="O7" s="59">
        <v>45857</v>
      </c>
      <c r="P7" s="59">
        <f t="shared" ref="P7:P67" si="1">EDATE(O7,6*AG7)</f>
        <v>46222</v>
      </c>
      <c r="Q7" s="164" t="str">
        <f>IF($G7&lt;&gt;"",VLOOKUP($G7,'WPS '!C$5:M$209,11,FALSE),"")</f>
        <v>ASME IX</v>
      </c>
      <c r="R7" s="144" t="str">
        <f>IF($G7&lt;&gt;"",VLOOKUP($G7,'WPS '!$C$5:$M$209,2,FALSE),"")</f>
        <v>OSR-WPS-ASME-FC-001</v>
      </c>
      <c r="S7" s="132" t="s">
        <v>356</v>
      </c>
      <c r="T7" s="132"/>
      <c r="U7" s="132"/>
      <c r="V7" s="132"/>
      <c r="W7" s="145"/>
      <c r="X7" s="132"/>
      <c r="Y7" s="133"/>
      <c r="Z7" s="133"/>
      <c r="AA7" s="133"/>
      <c r="AB7" s="145"/>
      <c r="AC7" s="145"/>
      <c r="AD7" s="145"/>
      <c r="AE7" s="146"/>
      <c r="AF7" s="146"/>
      <c r="AG7" s="67">
        <v>2</v>
      </c>
      <c r="AH7" s="18"/>
    </row>
    <row r="8" spans="1:34" s="2" customFormat="1" ht="45" customHeight="1">
      <c r="A8" s="377">
        <f t="shared" si="0"/>
        <v>2</v>
      </c>
      <c r="B8" s="28" t="s">
        <v>1638</v>
      </c>
      <c r="C8" s="295" t="s">
        <v>1635</v>
      </c>
      <c r="D8" s="46">
        <f>IF(F8="","",SUBTOTAL(3,$F$6:F8))</f>
        <v>2</v>
      </c>
      <c r="E8" s="120" t="s">
        <v>1928</v>
      </c>
      <c r="F8" s="117" t="s">
        <v>1929</v>
      </c>
      <c r="G8" s="57" t="s">
        <v>718</v>
      </c>
      <c r="H8" s="82" t="str">
        <f>IF($G8&lt;&gt;"",VLOOKUP($G8,'WPS '!C$5:M$209,3,FALSE),"")</f>
        <v>FCAW</v>
      </c>
      <c r="I8" s="58" t="s">
        <v>851</v>
      </c>
      <c r="J8" s="58" t="s">
        <v>1215</v>
      </c>
      <c r="K8" s="68" t="s">
        <v>964</v>
      </c>
      <c r="L8" s="58" t="str">
        <f>IF($G8&lt;&gt;"",VLOOKUP($G8,'WPS '!C$5:M$209,8,FALSE),"")</f>
        <v>E71T-1C</v>
      </c>
      <c r="M8" s="75" t="s">
        <v>1930</v>
      </c>
      <c r="N8" s="59">
        <v>45852</v>
      </c>
      <c r="O8" s="59">
        <v>45857</v>
      </c>
      <c r="P8" s="59">
        <f t="shared" ref="P8" si="2">EDATE(O8,6*AG8)</f>
        <v>46222</v>
      </c>
      <c r="Q8" s="164" t="str">
        <f>IF($G8&lt;&gt;"",VLOOKUP($G8,'WPS '!C$5:M$209,11,FALSE),"")</f>
        <v>ASME IX</v>
      </c>
      <c r="R8" s="144" t="str">
        <f>IF($G8&lt;&gt;"",VLOOKUP($G8,'WPS '!$C$5:$M$209,2,FALSE),"")</f>
        <v>OSR-WPS-ASME-FC-001</v>
      </c>
      <c r="S8" s="132" t="s">
        <v>356</v>
      </c>
      <c r="T8" s="132"/>
      <c r="U8" s="132"/>
      <c r="V8" s="132"/>
      <c r="W8" s="145"/>
      <c r="X8" s="132"/>
      <c r="Y8" s="133"/>
      <c r="Z8" s="133"/>
      <c r="AA8" s="133"/>
      <c r="AB8" s="145"/>
      <c r="AC8" s="145"/>
      <c r="AD8" s="145"/>
      <c r="AE8" s="146"/>
      <c r="AF8" s="146"/>
      <c r="AG8" s="67">
        <v>2</v>
      </c>
      <c r="AH8" s="18"/>
    </row>
    <row r="9" spans="1:34" s="2" customFormat="1" ht="45" customHeight="1">
      <c r="A9" s="19">
        <f>A7+1</f>
        <v>2</v>
      </c>
      <c r="B9" s="28" t="s">
        <v>1638</v>
      </c>
      <c r="C9" s="295" t="s">
        <v>1635</v>
      </c>
      <c r="D9" s="56">
        <f>IF(F9="","",SUBTOTAL(3,$F$6:F9))</f>
        <v>3</v>
      </c>
      <c r="E9" s="34" t="s">
        <v>237</v>
      </c>
      <c r="F9" s="107" t="s">
        <v>1696</v>
      </c>
      <c r="G9" s="39" t="s">
        <v>727</v>
      </c>
      <c r="H9" s="83" t="str">
        <f>IF($G9&lt;&gt;"",VLOOKUP($G9,'WPS '!C$5:M$209,3,FALSE),"")</f>
        <v>GMAW</v>
      </c>
      <c r="I9" s="22" t="s">
        <v>849</v>
      </c>
      <c r="J9" s="22" t="s">
        <v>1472</v>
      </c>
      <c r="K9" s="69" t="s">
        <v>105</v>
      </c>
      <c r="L9" s="22" t="str">
        <f>IF($G9&lt;&gt;"",VLOOKUP($G9,'WPS '!C$5:M$209,8,FALSE),"")</f>
        <v>ER309</v>
      </c>
      <c r="M9" s="76" t="s">
        <v>291</v>
      </c>
      <c r="N9" s="21">
        <v>45863</v>
      </c>
      <c r="O9" s="21">
        <v>45865</v>
      </c>
      <c r="P9" s="21">
        <f t="shared" si="1"/>
        <v>46230</v>
      </c>
      <c r="Q9" s="164" t="str">
        <f>IF($G9&lt;&gt;"",VLOOKUP($G9,'WPS '!C$5:M$209,11,FALSE),"")</f>
        <v>ASME IX</v>
      </c>
      <c r="R9" s="147" t="str">
        <f>IF($G9&lt;&gt;"",VLOOKUP($G9,'WPS '!$C$5:$M$209,2,FALSE),"")</f>
        <v>OSR-WPS-ASME-GM-010</v>
      </c>
      <c r="S9" s="30" t="s">
        <v>356</v>
      </c>
      <c r="T9" s="30"/>
      <c r="U9" s="30"/>
      <c r="V9" s="30"/>
      <c r="W9" s="62"/>
      <c r="X9" s="30"/>
      <c r="Y9" s="31"/>
      <c r="Z9" s="31"/>
      <c r="AA9" s="31"/>
      <c r="AB9" s="62"/>
      <c r="AC9" s="62"/>
      <c r="AD9" s="62"/>
      <c r="AE9" s="146"/>
      <c r="AF9" s="146"/>
      <c r="AG9" s="67">
        <v>2</v>
      </c>
      <c r="AH9" s="28" t="s">
        <v>1533</v>
      </c>
    </row>
    <row r="10" spans="1:34" s="2" customFormat="1" ht="45" customHeight="1">
      <c r="A10" s="19">
        <f t="shared" si="0"/>
        <v>3</v>
      </c>
      <c r="B10" s="5" t="s">
        <v>1637</v>
      </c>
      <c r="C10" s="296" t="s">
        <v>1635</v>
      </c>
      <c r="D10" s="56">
        <f>IF(F10="","",SUBTOTAL(3,$F$6:F10))</f>
        <v>4</v>
      </c>
      <c r="E10" s="35" t="s">
        <v>1583</v>
      </c>
      <c r="F10" s="106" t="s">
        <v>1720</v>
      </c>
      <c r="G10" s="39" t="s">
        <v>719</v>
      </c>
      <c r="H10" s="83" t="str">
        <f>IF($G10&lt;&gt;"",VLOOKUP($G10,'WPS '!C$5:M$209,3,FALSE),"")</f>
        <v>FCAW</v>
      </c>
      <c r="I10" s="22" t="s">
        <v>849</v>
      </c>
      <c r="J10" s="22" t="s">
        <v>1215</v>
      </c>
      <c r="K10" s="69" t="s">
        <v>964</v>
      </c>
      <c r="L10" s="22" t="str">
        <f>IF($G10&lt;&gt;"",VLOOKUP($G10,'WPS '!C$5:M$209,8,FALSE),"")</f>
        <v>E71T-1C</v>
      </c>
      <c r="M10" s="76" t="s">
        <v>1584</v>
      </c>
      <c r="N10" s="21">
        <v>45951</v>
      </c>
      <c r="O10" s="21">
        <v>45952</v>
      </c>
      <c r="P10" s="21">
        <f t="shared" si="1"/>
        <v>46317</v>
      </c>
      <c r="Q10" s="164" t="str">
        <f>IF($G10&lt;&gt;"",VLOOKUP($G10,'WPS '!C$5:M$209,11,FALSE),"")</f>
        <v>ASME IX</v>
      </c>
      <c r="R10" s="147" t="str">
        <f>IF($G10&lt;&gt;"",VLOOKUP($G10,'WPS '!C$5:M$209,2,FALSE),"")</f>
        <v>OSR-WPS-ASME-FC-002</v>
      </c>
      <c r="S10" s="149" t="s">
        <v>356</v>
      </c>
      <c r="T10" s="150"/>
      <c r="U10" s="150"/>
      <c r="V10" s="150"/>
      <c r="W10" s="150"/>
      <c r="X10" s="150"/>
      <c r="Y10" s="150"/>
      <c r="Z10" s="150"/>
      <c r="AA10" s="150"/>
      <c r="AB10" s="150"/>
      <c r="AC10" s="150"/>
      <c r="AD10" s="150"/>
      <c r="AE10" s="54"/>
      <c r="AF10" s="54"/>
      <c r="AG10" s="66">
        <v>2</v>
      </c>
      <c r="AH10" s="115"/>
    </row>
    <row r="11" spans="1:34" s="2" customFormat="1" ht="45" customHeight="1">
      <c r="A11" s="192">
        <f t="shared" si="0"/>
        <v>4</v>
      </c>
      <c r="B11" s="5" t="s">
        <v>327</v>
      </c>
      <c r="C11" s="296" t="s">
        <v>1635</v>
      </c>
      <c r="D11" s="56">
        <f>IF(F11="","",SUBTOTAL(3,$F$6:F11))</f>
        <v>5</v>
      </c>
      <c r="E11" s="34" t="s">
        <v>0</v>
      </c>
      <c r="F11" s="107" t="s">
        <v>1743</v>
      </c>
      <c r="G11" s="40" t="s">
        <v>661</v>
      </c>
      <c r="H11" s="83">
        <f>IF($G11&lt;&gt;"",VLOOKUP($G11,'WPS '!C$5:M$209,3,FALSE),"")</f>
        <v>136</v>
      </c>
      <c r="I11" s="22" t="s">
        <v>1251</v>
      </c>
      <c r="J11" s="22" t="s">
        <v>1681</v>
      </c>
      <c r="K11" s="69" t="s">
        <v>884</v>
      </c>
      <c r="L11" s="22" t="str">
        <f>IF($G11&lt;&gt;"",VLOOKUP($G11,'WPS '!C$5:M$209,8,FALSE),"")</f>
        <v>E71T-1C</v>
      </c>
      <c r="M11" s="76" t="s">
        <v>2</v>
      </c>
      <c r="N11" s="21">
        <v>45056</v>
      </c>
      <c r="O11" s="21">
        <v>45000</v>
      </c>
      <c r="P11" s="21">
        <f t="shared" si="1"/>
        <v>46096</v>
      </c>
      <c r="Q11" s="164" t="s">
        <v>1811</v>
      </c>
      <c r="R11" s="147" t="str">
        <f>IF($G11&lt;&gt;"",VLOOKUP($G11,'WPS '!$C$5:$M$209,2,FALSE),"")</f>
        <v>OSR-WPS-ISO-PC+PF-005</v>
      </c>
      <c r="S11" s="30"/>
      <c r="T11" s="30"/>
      <c r="U11" s="30"/>
      <c r="V11" s="30"/>
      <c r="W11" s="30" t="s">
        <v>356</v>
      </c>
      <c r="X11" s="30" t="s">
        <v>95</v>
      </c>
      <c r="Y11" s="30"/>
      <c r="Z11" s="30"/>
      <c r="AA11" s="30" t="s">
        <v>95</v>
      </c>
      <c r="AB11" s="30"/>
      <c r="AC11" s="30"/>
      <c r="AD11" s="30"/>
      <c r="AE11" s="54"/>
      <c r="AF11" s="54"/>
      <c r="AG11" s="66">
        <v>6</v>
      </c>
      <c r="AH11" s="115"/>
    </row>
    <row r="12" spans="1:34" s="2" customFormat="1" ht="45" customHeight="1">
      <c r="A12" s="192">
        <f t="shared" si="0"/>
        <v>5</v>
      </c>
      <c r="B12" s="5" t="s">
        <v>327</v>
      </c>
      <c r="C12" s="296" t="s">
        <v>1635</v>
      </c>
      <c r="D12" s="56">
        <f>IF(F12="","",SUBTOTAL(3,$F$6:F12))</f>
        <v>6</v>
      </c>
      <c r="E12" s="34" t="s">
        <v>0</v>
      </c>
      <c r="F12" s="107" t="s">
        <v>1743</v>
      </c>
      <c r="G12" s="40" t="s">
        <v>665</v>
      </c>
      <c r="H12" s="83">
        <f>IF($G12&lt;&gt;"",VLOOKUP($G12,'WPS '!C$5:M$209,3,FALSE),"")</f>
        <v>136</v>
      </c>
      <c r="I12" s="22" t="s">
        <v>1253</v>
      </c>
      <c r="J12" s="22" t="s">
        <v>243</v>
      </c>
      <c r="K12" s="69" t="s">
        <v>884</v>
      </c>
      <c r="L12" s="22" t="str">
        <f>IF($G12&lt;&gt;"",VLOOKUP($G12,'WPS '!C$5:M$209,8,FALSE),"")</f>
        <v>E71T-1C</v>
      </c>
      <c r="M12" s="76" t="s">
        <v>62</v>
      </c>
      <c r="N12" s="21">
        <v>45481</v>
      </c>
      <c r="O12" s="21">
        <v>45488</v>
      </c>
      <c r="P12" s="21">
        <f t="shared" si="1"/>
        <v>46037</v>
      </c>
      <c r="Q12" s="164" t="s">
        <v>1811</v>
      </c>
      <c r="R12" s="147" t="str">
        <f>IF($G12&lt;&gt;"",VLOOKUP($G12,'WPS '!$C$5:$M$209,2,FALSE),"")</f>
        <v>OSR-WPS-ISO-PB-ML-009</v>
      </c>
      <c r="S12" s="30"/>
      <c r="T12" s="30"/>
      <c r="U12" s="30"/>
      <c r="V12" s="30"/>
      <c r="W12" s="30"/>
      <c r="X12" s="30"/>
      <c r="Y12" s="30"/>
      <c r="Z12" s="30"/>
      <c r="AA12" s="30"/>
      <c r="AB12" s="30"/>
      <c r="AC12" s="30"/>
      <c r="AD12" s="30"/>
      <c r="AE12" s="54"/>
      <c r="AF12" s="54"/>
      <c r="AG12" s="67">
        <v>3</v>
      </c>
      <c r="AH12" s="115"/>
    </row>
    <row r="13" spans="1:34" s="2" customFormat="1" ht="45" customHeight="1">
      <c r="A13" s="192">
        <f t="shared" si="0"/>
        <v>6</v>
      </c>
      <c r="B13" s="5" t="s">
        <v>327</v>
      </c>
      <c r="C13" s="296" t="s">
        <v>1635</v>
      </c>
      <c r="D13" s="56">
        <f>IF(F13="","",SUBTOTAL(3,$F$6:F13))</f>
        <v>7</v>
      </c>
      <c r="E13" s="34" t="s">
        <v>0</v>
      </c>
      <c r="F13" s="107" t="s">
        <v>1743</v>
      </c>
      <c r="G13" s="40" t="s">
        <v>672</v>
      </c>
      <c r="H13" s="83">
        <f>IF($G13&lt;&gt;"",VLOOKUP($G13,'WPS '!C$5:M$209,3,FALSE),"")</f>
        <v>141</v>
      </c>
      <c r="I13" s="22" t="s">
        <v>1251</v>
      </c>
      <c r="J13" s="22" t="s">
        <v>258</v>
      </c>
      <c r="K13" s="69" t="s">
        <v>884</v>
      </c>
      <c r="L13" s="22" t="str">
        <f>IF($G13&lt;&gt;"",VLOOKUP($G13,'WPS '!C$5:M$209,8,FALSE),"")</f>
        <v>ER316L</v>
      </c>
      <c r="M13" s="76" t="s">
        <v>51</v>
      </c>
      <c r="N13" s="21">
        <v>45358</v>
      </c>
      <c r="O13" s="21">
        <v>45365</v>
      </c>
      <c r="P13" s="21">
        <f t="shared" si="1"/>
        <v>46095</v>
      </c>
      <c r="Q13" s="164" t="s">
        <v>1811</v>
      </c>
      <c r="R13" s="147" t="str">
        <f>IF($G13&lt;&gt;"",VLOOKUP($G13,'WPS '!$C$5:$M$209,2,FALSE),"")</f>
        <v>OSR-WPS-ISO-PC-016</v>
      </c>
      <c r="S13" s="30"/>
      <c r="T13" s="30"/>
      <c r="U13" s="30"/>
      <c r="V13" s="30"/>
      <c r="W13" s="30"/>
      <c r="X13" s="30"/>
      <c r="Y13" s="30"/>
      <c r="Z13" s="30"/>
      <c r="AA13" s="30"/>
      <c r="AB13" s="30"/>
      <c r="AC13" s="30"/>
      <c r="AD13" s="30"/>
      <c r="AE13" s="54"/>
      <c r="AF13" s="54"/>
      <c r="AG13" s="66">
        <v>4</v>
      </c>
      <c r="AH13" s="115"/>
    </row>
    <row r="14" spans="1:34" s="2" customFormat="1" ht="45" customHeight="1">
      <c r="A14" s="192">
        <f t="shared" si="0"/>
        <v>7</v>
      </c>
      <c r="B14" s="5" t="s">
        <v>327</v>
      </c>
      <c r="C14" s="296" t="s">
        <v>1635</v>
      </c>
      <c r="D14" s="56">
        <f>IF(F14="","",SUBTOTAL(3,$F$6:F14))</f>
        <v>8</v>
      </c>
      <c r="E14" s="34" t="s">
        <v>0</v>
      </c>
      <c r="F14" s="107" t="s">
        <v>1743</v>
      </c>
      <c r="G14" s="40" t="s">
        <v>676</v>
      </c>
      <c r="H14" s="83">
        <f>IF($G14&lt;&gt;"",VLOOKUP($G14,'WPS '!C$5:M$209,3,FALSE),"")</f>
        <v>136</v>
      </c>
      <c r="I14" s="22" t="s">
        <v>1251</v>
      </c>
      <c r="J14" s="22" t="s">
        <v>1232</v>
      </c>
      <c r="K14" s="69" t="s">
        <v>884</v>
      </c>
      <c r="L14" s="22" t="str">
        <f>IF($G14&lt;&gt;"",VLOOKUP($G14,'WPS '!C$5:M$209,8,FALSE),"")</f>
        <v>E71T-1C</v>
      </c>
      <c r="M14" s="76" t="s">
        <v>63</v>
      </c>
      <c r="N14" s="21">
        <v>45453</v>
      </c>
      <c r="O14" s="21">
        <v>45458</v>
      </c>
      <c r="P14" s="21">
        <f t="shared" si="1"/>
        <v>46006</v>
      </c>
      <c r="Q14" s="164" t="s">
        <v>1811</v>
      </c>
      <c r="R14" s="147" t="str">
        <f>IF($G14&lt;&gt;"",VLOOKUP($G14,'WPS '!$C$5:$M$209,2,FALSE),"")</f>
        <v>OSR-WPS-ISO-PF-021</v>
      </c>
      <c r="S14" s="30"/>
      <c r="T14" s="30"/>
      <c r="U14" s="30"/>
      <c r="V14" s="30"/>
      <c r="W14" s="30"/>
      <c r="X14" s="30"/>
      <c r="Y14" s="30"/>
      <c r="Z14" s="30"/>
      <c r="AA14" s="30" t="s">
        <v>95</v>
      </c>
      <c r="AB14" s="30" t="s">
        <v>95</v>
      </c>
      <c r="AC14" s="30"/>
      <c r="AD14" s="30"/>
      <c r="AE14" s="54"/>
      <c r="AF14" s="54"/>
      <c r="AG14" s="66">
        <v>3</v>
      </c>
      <c r="AH14" s="115"/>
    </row>
    <row r="15" spans="1:34" s="2" customFormat="1" ht="45" customHeight="1">
      <c r="A15" s="192">
        <f t="shared" si="0"/>
        <v>8</v>
      </c>
      <c r="B15" s="5" t="s">
        <v>327</v>
      </c>
      <c r="C15" s="296" t="s">
        <v>1635</v>
      </c>
      <c r="D15" s="56">
        <f>IF(F15="","",SUBTOTAL(3,$F$6:F15))</f>
        <v>9</v>
      </c>
      <c r="E15" s="34" t="s">
        <v>0</v>
      </c>
      <c r="F15" s="107" t="s">
        <v>1743</v>
      </c>
      <c r="G15" s="40" t="s">
        <v>702</v>
      </c>
      <c r="H15" s="83">
        <f>IF($G15&lt;&gt;"",VLOOKUP($G15,'WPS '!C$5:M$209,3,FALSE),"")</f>
        <v>141</v>
      </c>
      <c r="I15" s="22" t="s">
        <v>885</v>
      </c>
      <c r="J15" s="22" t="s">
        <v>886</v>
      </c>
      <c r="K15" s="69" t="s">
        <v>883</v>
      </c>
      <c r="L15" s="22" t="str">
        <f>IF($G15&lt;&gt;"",VLOOKUP($G15,'WPS '!C$5:M$209,8,FALSE),"")</f>
        <v>ER5356</v>
      </c>
      <c r="M15" s="76" t="s">
        <v>887</v>
      </c>
      <c r="N15" s="21">
        <v>45786</v>
      </c>
      <c r="O15" s="21">
        <v>45799</v>
      </c>
      <c r="P15" s="21">
        <f t="shared" si="1"/>
        <v>46164</v>
      </c>
      <c r="Q15" s="164" t="s">
        <v>1810</v>
      </c>
      <c r="R15" s="147" t="str">
        <f>IF($G15&lt;&gt;"",VLOOKUP($G15,'WPS '!$C$5:$M$209,2,FALSE),"")</f>
        <v>OSR-WPS-ISO-PA-047</v>
      </c>
      <c r="S15" s="30"/>
      <c r="T15" s="30"/>
      <c r="U15" s="30"/>
      <c r="V15" s="30"/>
      <c r="W15" s="30"/>
      <c r="X15" s="30"/>
      <c r="Y15" s="30" t="s">
        <v>356</v>
      </c>
      <c r="Z15" s="30"/>
      <c r="AA15" s="30"/>
      <c r="AB15" s="30"/>
      <c r="AC15" s="30"/>
      <c r="AD15" s="30"/>
      <c r="AE15" s="54"/>
      <c r="AF15" s="54"/>
      <c r="AG15" s="66">
        <v>2</v>
      </c>
      <c r="AH15" s="115"/>
    </row>
    <row r="16" spans="1:34" s="2" customFormat="1" ht="45" customHeight="1">
      <c r="A16" s="192">
        <f t="shared" si="0"/>
        <v>9</v>
      </c>
      <c r="B16" s="5" t="s">
        <v>327</v>
      </c>
      <c r="C16" s="296" t="s">
        <v>1635</v>
      </c>
      <c r="D16" s="56">
        <f>IF(F16="","",SUBTOTAL(3,$F$6:F16))</f>
        <v>10</v>
      </c>
      <c r="E16" s="34" t="s">
        <v>0</v>
      </c>
      <c r="F16" s="107" t="s">
        <v>1743</v>
      </c>
      <c r="G16" s="40" t="s">
        <v>712</v>
      </c>
      <c r="H16" s="83">
        <f>IF($G16&lt;&gt;"",VLOOKUP($G16,'WPS '!C$5:M$209,3,FALSE),"")</f>
        <v>136</v>
      </c>
      <c r="I16" s="22" t="s">
        <v>217</v>
      </c>
      <c r="J16" s="22" t="s">
        <v>889</v>
      </c>
      <c r="K16" s="69" t="s">
        <v>884</v>
      </c>
      <c r="L16" s="22" t="str">
        <f>IF($G16&lt;&gt;"",VLOOKUP($G16,'WPS '!C$5:M$209,8,FALSE),"")</f>
        <v>E71T-1C</v>
      </c>
      <c r="M16" s="76" t="s">
        <v>888</v>
      </c>
      <c r="N16" s="21">
        <v>45808</v>
      </c>
      <c r="O16" s="21">
        <v>45814</v>
      </c>
      <c r="P16" s="21">
        <f t="shared" si="1"/>
        <v>46179</v>
      </c>
      <c r="Q16" s="164" t="s">
        <v>1811</v>
      </c>
      <c r="R16" s="147" t="str">
        <f>IF($G16&lt;&gt;"",VLOOKUP($G16,'WPS '!$C$5:$M$209,2,FALSE),"")</f>
        <v>OSR-WPS-ISO-PF-057</v>
      </c>
      <c r="S16" s="30"/>
      <c r="T16" s="30"/>
      <c r="U16" s="30"/>
      <c r="V16" s="30"/>
      <c r="W16" s="30"/>
      <c r="X16" s="30"/>
      <c r="Y16" s="30" t="s">
        <v>356</v>
      </c>
      <c r="Z16" s="30"/>
      <c r="AA16" s="30"/>
      <c r="AB16" s="30"/>
      <c r="AC16" s="30"/>
      <c r="AD16" s="30"/>
      <c r="AE16" s="54"/>
      <c r="AF16" s="54"/>
      <c r="AG16" s="66">
        <v>2</v>
      </c>
      <c r="AH16" s="115"/>
    </row>
    <row r="17" spans="1:34" s="2" customFormat="1" ht="45" customHeight="1">
      <c r="A17" s="192">
        <f t="shared" si="0"/>
        <v>10</v>
      </c>
      <c r="B17" s="28" t="s">
        <v>327</v>
      </c>
      <c r="C17" s="295" t="s">
        <v>1635</v>
      </c>
      <c r="D17" s="56">
        <f>IF(F17="","",SUBTOTAL(3,$F$6:F17))</f>
        <v>11</v>
      </c>
      <c r="E17" s="34" t="s">
        <v>0</v>
      </c>
      <c r="F17" s="107" t="s">
        <v>1743</v>
      </c>
      <c r="G17" s="39" t="s">
        <v>721</v>
      </c>
      <c r="H17" s="83" t="str">
        <f>IF($G17&lt;&gt;"",VLOOKUP($G17,'WPS '!C$5:M$209,3,FALSE),"")</f>
        <v>FCAW</v>
      </c>
      <c r="I17" s="22" t="s">
        <v>848</v>
      </c>
      <c r="J17" s="22" t="s">
        <v>104</v>
      </c>
      <c r="K17" s="69" t="s">
        <v>105</v>
      </c>
      <c r="L17" s="22" t="str">
        <f>IF($G17&lt;&gt;"",VLOOKUP($G17,'WPS '!C$5:M$209,8,FALSE),"")</f>
        <v>E316LT1-1/4</v>
      </c>
      <c r="M17" s="76" t="s">
        <v>284</v>
      </c>
      <c r="N17" s="21">
        <v>45583</v>
      </c>
      <c r="O17" s="21">
        <v>45590</v>
      </c>
      <c r="P17" s="21">
        <f t="shared" si="1"/>
        <v>46137</v>
      </c>
      <c r="Q17" s="164" t="str">
        <f>IF($G17&lt;&gt;"",VLOOKUP($G17,'WPS '!C$5:M$209,11,FALSE),"")</f>
        <v>ASME IX</v>
      </c>
      <c r="R17" s="147" t="str">
        <f>IF($G17&lt;&gt;"",VLOOKUP($G17,'WPS '!$C$5:$M$209,2,FALSE),"")</f>
        <v>OSR-WPS-ASME-FC-004</v>
      </c>
      <c r="S17" s="30"/>
      <c r="T17" s="30"/>
      <c r="U17" s="30"/>
      <c r="V17" s="30"/>
      <c r="W17" s="62"/>
      <c r="X17" s="30"/>
      <c r="Y17" s="32"/>
      <c r="Z17" s="32"/>
      <c r="AA17" s="32"/>
      <c r="AB17" s="62"/>
      <c r="AC17" s="62"/>
      <c r="AD17" s="62"/>
      <c r="AE17" s="146"/>
      <c r="AF17" s="146"/>
      <c r="AG17" s="67">
        <v>3</v>
      </c>
      <c r="AH17" s="18"/>
    </row>
    <row r="18" spans="1:34" s="2" customFormat="1" ht="45" customHeight="1">
      <c r="A18" s="192">
        <f t="shared" si="0"/>
        <v>11</v>
      </c>
      <c r="B18" s="28" t="s">
        <v>327</v>
      </c>
      <c r="C18" s="295" t="s">
        <v>1635</v>
      </c>
      <c r="D18" s="56">
        <f>IF(F18="","",SUBTOTAL(3,$F$6:F18))</f>
        <v>12</v>
      </c>
      <c r="E18" s="34" t="s">
        <v>0</v>
      </c>
      <c r="F18" s="107" t="s">
        <v>1743</v>
      </c>
      <c r="G18" s="39" t="s">
        <v>1541</v>
      </c>
      <c r="H18" s="83" t="str">
        <f>IF($G18&lt;&gt;"",VLOOKUP($G18,'WPS '!C$5:M$209,3,FALSE),"")</f>
        <v>GTAW</v>
      </c>
      <c r="I18" s="22" t="s">
        <v>1549</v>
      </c>
      <c r="J18" s="22" t="s">
        <v>104</v>
      </c>
      <c r="K18" s="69" t="s">
        <v>1550</v>
      </c>
      <c r="L18" s="22" t="str">
        <f>IF($G18&lt;&gt;"",VLOOKUP($G18,'WPS '!C$5:M$209,8,FALSE),"")</f>
        <v>ER308L</v>
      </c>
      <c r="M18" s="76" t="s">
        <v>1551</v>
      </c>
      <c r="N18" s="21">
        <v>45929</v>
      </c>
      <c r="O18" s="21">
        <v>45931</v>
      </c>
      <c r="P18" s="21">
        <f t="shared" si="1"/>
        <v>46296</v>
      </c>
      <c r="Q18" s="164" t="str">
        <f>IF($G18&lt;&gt;"",VLOOKUP($G18,'WPS '!C$5:M$209,11,FALSE),"")</f>
        <v>ASME IX</v>
      </c>
      <c r="R18" s="147" t="str">
        <f>IF($G18&lt;&gt;"",VLOOKUP($G18,'WPS '!$C$5:$M$209,2,FALSE),"")</f>
        <v>OSR-WPS-ASME-GT-014</v>
      </c>
      <c r="S18" s="30"/>
      <c r="T18" s="30"/>
      <c r="U18" s="30"/>
      <c r="V18" s="30"/>
      <c r="W18" s="62"/>
      <c r="X18" s="30"/>
      <c r="Y18" s="32"/>
      <c r="Z18" s="32"/>
      <c r="AA18" s="32"/>
      <c r="AB18" s="62"/>
      <c r="AC18" s="62" t="s">
        <v>364</v>
      </c>
      <c r="AD18" s="62" t="s">
        <v>364</v>
      </c>
      <c r="AE18" s="146"/>
      <c r="AF18" s="146"/>
      <c r="AG18" s="67">
        <v>2</v>
      </c>
      <c r="AH18" s="18"/>
    </row>
    <row r="19" spans="1:34" ht="45" customHeight="1">
      <c r="A19" s="192">
        <f t="shared" si="0"/>
        <v>12</v>
      </c>
      <c r="B19" s="28" t="s">
        <v>327</v>
      </c>
      <c r="C19" s="296" t="s">
        <v>1635</v>
      </c>
      <c r="D19" s="56">
        <f>IF(F19="","",SUBTOTAL(3,$F$6:F19))</f>
        <v>13</v>
      </c>
      <c r="E19" s="35" t="s">
        <v>0</v>
      </c>
      <c r="F19" s="106" t="s">
        <v>1743</v>
      </c>
      <c r="G19" s="40" t="s">
        <v>732</v>
      </c>
      <c r="H19" s="83" t="str">
        <f>IF($G19&lt;&gt;"",VLOOKUP($G19,'WPS '!C$5:M$209,3,FALSE),"")</f>
        <v>FCAW</v>
      </c>
      <c r="I19" s="22" t="s">
        <v>1499</v>
      </c>
      <c r="J19" s="77" t="s">
        <v>1390</v>
      </c>
      <c r="K19" s="69" t="s">
        <v>1478</v>
      </c>
      <c r="L19" s="22" t="str">
        <f>IF($G19&lt;&gt;"",VLOOKUP($G19,'WPS '!C$5:M$209,8,FALSE),"")</f>
        <v>E71T-1C</v>
      </c>
      <c r="M19" s="76" t="s">
        <v>1062</v>
      </c>
      <c r="N19" s="21">
        <v>44212</v>
      </c>
      <c r="O19" s="21">
        <v>44400</v>
      </c>
      <c r="P19" s="21">
        <f t="shared" si="1"/>
        <v>46045</v>
      </c>
      <c r="Q19" s="164" t="str">
        <f>IF($G19&lt;&gt;"",VLOOKUP($G19,'WPS '!C$5:M$209,11,FALSE),"")</f>
        <v>AWS D1.1</v>
      </c>
      <c r="R19" s="147" t="str">
        <f>IF($G19&lt;&gt;"",VLOOKUP($G19,'WPS '!$C$5:$M$209,2,FALSE),"")</f>
        <v>OSR-WPS-D1.1-FC-003</v>
      </c>
      <c r="S19" s="30"/>
      <c r="T19" s="30" t="s">
        <v>356</v>
      </c>
      <c r="U19" s="30"/>
      <c r="V19" s="30" t="s">
        <v>356</v>
      </c>
      <c r="W19" s="30"/>
      <c r="X19" s="30"/>
      <c r="Y19" s="30"/>
      <c r="Z19" s="30"/>
      <c r="AA19" s="30"/>
      <c r="AB19" s="30"/>
      <c r="AC19" s="30"/>
      <c r="AD19" s="30"/>
      <c r="AE19" s="54"/>
      <c r="AF19" s="54" t="s">
        <v>356</v>
      </c>
      <c r="AG19" s="153">
        <v>9</v>
      </c>
    </row>
    <row r="20" spans="1:34" ht="45" customHeight="1">
      <c r="A20" s="192">
        <f t="shared" si="0"/>
        <v>13</v>
      </c>
      <c r="B20" s="28" t="s">
        <v>327</v>
      </c>
      <c r="C20" s="296" t="s">
        <v>1635</v>
      </c>
      <c r="D20" s="56">
        <f>IF(F20="","",SUBTOTAL(3,$F$6:F20))</f>
        <v>14</v>
      </c>
      <c r="E20" s="34" t="s">
        <v>0</v>
      </c>
      <c r="F20" s="107" t="s">
        <v>1743</v>
      </c>
      <c r="G20" s="39" t="s">
        <v>762</v>
      </c>
      <c r="H20" s="83" t="str">
        <f>IF($G20&lt;&gt;"",VLOOKUP($G20,'WPS '!C$5:M$209,3,FALSE),"")</f>
        <v>GMAW</v>
      </c>
      <c r="I20" s="22" t="s">
        <v>1504</v>
      </c>
      <c r="J20" s="77" t="s">
        <v>1215</v>
      </c>
      <c r="K20" s="69" t="s">
        <v>1480</v>
      </c>
      <c r="L20" s="22" t="str">
        <f>IF($G20&lt;&gt;"",VLOOKUP($G20,'WPS '!C$5:M$209,8,FALSE),"")</f>
        <v>ER70S-6</v>
      </c>
      <c r="M20" s="76" t="s">
        <v>1087</v>
      </c>
      <c r="N20" s="21">
        <v>44393</v>
      </c>
      <c r="O20" s="21">
        <v>44400</v>
      </c>
      <c r="P20" s="21">
        <f t="shared" si="1"/>
        <v>46045</v>
      </c>
      <c r="Q20" s="164" t="str">
        <f>IF($G20&lt;&gt;"",VLOOKUP($G20,'WPS '!C$5:M$209,11,FALSE),"")</f>
        <v>AWS D1.1</v>
      </c>
      <c r="R20" s="147" t="str">
        <f>IF($G20&lt;&gt;"",VLOOKUP($G20,'WPS '!$C$5:$M$209,2,FALSE),"")</f>
        <v>OSR-WPS-D1.1-GM-034</v>
      </c>
      <c r="S20" s="30"/>
      <c r="T20" s="30"/>
      <c r="U20" s="30"/>
      <c r="V20" s="31"/>
      <c r="W20" s="31"/>
      <c r="X20" s="31"/>
      <c r="Y20" s="31"/>
      <c r="Z20" s="31"/>
      <c r="AA20" s="31"/>
      <c r="AB20" s="31"/>
      <c r="AC20" s="62"/>
      <c r="AD20" s="62"/>
      <c r="AE20" s="146"/>
      <c r="AF20" s="146"/>
      <c r="AG20" s="153">
        <v>9</v>
      </c>
    </row>
    <row r="21" spans="1:34" ht="45" customHeight="1">
      <c r="A21" s="192">
        <f t="shared" si="0"/>
        <v>14</v>
      </c>
      <c r="B21" s="28" t="s">
        <v>327</v>
      </c>
      <c r="C21" s="296" t="s">
        <v>1635</v>
      </c>
      <c r="D21" s="56">
        <f>IF(F21="","",SUBTOTAL(3,$F$6:F21))</f>
        <v>15</v>
      </c>
      <c r="E21" s="34" t="s">
        <v>0</v>
      </c>
      <c r="F21" s="107" t="s">
        <v>1743</v>
      </c>
      <c r="G21" s="39" t="s">
        <v>773</v>
      </c>
      <c r="H21" s="83" t="str">
        <f>IF($G21&lt;&gt;"",VLOOKUP($G21,'WPS '!C$5:M$209,3,FALSE),"")</f>
        <v>FCAW</v>
      </c>
      <c r="I21" s="22" t="s">
        <v>1383</v>
      </c>
      <c r="J21" s="77" t="s">
        <v>104</v>
      </c>
      <c r="K21" s="69" t="s">
        <v>1001</v>
      </c>
      <c r="L21" s="22" t="str">
        <f>IF($G21&lt;&gt;"",VLOOKUP($G21,'WPS '!C$5:M$209,8,FALSE),"")</f>
        <v>E71T-1C</v>
      </c>
      <c r="M21" s="76" t="s">
        <v>1098</v>
      </c>
      <c r="N21" s="21">
        <v>44393</v>
      </c>
      <c r="O21" s="21">
        <v>44400</v>
      </c>
      <c r="P21" s="21">
        <f t="shared" si="1"/>
        <v>46045</v>
      </c>
      <c r="Q21" s="164" t="str">
        <f>IF($G21&lt;&gt;"",VLOOKUP($G21,'WPS '!C$5:M$209,11,FALSE),"")</f>
        <v>AWS D1.1</v>
      </c>
      <c r="R21" s="147" t="str">
        <f>IF($G21&lt;&gt;"",VLOOKUP($G21,'WPS '!$C$5:$M$209,2,FALSE),"")</f>
        <v>OSR-WPS-D1.1-FC-045</v>
      </c>
      <c r="S21" s="30"/>
      <c r="T21" s="30"/>
      <c r="U21" s="30"/>
      <c r="V21" s="31"/>
      <c r="W21" s="31"/>
      <c r="X21" s="31"/>
      <c r="Y21" s="31"/>
      <c r="Z21" s="31"/>
      <c r="AA21" s="31"/>
      <c r="AB21" s="31"/>
      <c r="AC21" s="62"/>
      <c r="AD21" s="62"/>
      <c r="AE21" s="146"/>
      <c r="AF21" s="146"/>
      <c r="AG21" s="153">
        <v>9</v>
      </c>
    </row>
    <row r="22" spans="1:34" ht="45" customHeight="1">
      <c r="A22" s="192">
        <f t="shared" si="0"/>
        <v>15</v>
      </c>
      <c r="B22" s="28" t="s">
        <v>327</v>
      </c>
      <c r="C22" s="296" t="s">
        <v>1635</v>
      </c>
      <c r="D22" s="56">
        <f>IF(F22="","",SUBTOTAL(3,$F$6:F22))</f>
        <v>16</v>
      </c>
      <c r="E22" s="35" t="s">
        <v>0</v>
      </c>
      <c r="F22" s="106" t="s">
        <v>1743</v>
      </c>
      <c r="G22" s="40" t="s">
        <v>778</v>
      </c>
      <c r="H22" s="83" t="str">
        <f>IF($G22&lt;&gt;"",VLOOKUP($G22,'WPS '!C$5:M$209,3,FALSE),"")</f>
        <v>FCAW</v>
      </c>
      <c r="I22" s="22" t="s">
        <v>1506</v>
      </c>
      <c r="J22" s="77" t="s">
        <v>567</v>
      </c>
      <c r="K22" s="69" t="s">
        <v>1002</v>
      </c>
      <c r="L22" s="22" t="str">
        <f>IF($G22&lt;&gt;"",VLOOKUP($G22,'WPS '!C$5:M$209,8,FALSE),"")</f>
        <v>E71T-1C</v>
      </c>
      <c r="M22" s="76" t="s">
        <v>1105</v>
      </c>
      <c r="N22" s="21">
        <v>44393</v>
      </c>
      <c r="O22" s="21">
        <v>44400</v>
      </c>
      <c r="P22" s="21">
        <f t="shared" si="1"/>
        <v>46045</v>
      </c>
      <c r="Q22" s="164" t="str">
        <f>IF($G22&lt;&gt;"",VLOOKUP($G22,'WPS '!C$5:M$209,11,FALSE),"")</f>
        <v>AWS D1.1</v>
      </c>
      <c r="R22" s="147" t="str">
        <f>IF($G22&lt;&gt;"",VLOOKUP($G22,'WPS '!$C$5:$M$209,2,FALSE),"")</f>
        <v>OSR-WPS-D1.1-FC-050</v>
      </c>
      <c r="S22" s="30"/>
      <c r="T22" s="30"/>
      <c r="U22" s="30"/>
      <c r="V22" s="30"/>
      <c r="W22" s="30"/>
      <c r="X22" s="30"/>
      <c r="Y22" s="30"/>
      <c r="Z22" s="30"/>
      <c r="AA22" s="30"/>
      <c r="AB22" s="30"/>
      <c r="AC22" s="30"/>
      <c r="AD22" s="30"/>
      <c r="AE22" s="54"/>
      <c r="AF22" s="54"/>
      <c r="AG22" s="153">
        <v>9</v>
      </c>
    </row>
    <row r="23" spans="1:34" s="2" customFormat="1" ht="45" customHeight="1">
      <c r="A23" s="192">
        <f t="shared" si="0"/>
        <v>16</v>
      </c>
      <c r="B23" s="28" t="s">
        <v>327</v>
      </c>
      <c r="C23" s="296" t="s">
        <v>1635</v>
      </c>
      <c r="D23" s="56">
        <f>IF(F23="","",SUBTOTAL(3,$F$6:F23))</f>
        <v>17</v>
      </c>
      <c r="E23" s="34" t="s">
        <v>0</v>
      </c>
      <c r="F23" s="107" t="s">
        <v>1743</v>
      </c>
      <c r="G23" s="39" t="s">
        <v>784</v>
      </c>
      <c r="H23" s="83" t="str">
        <f>IF($G23&lt;&gt;"",VLOOKUP($G23,'WPS '!C$5:M$209,3,FALSE),"")</f>
        <v>FCAW</v>
      </c>
      <c r="I23" s="22" t="s">
        <v>1496</v>
      </c>
      <c r="J23" s="77" t="s">
        <v>107</v>
      </c>
      <c r="K23" s="69" t="s">
        <v>1481</v>
      </c>
      <c r="L23" s="22" t="str">
        <f>IF($G23&lt;&gt;"",VLOOKUP($G23,'WPS '!C$5:M$209,8,FALSE),"")</f>
        <v>E309T1-1-4</v>
      </c>
      <c r="M23" s="76" t="s">
        <v>1110</v>
      </c>
      <c r="N23" s="78">
        <v>44482</v>
      </c>
      <c r="O23" s="21">
        <v>44487</v>
      </c>
      <c r="P23" s="21">
        <f t="shared" si="1"/>
        <v>46130</v>
      </c>
      <c r="Q23" s="164" t="str">
        <f>IF($G23&lt;&gt;"",VLOOKUP($G23,'WPS '!C$5:M$209,11,FALSE),"")</f>
        <v>AWS D1.6</v>
      </c>
      <c r="R23" s="147" t="str">
        <f>IF($G23&lt;&gt;"",VLOOKUP($G23,'WPS '!$C$5:$M$209,2,FALSE),"")</f>
        <v>OSR-WPS-D1.6-FC-056</v>
      </c>
      <c r="S23" s="30"/>
      <c r="T23" s="30"/>
      <c r="U23" s="30"/>
      <c r="V23" s="31"/>
      <c r="W23" s="31"/>
      <c r="X23" s="31"/>
      <c r="Y23" s="31"/>
      <c r="Z23" s="31"/>
      <c r="AA23" s="31"/>
      <c r="AB23" s="31"/>
      <c r="AC23" s="62"/>
      <c r="AD23" s="62"/>
      <c r="AE23" s="146"/>
      <c r="AF23" s="146"/>
      <c r="AG23" s="153">
        <v>9</v>
      </c>
    </row>
    <row r="24" spans="1:34" s="2" customFormat="1" ht="45" customHeight="1">
      <c r="A24" s="192">
        <f t="shared" si="0"/>
        <v>17</v>
      </c>
      <c r="B24" s="28" t="s">
        <v>327</v>
      </c>
      <c r="C24" s="296" t="s">
        <v>1635</v>
      </c>
      <c r="D24" s="56">
        <f>IF(F24="","",SUBTOTAL(3,$F$6:F24))</f>
        <v>18</v>
      </c>
      <c r="E24" s="34" t="s">
        <v>0</v>
      </c>
      <c r="F24" s="107" t="s">
        <v>1743</v>
      </c>
      <c r="G24" s="39" t="s">
        <v>792</v>
      </c>
      <c r="H24" s="83" t="str">
        <f>IF($G24&lt;&gt;"",VLOOKUP($G24,'WPS '!C$5:M$209,3,FALSE),"")</f>
        <v>FCAW</v>
      </c>
      <c r="I24" s="22" t="s">
        <v>1383</v>
      </c>
      <c r="J24" s="77" t="s">
        <v>1390</v>
      </c>
      <c r="K24" s="69" t="s">
        <v>1478</v>
      </c>
      <c r="L24" s="22" t="str">
        <f>IF($G24&lt;&gt;"",VLOOKUP($G24,'WPS '!C$5:M$209,8,FALSE),"")</f>
        <v>E71T-1C</v>
      </c>
      <c r="M24" s="76" t="s">
        <v>1027</v>
      </c>
      <c r="N24" s="21">
        <v>44958</v>
      </c>
      <c r="O24" s="21">
        <v>44961</v>
      </c>
      <c r="P24" s="21">
        <f t="shared" si="1"/>
        <v>46057</v>
      </c>
      <c r="Q24" s="164" t="str">
        <f>IF($G24&lt;&gt;"",VLOOKUP($G24,'WPS '!C$5:M$209,11,FALSE),"")</f>
        <v>AWS D1.1</v>
      </c>
      <c r="R24" s="147" t="str">
        <f>IF($G24&lt;&gt;"",VLOOKUP($G24,'WPS '!$C$5:$M$209,2,FALSE),"")</f>
        <v>OSR-WPS-D1.1-FC-064</v>
      </c>
      <c r="S24" s="30"/>
      <c r="T24" s="30"/>
      <c r="U24" s="30" t="s">
        <v>356</v>
      </c>
      <c r="V24" s="31" t="s">
        <v>356</v>
      </c>
      <c r="W24" s="31"/>
      <c r="X24" s="31"/>
      <c r="Y24" s="31"/>
      <c r="Z24" s="31"/>
      <c r="AA24" s="31"/>
      <c r="AB24" s="31"/>
      <c r="AC24" s="62"/>
      <c r="AD24" s="62"/>
      <c r="AE24" s="146"/>
      <c r="AF24" s="146"/>
      <c r="AG24" s="153">
        <v>6</v>
      </c>
    </row>
    <row r="25" spans="1:34" s="2" customFormat="1" ht="45" customHeight="1">
      <c r="A25" s="192">
        <f t="shared" si="0"/>
        <v>18</v>
      </c>
      <c r="B25" s="28" t="s">
        <v>327</v>
      </c>
      <c r="C25" s="296" t="s">
        <v>1635</v>
      </c>
      <c r="D25" s="56">
        <f>IF(F25="","",SUBTOTAL(3,$F$6:F25))</f>
        <v>19</v>
      </c>
      <c r="E25" s="35" t="s">
        <v>0</v>
      </c>
      <c r="F25" s="106" t="s">
        <v>1743</v>
      </c>
      <c r="G25" s="40" t="s">
        <v>797</v>
      </c>
      <c r="H25" s="83" t="str">
        <f>IF($G25&lt;&gt;"",VLOOKUP($G25,'WPS '!C$5:M$209,3,FALSE),"")</f>
        <v>FCAW</v>
      </c>
      <c r="I25" s="22" t="s">
        <v>1494</v>
      </c>
      <c r="J25" s="77" t="s">
        <v>1215</v>
      </c>
      <c r="K25" s="69" t="s">
        <v>1480</v>
      </c>
      <c r="L25" s="22" t="str">
        <f>IF($G25&lt;&gt;"",VLOOKUP($G25,'WPS '!C$5:M$209,8,FALSE),"")</f>
        <v>E71T-1C</v>
      </c>
      <c r="M25" s="76" t="s">
        <v>1016</v>
      </c>
      <c r="N25" s="21">
        <v>45219</v>
      </c>
      <c r="O25" s="21">
        <v>45222</v>
      </c>
      <c r="P25" s="21">
        <f t="shared" si="1"/>
        <v>46135</v>
      </c>
      <c r="Q25" s="164" t="str">
        <f>IF($G25&lt;&gt;"",VLOOKUP($G25,'WPS '!C$5:M$209,11,FALSE),"")</f>
        <v>AWS D1.1</v>
      </c>
      <c r="R25" s="147" t="str">
        <f>IF($G25&lt;&gt;"",VLOOKUP($G25,'WPS '!$C$5:$M$209,2,FALSE),"")</f>
        <v>OSR-WPS-D1.1-FC-069</v>
      </c>
      <c r="S25" s="30"/>
      <c r="T25" s="30"/>
      <c r="U25" s="30"/>
      <c r="V25" s="30"/>
      <c r="W25" s="30"/>
      <c r="X25" s="30"/>
      <c r="Y25" s="30"/>
      <c r="Z25" s="30"/>
      <c r="AA25" s="30"/>
      <c r="AB25" s="30"/>
      <c r="AC25" s="30"/>
      <c r="AD25" s="30"/>
      <c r="AE25" s="54"/>
      <c r="AF25" s="54"/>
      <c r="AG25" s="153">
        <v>5</v>
      </c>
    </row>
    <row r="26" spans="1:34" s="2" customFormat="1" ht="45" customHeight="1">
      <c r="A26" s="293">
        <f t="shared" si="0"/>
        <v>19</v>
      </c>
      <c r="B26" s="28" t="s">
        <v>327</v>
      </c>
      <c r="C26" s="296" t="s">
        <v>1635</v>
      </c>
      <c r="D26" s="56">
        <f>IF(F26="","",SUBTOTAL(3,$F$6:F26))</f>
        <v>20</v>
      </c>
      <c r="E26" s="35" t="s">
        <v>0</v>
      </c>
      <c r="F26" s="106" t="s">
        <v>1743</v>
      </c>
      <c r="G26" s="40" t="s">
        <v>815</v>
      </c>
      <c r="H26" s="83" t="str">
        <f>IF($G26&lt;&gt;"",VLOOKUP($G26,'WPS '!C$5:M$209,3,FALSE),"")</f>
        <v>GTAW</v>
      </c>
      <c r="I26" s="22" t="s">
        <v>1497</v>
      </c>
      <c r="J26" s="77" t="s">
        <v>104</v>
      </c>
      <c r="K26" s="69" t="s">
        <v>475</v>
      </c>
      <c r="L26" s="22" t="str">
        <f>IF($G26&lt;&gt;"",VLOOKUP($G26,'WPS '!C$5:M$209,8,FALSE),"")</f>
        <v>ER5356</v>
      </c>
      <c r="M26" s="76" t="s">
        <v>1121</v>
      </c>
      <c r="N26" s="21">
        <v>45698</v>
      </c>
      <c r="O26" s="21">
        <v>45698</v>
      </c>
      <c r="P26" s="21">
        <f t="shared" si="1"/>
        <v>46063</v>
      </c>
      <c r="Q26" s="164" t="str">
        <f>IF($G26&lt;&gt;"",VLOOKUP($G26,'WPS '!C$5:M$209,11,FALSE),"")</f>
        <v>AWS D1.2</v>
      </c>
      <c r="R26" s="147" t="str">
        <f>IF($G26&lt;&gt;"",VLOOKUP($G26,'WPS '!$C$5:$M$209,2,FALSE),"")</f>
        <v>OSR-WPS-D1.2-GT-087</v>
      </c>
      <c r="S26" s="30"/>
      <c r="T26" s="30"/>
      <c r="U26" s="30"/>
      <c r="V26" s="30"/>
      <c r="W26" s="30"/>
      <c r="X26" s="30"/>
      <c r="Y26" s="30"/>
      <c r="Z26" s="30"/>
      <c r="AA26" s="30"/>
      <c r="AB26" s="30"/>
      <c r="AC26" s="30"/>
      <c r="AD26" s="30"/>
      <c r="AE26" s="54"/>
      <c r="AF26" s="54"/>
      <c r="AG26" s="153">
        <v>2</v>
      </c>
    </row>
    <row r="27" spans="1:34" s="2" customFormat="1" ht="45" customHeight="1">
      <c r="A27" s="293">
        <f t="shared" si="0"/>
        <v>20</v>
      </c>
      <c r="B27" s="28" t="s">
        <v>327</v>
      </c>
      <c r="C27" s="296" t="s">
        <v>1635</v>
      </c>
      <c r="D27" s="56">
        <f>IF(F27="","",SUBTOTAL(3,$F$6:F27))</f>
        <v>21</v>
      </c>
      <c r="E27" s="35" t="s">
        <v>0</v>
      </c>
      <c r="F27" s="106" t="s">
        <v>1743</v>
      </c>
      <c r="G27" s="40" t="s">
        <v>1158</v>
      </c>
      <c r="H27" s="83" t="str">
        <f>IF($G27&lt;&gt;"",VLOOKUP($G27,'WPS '!C$5:M$209,3,FALSE),"")</f>
        <v>FCAW</v>
      </c>
      <c r="I27" s="22" t="s">
        <v>1398</v>
      </c>
      <c r="J27" s="77" t="s">
        <v>1215</v>
      </c>
      <c r="K27" s="69" t="s">
        <v>1292</v>
      </c>
      <c r="L27" s="22" t="str">
        <f>IF($G27&lt;&gt;"",VLOOKUP($G27,'WPS '!C$5:M$209,8,FALSE),"")</f>
        <v>E71T-1C</v>
      </c>
      <c r="M27" s="76" t="s">
        <v>1198</v>
      </c>
      <c r="N27" s="21">
        <v>45900</v>
      </c>
      <c r="O27" s="21">
        <v>45906</v>
      </c>
      <c r="P27" s="21">
        <f t="shared" si="1"/>
        <v>46271</v>
      </c>
      <c r="Q27" s="164" t="str">
        <f>IF($G27&lt;&gt;"",VLOOKUP($G27,'WPS '!C$5:M$209,11,FALSE),"")</f>
        <v>AWS D1.1</v>
      </c>
      <c r="R27" s="147" t="str">
        <f>IF($G27&lt;&gt;"",VLOOKUP($G27,'WPS '!$C$5:$M$209,2,FALSE),"")</f>
        <v>OSR-WPS-D1.1-FC-095</v>
      </c>
      <c r="S27" s="30"/>
      <c r="T27" s="30"/>
      <c r="U27" s="30"/>
      <c r="V27" s="30"/>
      <c r="W27" s="30"/>
      <c r="X27" s="30"/>
      <c r="Y27" s="30"/>
      <c r="Z27" s="30"/>
      <c r="AA27" s="30"/>
      <c r="AB27" s="30"/>
      <c r="AC27" s="30" t="s">
        <v>95</v>
      </c>
      <c r="AD27" s="30" t="s">
        <v>356</v>
      </c>
      <c r="AE27" s="54"/>
      <c r="AF27" s="54"/>
      <c r="AG27" s="153">
        <v>2</v>
      </c>
    </row>
    <row r="28" spans="1:34" s="2" customFormat="1" ht="45" customHeight="1">
      <c r="A28" s="293">
        <f t="shared" si="0"/>
        <v>21</v>
      </c>
      <c r="B28" s="28" t="s">
        <v>327</v>
      </c>
      <c r="C28" s="296" t="s">
        <v>1635</v>
      </c>
      <c r="D28" s="56">
        <f>IF(F28="","",SUBTOTAL(3,$F$6:F28))</f>
        <v>22</v>
      </c>
      <c r="E28" s="35" t="s">
        <v>0</v>
      </c>
      <c r="F28" s="106" t="s">
        <v>1743</v>
      </c>
      <c r="G28" s="40" t="s">
        <v>1191</v>
      </c>
      <c r="H28" s="83" t="str">
        <f>IF($G28&lt;&gt;"",VLOOKUP($G28,'WPS '!C$5:M$209,3,FALSE),"")</f>
        <v>GTAW
FCAW</v>
      </c>
      <c r="I28" s="22" t="s">
        <v>1193</v>
      </c>
      <c r="J28" s="77" t="s">
        <v>1216</v>
      </c>
      <c r="K28" s="69" t="s">
        <v>1217</v>
      </c>
      <c r="L28" s="22" t="str">
        <f>IF($G28&lt;&gt;"",VLOOKUP($G28,'WPS '!C$5:M$209,8,FALSE),"")</f>
        <v>ER 308L
E308LT1-1/-4</v>
      </c>
      <c r="M28" s="76" t="s">
        <v>1195</v>
      </c>
      <c r="N28" s="21">
        <v>45898</v>
      </c>
      <c r="O28" s="21">
        <v>45906</v>
      </c>
      <c r="P28" s="21">
        <f t="shared" si="1"/>
        <v>46271</v>
      </c>
      <c r="Q28" s="164" t="str">
        <f>IF($G28&lt;&gt;"",VLOOKUP($G28,'WPS '!C$5:M$209,11,FALSE),"")</f>
        <v>AWS D1.6</v>
      </c>
      <c r="R28" s="147" t="str">
        <f>IF($G28&lt;&gt;"",VLOOKUP($G28,'WPS '!$C$5:$M$209,2,FALSE),"")</f>
        <v>OSR-WPS-D1.6-GT+FC-105</v>
      </c>
      <c r="S28" s="30"/>
      <c r="T28" s="30"/>
      <c r="U28" s="30"/>
      <c r="V28" s="30"/>
      <c r="W28" s="30"/>
      <c r="X28" s="30"/>
      <c r="Y28" s="30"/>
      <c r="Z28" s="30"/>
      <c r="AA28" s="30"/>
      <c r="AB28" s="30"/>
      <c r="AC28" s="30" t="s">
        <v>95</v>
      </c>
      <c r="AD28" s="30" t="s">
        <v>356</v>
      </c>
      <c r="AE28" s="54"/>
      <c r="AF28" s="54" t="s">
        <v>356</v>
      </c>
      <c r="AG28" s="153">
        <v>2</v>
      </c>
    </row>
    <row r="29" spans="1:34" s="2" customFormat="1" ht="45" customHeight="1">
      <c r="A29" s="293">
        <f t="shared" si="0"/>
        <v>22</v>
      </c>
      <c r="B29" s="28" t="s">
        <v>327</v>
      </c>
      <c r="C29" s="296" t="s">
        <v>1635</v>
      </c>
      <c r="D29" s="56">
        <f>IF(F29="","",SUBTOTAL(3,$F$6:F29))</f>
        <v>23</v>
      </c>
      <c r="E29" s="35" t="s">
        <v>0</v>
      </c>
      <c r="F29" s="106" t="s">
        <v>1743</v>
      </c>
      <c r="G29" s="40" t="s">
        <v>1517</v>
      </c>
      <c r="H29" s="83" t="str">
        <f>IF($G29&lt;&gt;"",VLOOKUP($G29,'WPS '!C$5:M$209,3,FALSE),"")</f>
        <v>GTAW
FCAW</v>
      </c>
      <c r="I29" s="22" t="s">
        <v>1383</v>
      </c>
      <c r="J29" s="77" t="s">
        <v>1390</v>
      </c>
      <c r="K29" s="69" t="s">
        <v>1829</v>
      </c>
      <c r="L29" s="22" t="str">
        <f>IF($G29&lt;&gt;"",VLOOKUP($G29,'WPS '!C$5:M$209,8,FALSE),"")</f>
        <v>E70S-G
E71T-1C</v>
      </c>
      <c r="M29" s="76" t="s">
        <v>1559</v>
      </c>
      <c r="N29" s="21">
        <v>45919</v>
      </c>
      <c r="O29" s="21">
        <v>45921</v>
      </c>
      <c r="P29" s="21">
        <f t="shared" si="1"/>
        <v>46286</v>
      </c>
      <c r="Q29" s="164" t="str">
        <f>IF($G29&lt;&gt;"",VLOOKUP($G29,'WPS '!C$5:M$209,11,FALSE),"")</f>
        <v>AWS D1.1</v>
      </c>
      <c r="R29" s="147" t="str">
        <f>IF($G29&lt;&gt;"",VLOOKUP($G29,'WPS '!$C$5:$M$209,2,FALSE),"")</f>
        <v>OSR-WPS-D1.1-GT+FC-109</v>
      </c>
      <c r="S29" s="30"/>
      <c r="T29" s="30"/>
      <c r="U29" s="30"/>
      <c r="V29" s="30"/>
      <c r="W29" s="30"/>
      <c r="X29" s="30"/>
      <c r="Y29" s="30"/>
      <c r="Z29" s="30"/>
      <c r="AA29" s="30"/>
      <c r="AB29" s="30"/>
      <c r="AC29" s="30" t="s">
        <v>356</v>
      </c>
      <c r="AD29" s="30" t="s">
        <v>356</v>
      </c>
      <c r="AE29" s="54"/>
      <c r="AF29" s="54" t="s">
        <v>356</v>
      </c>
      <c r="AG29" s="153">
        <v>2</v>
      </c>
    </row>
    <row r="30" spans="1:34" s="2" customFormat="1" ht="45" customHeight="1">
      <c r="A30" s="293">
        <f t="shared" si="0"/>
        <v>23</v>
      </c>
      <c r="B30" s="5" t="s">
        <v>1593</v>
      </c>
      <c r="C30" s="296" t="s">
        <v>1635</v>
      </c>
      <c r="D30" s="56">
        <f>IF(F30="","",SUBTOTAL(3,$F$6:F30))</f>
        <v>24</v>
      </c>
      <c r="E30" s="34" t="s">
        <v>1591</v>
      </c>
      <c r="F30" s="107" t="s">
        <v>1763</v>
      </c>
      <c r="G30" s="40" t="s">
        <v>1585</v>
      </c>
      <c r="H30" s="83">
        <f>IF($G30&lt;&gt;"",VLOOKUP($G30,'WPS '!C$5:M$209,3,FALSE),"")</f>
        <v>121</v>
      </c>
      <c r="I30" s="22" t="s">
        <v>1250</v>
      </c>
      <c r="J30" s="22" t="s">
        <v>368</v>
      </c>
      <c r="K30" s="69" t="s">
        <v>1592</v>
      </c>
      <c r="L30" s="22" t="str">
        <f>IF($G30&lt;&gt;"",VLOOKUP($G30,'WPS '!C$5:M$209,8,FALSE),"")</f>
        <v>EM12K</v>
      </c>
      <c r="M30" s="76" t="s">
        <v>1594</v>
      </c>
      <c r="N30" s="21">
        <v>45947</v>
      </c>
      <c r="O30" s="21">
        <v>45951</v>
      </c>
      <c r="P30" s="21">
        <f t="shared" si="1"/>
        <v>46316</v>
      </c>
      <c r="Q30" s="164" t="s">
        <v>1811</v>
      </c>
      <c r="R30" s="147" t="str">
        <f>IF($G30&lt;&gt;"",VLOOKUP($G30,'WPS '!$C$5:$M$209,2,FALSE),"")</f>
        <v>OSR-WPS-ISO-PA-081</v>
      </c>
      <c r="S30" s="30"/>
      <c r="T30" s="30"/>
      <c r="U30" s="30"/>
      <c r="V30" s="30"/>
      <c r="W30" s="30" t="s">
        <v>356</v>
      </c>
      <c r="X30" s="30"/>
      <c r="Y30" s="30"/>
      <c r="Z30" s="30"/>
      <c r="AA30" s="30"/>
      <c r="AB30" s="30" t="s">
        <v>356</v>
      </c>
      <c r="AC30" s="30"/>
      <c r="AD30" s="30"/>
      <c r="AE30" s="54"/>
      <c r="AF30" s="54"/>
      <c r="AG30" s="66">
        <v>2</v>
      </c>
      <c r="AH30" s="115"/>
    </row>
    <row r="31" spans="1:34" s="2" customFormat="1" ht="45" customHeight="1">
      <c r="A31" s="293">
        <f t="shared" si="0"/>
        <v>24</v>
      </c>
      <c r="B31" s="5" t="s">
        <v>1593</v>
      </c>
      <c r="C31" s="296" t="s">
        <v>1635</v>
      </c>
      <c r="D31" s="56">
        <f>IF(F31="","",SUBTOTAL(3,$F$6:F31))</f>
        <v>25</v>
      </c>
      <c r="E31" s="34" t="s">
        <v>1591</v>
      </c>
      <c r="F31" s="107" t="s">
        <v>1763</v>
      </c>
      <c r="G31" s="40" t="s">
        <v>1614</v>
      </c>
      <c r="H31" s="83">
        <f>IF($G31&lt;&gt;"",VLOOKUP($G31,'WPS '!C$5:M$209,3,FALSE),"")</f>
        <v>121</v>
      </c>
      <c r="I31" s="22" t="s">
        <v>1250</v>
      </c>
      <c r="J31" s="22" t="s">
        <v>368</v>
      </c>
      <c r="K31" s="69" t="s">
        <v>1619</v>
      </c>
      <c r="L31" s="22" t="str">
        <f>IF($G31&lt;&gt;"",VLOOKUP($G31,'WPS '!C$5:M$209,8,FALSE),"")</f>
        <v>EM12K</v>
      </c>
      <c r="M31" s="76" t="s">
        <v>1621</v>
      </c>
      <c r="N31" s="21">
        <v>45954</v>
      </c>
      <c r="O31" s="21">
        <v>45960</v>
      </c>
      <c r="P31" s="21">
        <f t="shared" si="1"/>
        <v>46325</v>
      </c>
      <c r="Q31" s="164" t="s">
        <v>1811</v>
      </c>
      <c r="R31" s="147" t="str">
        <f>IF($G31&lt;&gt;"",VLOOKUP($G31,'WPS '!$C$5:$M$209,2,FALSE),"")</f>
        <v>OSR-WPS-ISO-PA-082</v>
      </c>
      <c r="S31" s="30"/>
      <c r="T31" s="30"/>
      <c r="U31" s="30"/>
      <c r="V31" s="30"/>
      <c r="W31" s="30" t="s">
        <v>356</v>
      </c>
      <c r="X31" s="30"/>
      <c r="Y31" s="30"/>
      <c r="Z31" s="30"/>
      <c r="AA31" s="30"/>
      <c r="AB31" s="30" t="s">
        <v>356</v>
      </c>
      <c r="AC31" s="30"/>
      <c r="AD31" s="30"/>
      <c r="AE31" s="54"/>
      <c r="AF31" s="54"/>
      <c r="AG31" s="66">
        <v>2</v>
      </c>
      <c r="AH31" s="115"/>
    </row>
    <row r="32" spans="1:34" s="2" customFormat="1" ht="45" customHeight="1">
      <c r="A32" s="293">
        <f t="shared" si="0"/>
        <v>25</v>
      </c>
      <c r="B32" s="5" t="s">
        <v>1593</v>
      </c>
      <c r="C32" s="296" t="s">
        <v>1635</v>
      </c>
      <c r="D32" s="56">
        <f>IF(F32="","",SUBTOTAL(3,$F$6:F32))</f>
        <v>26</v>
      </c>
      <c r="E32" s="34" t="s">
        <v>1591</v>
      </c>
      <c r="F32" s="107" t="s">
        <v>1763</v>
      </c>
      <c r="G32" s="40" t="s">
        <v>1617</v>
      </c>
      <c r="H32" s="83" t="str">
        <f>IF($G32&lt;&gt;"",VLOOKUP($G32,'WPS '!C$5:M$209,3,FALSE),"")</f>
        <v>136            121</v>
      </c>
      <c r="I32" s="22" t="s">
        <v>217</v>
      </c>
      <c r="J32" s="22" t="s">
        <v>368</v>
      </c>
      <c r="K32" s="69" t="s">
        <v>1619</v>
      </c>
      <c r="L32" s="22" t="str">
        <f>IF($G32&lt;&gt;"",VLOOKUP($G32,'WPS '!C$5:M$209,8,FALSE),"")</f>
        <v>E71T-1C
EM12K</v>
      </c>
      <c r="M32" s="76" t="s">
        <v>1623</v>
      </c>
      <c r="N32" s="21">
        <v>45954</v>
      </c>
      <c r="O32" s="21">
        <v>45960</v>
      </c>
      <c r="P32" s="21">
        <f t="shared" si="1"/>
        <v>46325</v>
      </c>
      <c r="Q32" s="164" t="s">
        <v>1811</v>
      </c>
      <c r="R32" s="147" t="str">
        <f>IF($G32&lt;&gt;"",VLOOKUP($G32,'WPS '!$C$5:$M$209,2,FALSE),"")</f>
        <v>OSR-WPS-ISO-PA-083</v>
      </c>
      <c r="S32" s="30"/>
      <c r="T32" s="30"/>
      <c r="U32" s="30"/>
      <c r="V32" s="30"/>
      <c r="W32" s="30" t="s">
        <v>356</v>
      </c>
      <c r="X32" s="30"/>
      <c r="Y32" s="30"/>
      <c r="Z32" s="30"/>
      <c r="AA32" s="30"/>
      <c r="AB32" s="30" t="s">
        <v>356</v>
      </c>
      <c r="AC32" s="30"/>
      <c r="AD32" s="30"/>
      <c r="AE32" s="54"/>
      <c r="AF32" s="54"/>
      <c r="AG32" s="66">
        <v>2</v>
      </c>
      <c r="AH32" s="115"/>
    </row>
    <row r="33" spans="1:34" s="2" customFormat="1" ht="45" customHeight="1">
      <c r="A33" s="293">
        <f t="shared" si="0"/>
        <v>26</v>
      </c>
      <c r="B33" s="5" t="s">
        <v>1593</v>
      </c>
      <c r="C33" s="296" t="s">
        <v>1635</v>
      </c>
      <c r="D33" s="56">
        <f>IF(F33="","",SUBTOTAL(3,$F$6:F33))</f>
        <v>27</v>
      </c>
      <c r="E33" s="34" t="s">
        <v>1591</v>
      </c>
      <c r="F33" s="107" t="s">
        <v>1763</v>
      </c>
      <c r="G33" s="40" t="s">
        <v>1661</v>
      </c>
      <c r="H33" s="83" t="str">
        <f>IF($G33&lt;&gt;"",VLOOKUP($G33,'WPS '!C$5:M$209,3,FALSE),"")</f>
        <v>136            121</v>
      </c>
      <c r="I33" s="22" t="s">
        <v>1250</v>
      </c>
      <c r="J33" s="22" t="s">
        <v>368</v>
      </c>
      <c r="K33" s="69" t="s">
        <v>1619</v>
      </c>
      <c r="L33" s="22" t="str">
        <f>IF($G33&lt;&gt;"",VLOOKUP($G33,'WPS '!C$5:M$209,8,FALSE),"")</f>
        <v>E71T-1C
EM12K</v>
      </c>
      <c r="M33" s="76" t="s">
        <v>1674</v>
      </c>
      <c r="N33" s="21">
        <v>45960</v>
      </c>
      <c r="O33" s="21">
        <v>45967</v>
      </c>
      <c r="P33" s="21">
        <f t="shared" si="1"/>
        <v>46148</v>
      </c>
      <c r="Q33" s="164" t="s">
        <v>1811</v>
      </c>
      <c r="R33" s="147" t="str">
        <f>IF($G33&lt;&gt;"",VLOOKUP($G33,'WPS '!$C$5:$M$209,2,FALSE),"")</f>
        <v>OSR-WPS-ISO-PA-084</v>
      </c>
      <c r="S33" s="30"/>
      <c r="T33" s="30"/>
      <c r="U33" s="30"/>
      <c r="V33" s="30"/>
      <c r="W33" s="30" t="s">
        <v>356</v>
      </c>
      <c r="X33" s="30"/>
      <c r="Y33" s="30"/>
      <c r="Z33" s="30"/>
      <c r="AA33" s="30"/>
      <c r="AB33" s="30" t="s">
        <v>356</v>
      </c>
      <c r="AC33" s="30"/>
      <c r="AD33" s="30"/>
      <c r="AE33" s="54"/>
      <c r="AF33" s="54"/>
      <c r="AG33" s="66">
        <v>1</v>
      </c>
      <c r="AH33" s="115"/>
    </row>
    <row r="34" spans="1:34" s="2" customFormat="1" ht="45" customHeight="1">
      <c r="A34" s="293">
        <f t="shared" si="0"/>
        <v>27</v>
      </c>
      <c r="B34" s="5" t="s">
        <v>327</v>
      </c>
      <c r="C34" s="296" t="s">
        <v>1635</v>
      </c>
      <c r="D34" s="56">
        <f>IF(F34="","",SUBTOTAL(3,$F$6:F34))</f>
        <v>28</v>
      </c>
      <c r="E34" s="34" t="s">
        <v>3</v>
      </c>
      <c r="F34" s="107" t="s">
        <v>1756</v>
      </c>
      <c r="G34" s="40" t="s">
        <v>663</v>
      </c>
      <c r="H34" s="83">
        <f>IF($G34&lt;&gt;"",VLOOKUP($G34,'WPS '!C$5:M$209,3,FALSE),"")</f>
        <v>136</v>
      </c>
      <c r="I34" s="22" t="s">
        <v>1251</v>
      </c>
      <c r="J34" s="22" t="s">
        <v>1683</v>
      </c>
      <c r="K34" s="69" t="s">
        <v>922</v>
      </c>
      <c r="L34" s="22" t="str">
        <f>IF($G34&lt;&gt;"",VLOOKUP($G34,'WPS '!C$5:M$209,8,FALSE),"")</f>
        <v>E71T-1C</v>
      </c>
      <c r="M34" s="76" t="s">
        <v>4</v>
      </c>
      <c r="N34" s="21">
        <v>45001</v>
      </c>
      <c r="O34" s="21">
        <v>45003</v>
      </c>
      <c r="P34" s="21">
        <f t="shared" si="1"/>
        <v>46099</v>
      </c>
      <c r="Q34" s="164" t="s">
        <v>1811</v>
      </c>
      <c r="R34" s="147" t="str">
        <f>IF($G34&lt;&gt;"",VLOOKUP($G34,'WPS '!$C$5:$M$209,2,FALSE),"")</f>
        <v>OSR-WPS-ISO-PB-007</v>
      </c>
      <c r="S34" s="30"/>
      <c r="T34" s="30"/>
      <c r="U34" s="30"/>
      <c r="V34" s="30"/>
      <c r="W34" s="30" t="s">
        <v>356</v>
      </c>
      <c r="X34" s="30" t="s">
        <v>95</v>
      </c>
      <c r="Y34" s="30"/>
      <c r="Z34" s="30"/>
      <c r="AA34" s="30" t="s">
        <v>95</v>
      </c>
      <c r="AB34" s="30"/>
      <c r="AC34" s="30"/>
      <c r="AD34" s="30"/>
      <c r="AE34" s="54"/>
      <c r="AF34" s="54"/>
      <c r="AG34" s="66">
        <v>6</v>
      </c>
      <c r="AH34" s="115"/>
    </row>
    <row r="35" spans="1:34" s="2" customFormat="1" ht="45" customHeight="1">
      <c r="A35" s="293">
        <f t="shared" si="0"/>
        <v>28</v>
      </c>
      <c r="B35" s="5" t="s">
        <v>327</v>
      </c>
      <c r="C35" s="296" t="s">
        <v>1635</v>
      </c>
      <c r="D35" s="56">
        <f>IF(F35="","",SUBTOTAL(3,$F$6:F35))</f>
        <v>29</v>
      </c>
      <c r="E35" s="34" t="s">
        <v>3</v>
      </c>
      <c r="F35" s="107" t="s">
        <v>1756</v>
      </c>
      <c r="G35" s="40" t="s">
        <v>700</v>
      </c>
      <c r="H35" s="83">
        <f>IF($G35&lt;&gt;"",VLOOKUP($G35,'WPS '!C$5:M$209,3,FALSE),"")</f>
        <v>136</v>
      </c>
      <c r="I35" s="22" t="s">
        <v>1250</v>
      </c>
      <c r="J35" s="22" t="s">
        <v>242</v>
      </c>
      <c r="K35" s="69" t="s">
        <v>884</v>
      </c>
      <c r="L35" s="22" t="str">
        <f>IF($G35&lt;&gt;"",VLOOKUP($G35,'WPS '!C$5:M$209,8,FALSE),"")</f>
        <v>E81T1-W2C</v>
      </c>
      <c r="M35" s="76" t="s">
        <v>135</v>
      </c>
      <c r="N35" s="21">
        <v>45724</v>
      </c>
      <c r="O35" s="21">
        <v>45731</v>
      </c>
      <c r="P35" s="21">
        <f t="shared" si="1"/>
        <v>46096</v>
      </c>
      <c r="Q35" s="164" t="s">
        <v>1811</v>
      </c>
      <c r="R35" s="147" t="str">
        <f>IF($G35&lt;&gt;"",VLOOKUP($G35,'WPS '!$C$5:$M$209,2,FALSE),"")</f>
        <v>OSR-WPS-ISO-PF-045</v>
      </c>
      <c r="S35" s="30"/>
      <c r="T35" s="30"/>
      <c r="U35" s="30"/>
      <c r="V35" s="30"/>
      <c r="W35" s="30"/>
      <c r="X35" s="30" t="s">
        <v>95</v>
      </c>
      <c r="Y35" s="30"/>
      <c r="Z35" s="30"/>
      <c r="AA35" s="30"/>
      <c r="AB35" s="30"/>
      <c r="AC35" s="30"/>
      <c r="AD35" s="30"/>
      <c r="AE35" s="54"/>
      <c r="AF35" s="54"/>
      <c r="AG35" s="66">
        <v>2</v>
      </c>
      <c r="AH35" s="115"/>
    </row>
    <row r="36" spans="1:34" s="2" customFormat="1" ht="45" customHeight="1">
      <c r="A36" s="293">
        <f t="shared" si="0"/>
        <v>29</v>
      </c>
      <c r="B36" s="5" t="s">
        <v>327</v>
      </c>
      <c r="C36" s="296" t="s">
        <v>1635</v>
      </c>
      <c r="D36" s="56">
        <f>IF(F36="","",SUBTOTAL(3,$F$6:F36))</f>
        <v>30</v>
      </c>
      <c r="E36" s="34" t="s">
        <v>3</v>
      </c>
      <c r="F36" s="107" t="s">
        <v>1756</v>
      </c>
      <c r="G36" s="40" t="s">
        <v>709</v>
      </c>
      <c r="H36" s="83">
        <f>IF($G36&lt;&gt;"",VLOOKUP($G36,'WPS '!C$5:M$209,3,FALSE),"")</f>
        <v>136</v>
      </c>
      <c r="I36" s="22" t="s">
        <v>1251</v>
      </c>
      <c r="J36" s="22" t="s">
        <v>242</v>
      </c>
      <c r="K36" s="69" t="s">
        <v>884</v>
      </c>
      <c r="L36" s="22" t="str">
        <f>IF($G36&lt;&gt;"",VLOOKUP($G36,'WPS '!C$5:M$209,8,FALSE),"")</f>
        <v>E309LT1-1/-4</v>
      </c>
      <c r="M36" s="76" t="s">
        <v>890</v>
      </c>
      <c r="N36" s="21">
        <v>45787</v>
      </c>
      <c r="O36" s="21">
        <v>45799</v>
      </c>
      <c r="P36" s="21">
        <f t="shared" si="1"/>
        <v>46164</v>
      </c>
      <c r="Q36" s="164" t="s">
        <v>1811</v>
      </c>
      <c r="R36" s="147" t="str">
        <f>IF($G36&lt;&gt;"",VLOOKUP($G36,'WPS '!$C$5:$M$209,2,FALSE),"")</f>
        <v>OSR-WPS-ISO-PF-054</v>
      </c>
      <c r="S36" s="30"/>
      <c r="T36" s="30"/>
      <c r="U36" s="30"/>
      <c r="V36" s="30"/>
      <c r="W36" s="30"/>
      <c r="X36" s="30"/>
      <c r="Y36" s="30" t="s">
        <v>356</v>
      </c>
      <c r="Z36" s="30"/>
      <c r="AA36" s="30"/>
      <c r="AB36" s="30"/>
      <c r="AC36" s="30"/>
      <c r="AD36" s="30"/>
      <c r="AE36" s="54"/>
      <c r="AF36" s="54"/>
      <c r="AG36" s="66">
        <v>2</v>
      </c>
      <c r="AH36" s="115"/>
    </row>
    <row r="37" spans="1:34" ht="45" customHeight="1">
      <c r="A37" s="293">
        <f t="shared" si="0"/>
        <v>30</v>
      </c>
      <c r="B37" s="5" t="s">
        <v>327</v>
      </c>
      <c r="C37" s="296" t="s">
        <v>1635</v>
      </c>
      <c r="D37" s="56">
        <f>IF(F37="","",SUBTOTAL(3,$F$6:F37))</f>
        <v>31</v>
      </c>
      <c r="E37" s="34" t="s">
        <v>3</v>
      </c>
      <c r="F37" s="107" t="s">
        <v>1756</v>
      </c>
      <c r="G37" s="40" t="s">
        <v>709</v>
      </c>
      <c r="H37" s="83">
        <f>IF($G37&lt;&gt;"",VLOOKUP($G37,'WPS '!C$5:M$209,3,FALSE),"")</f>
        <v>136</v>
      </c>
      <c r="I37" s="22" t="s">
        <v>1251</v>
      </c>
      <c r="J37" s="22" t="s">
        <v>244</v>
      </c>
      <c r="K37" s="69" t="s">
        <v>884</v>
      </c>
      <c r="L37" s="22" t="str">
        <f>IF($G37&lt;&gt;"",VLOOKUP($G37,'WPS '!C$5:M$209,8,FALSE),"")</f>
        <v>E309LT1-1/-4</v>
      </c>
      <c r="M37" s="76" t="s">
        <v>891</v>
      </c>
      <c r="N37" s="21">
        <v>45782</v>
      </c>
      <c r="O37" s="21">
        <v>45785</v>
      </c>
      <c r="P37" s="21">
        <f t="shared" si="1"/>
        <v>46150</v>
      </c>
      <c r="Q37" s="164" t="s">
        <v>1811</v>
      </c>
      <c r="R37" s="147" t="str">
        <f>IF($G37&lt;&gt;"",VLOOKUP($G37,'WPS '!$C$5:$M$209,2,FALSE),"")</f>
        <v>OSR-WPS-ISO-PF-054</v>
      </c>
      <c r="S37" s="30"/>
      <c r="T37" s="30"/>
      <c r="U37" s="30"/>
      <c r="V37" s="30"/>
      <c r="W37" s="30"/>
      <c r="X37" s="30"/>
      <c r="Y37" s="30" t="s">
        <v>356</v>
      </c>
      <c r="Z37" s="30"/>
      <c r="AA37" s="30"/>
      <c r="AB37" s="30"/>
      <c r="AC37" s="30"/>
      <c r="AD37" s="30"/>
      <c r="AE37" s="54"/>
      <c r="AF37" s="54"/>
      <c r="AG37" s="66">
        <v>2</v>
      </c>
      <c r="AH37" s="115"/>
    </row>
    <row r="38" spans="1:34" s="2" customFormat="1" ht="45" customHeight="1">
      <c r="A38" s="293">
        <f t="shared" si="0"/>
        <v>31</v>
      </c>
      <c r="B38" s="28" t="s">
        <v>327</v>
      </c>
      <c r="C38" s="295" t="s">
        <v>1635</v>
      </c>
      <c r="D38" s="56">
        <f>IF(F38="","",SUBTOTAL(3,$F$6:F38))</f>
        <v>32</v>
      </c>
      <c r="E38" s="34" t="s">
        <v>3</v>
      </c>
      <c r="F38" s="107" t="s">
        <v>1756</v>
      </c>
      <c r="G38" s="39" t="s">
        <v>718</v>
      </c>
      <c r="H38" s="83" t="str">
        <f>IF($G38&lt;&gt;"",VLOOKUP($G38,'WPS '!C$5:M$209,3,FALSE),"")</f>
        <v>FCAW</v>
      </c>
      <c r="I38" s="22" t="s">
        <v>852</v>
      </c>
      <c r="J38" s="22" t="s">
        <v>1215</v>
      </c>
      <c r="K38" s="69" t="s">
        <v>964</v>
      </c>
      <c r="L38" s="22" t="str">
        <f>IF($G38&lt;&gt;"",VLOOKUP($G38,'WPS '!C$5:M$209,8,FALSE),"")</f>
        <v>E71T-1C</v>
      </c>
      <c r="M38" s="76" t="s">
        <v>283</v>
      </c>
      <c r="N38" s="21">
        <v>45586</v>
      </c>
      <c r="O38" s="21">
        <v>45590</v>
      </c>
      <c r="P38" s="21">
        <f t="shared" si="1"/>
        <v>46137</v>
      </c>
      <c r="Q38" s="164" t="str">
        <f>IF($G38&lt;&gt;"",VLOOKUP($G38,'WPS '!C$5:M$209,11,FALSE),"")</f>
        <v>ASME IX</v>
      </c>
      <c r="R38" s="147" t="str">
        <f>IF($G38&lt;&gt;"",VLOOKUP($G38,'WPS '!$C$5:$M$209,2,FALSE),"")</f>
        <v>OSR-WPS-ASME-FC-001</v>
      </c>
      <c r="S38" s="30" t="s">
        <v>356</v>
      </c>
      <c r="T38" s="30"/>
      <c r="U38" s="30"/>
      <c r="V38" s="30"/>
      <c r="W38" s="62"/>
      <c r="X38" s="30"/>
      <c r="Y38" s="32"/>
      <c r="Z38" s="32"/>
      <c r="AA38" s="32"/>
      <c r="AB38" s="62"/>
      <c r="AC38" s="62"/>
      <c r="AD38" s="62"/>
      <c r="AE38" s="146"/>
      <c r="AF38" s="146"/>
      <c r="AG38" s="67">
        <v>3</v>
      </c>
      <c r="AH38" s="18"/>
    </row>
    <row r="39" spans="1:34" s="2" customFormat="1" ht="45" customHeight="1">
      <c r="A39" s="293">
        <f t="shared" si="0"/>
        <v>32</v>
      </c>
      <c r="B39" s="28" t="s">
        <v>327</v>
      </c>
      <c r="C39" s="296" t="s">
        <v>1635</v>
      </c>
      <c r="D39" s="56">
        <f>IF(F39="","",SUBTOTAL(3,$F$6:F39))</f>
        <v>33</v>
      </c>
      <c r="E39" s="34" t="s">
        <v>3</v>
      </c>
      <c r="F39" s="107" t="s">
        <v>1756</v>
      </c>
      <c r="G39" s="39" t="s">
        <v>735</v>
      </c>
      <c r="H39" s="83" t="str">
        <f>IF($G39&lt;&gt;"",VLOOKUP($G39,'WPS '!C$5:M$209,3,FALSE),"")</f>
        <v>FCAW</v>
      </c>
      <c r="I39" s="22" t="s">
        <v>1499</v>
      </c>
      <c r="J39" s="77" t="s">
        <v>1215</v>
      </c>
      <c r="K39" s="69" t="s">
        <v>1480</v>
      </c>
      <c r="L39" s="22" t="str">
        <f>IF($G39&lt;&gt;"",VLOOKUP($G39,'WPS '!C$5:M$209,8,FALSE),"")</f>
        <v>E71T-1C</v>
      </c>
      <c r="M39" s="76" t="s">
        <v>1065</v>
      </c>
      <c r="N39" s="21">
        <v>44393</v>
      </c>
      <c r="O39" s="21">
        <v>44400</v>
      </c>
      <c r="P39" s="21">
        <f t="shared" si="1"/>
        <v>46045</v>
      </c>
      <c r="Q39" s="164" t="str">
        <f>IF($G39&lt;&gt;"",VLOOKUP($G39,'WPS '!C$5:M$209,11,FALSE),"")</f>
        <v>AWS D1.1</v>
      </c>
      <c r="R39" s="147" t="str">
        <f>IF($G39&lt;&gt;"",VLOOKUP($G39,'WPS '!$C$5:$M$209,2,FALSE),"")</f>
        <v>OSR-WPS-D1.1-FC-007</v>
      </c>
      <c r="S39" s="30"/>
      <c r="T39" s="30" t="s">
        <v>356</v>
      </c>
      <c r="U39" s="30" t="s">
        <v>356</v>
      </c>
      <c r="V39" s="31" t="s">
        <v>356</v>
      </c>
      <c r="W39" s="31"/>
      <c r="X39" s="31"/>
      <c r="Y39" s="31"/>
      <c r="Z39" s="31"/>
      <c r="AA39" s="31"/>
      <c r="AB39" s="31"/>
      <c r="AC39" s="62" t="s">
        <v>356</v>
      </c>
      <c r="AD39" s="62" t="s">
        <v>356</v>
      </c>
      <c r="AE39" s="146"/>
      <c r="AF39" s="146"/>
      <c r="AG39" s="153">
        <v>9</v>
      </c>
    </row>
    <row r="40" spans="1:34" s="2" customFormat="1" ht="45" customHeight="1">
      <c r="A40" s="293">
        <f t="shared" si="0"/>
        <v>33</v>
      </c>
      <c r="B40" s="28" t="s">
        <v>327</v>
      </c>
      <c r="C40" s="296" t="s">
        <v>1635</v>
      </c>
      <c r="D40" s="56">
        <f>IF(F40="","",SUBTOTAL(3,$F$6:F40))</f>
        <v>34</v>
      </c>
      <c r="E40" s="36" t="s">
        <v>3</v>
      </c>
      <c r="F40" s="106" t="s">
        <v>1756</v>
      </c>
      <c r="G40" s="40" t="s">
        <v>750</v>
      </c>
      <c r="H40" s="83" t="str">
        <f>IF($G40&lt;&gt;"",VLOOKUP($G40,'WPS '!C$5:M$209,3,FALSE),"")</f>
        <v>FCAW</v>
      </c>
      <c r="I40" s="22" t="s">
        <v>1492</v>
      </c>
      <c r="J40" s="77" t="s">
        <v>1215</v>
      </c>
      <c r="K40" s="69" t="s">
        <v>1480</v>
      </c>
      <c r="L40" s="22" t="str">
        <f>IF($G40&lt;&gt;"",VLOOKUP($G40,'WPS '!C$5:M$209,8,FALSE),"")</f>
        <v>E81T1-B2C</v>
      </c>
      <c r="M40" s="76" t="s">
        <v>1080</v>
      </c>
      <c r="N40" s="21">
        <v>44393</v>
      </c>
      <c r="O40" s="21">
        <v>44400</v>
      </c>
      <c r="P40" s="21">
        <f t="shared" si="1"/>
        <v>46045</v>
      </c>
      <c r="Q40" s="164" t="str">
        <f>IF($G40&lt;&gt;"",VLOOKUP($G40,'WPS '!C$5:M$209,11,FALSE),"")</f>
        <v>AWS D1.1</v>
      </c>
      <c r="R40" s="147" t="str">
        <f>IF($G40&lt;&gt;"",VLOOKUP($G40,'WPS '!$C$5:$M$209,2,FALSE),"")</f>
        <v>OSR-WPS-D1.1-FC-022</v>
      </c>
      <c r="S40" s="30"/>
      <c r="T40" s="30"/>
      <c r="U40" s="30"/>
      <c r="V40" s="30"/>
      <c r="W40" s="30"/>
      <c r="X40" s="30"/>
      <c r="Y40" s="30"/>
      <c r="Z40" s="30"/>
      <c r="AA40" s="30"/>
      <c r="AB40" s="30"/>
      <c r="AC40" s="30"/>
      <c r="AD40" s="30"/>
      <c r="AE40" s="54"/>
      <c r="AF40" s="54"/>
      <c r="AG40" s="153">
        <v>9</v>
      </c>
    </row>
    <row r="41" spans="1:34" s="2" customFormat="1" ht="45" customHeight="1">
      <c r="A41" s="293">
        <f t="shared" si="0"/>
        <v>34</v>
      </c>
      <c r="B41" s="28" t="s">
        <v>327</v>
      </c>
      <c r="C41" s="296" t="s">
        <v>1635</v>
      </c>
      <c r="D41" s="56">
        <f>IF(F41="","",SUBTOTAL(3,$F$6:F41))</f>
        <v>35</v>
      </c>
      <c r="E41" s="34" t="s">
        <v>3</v>
      </c>
      <c r="F41" s="108" t="s">
        <v>1756</v>
      </c>
      <c r="G41" s="40" t="s">
        <v>770</v>
      </c>
      <c r="H41" s="83" t="str">
        <f>IF($G41&lt;&gt;"",VLOOKUP($G41,'WPS '!C$5:M$209,3,FALSE),"")</f>
        <v>FCAW</v>
      </c>
      <c r="I41" s="22" t="s">
        <v>1506</v>
      </c>
      <c r="J41" s="77" t="s">
        <v>1407</v>
      </c>
      <c r="K41" s="69" t="s">
        <v>1411</v>
      </c>
      <c r="L41" s="22" t="str">
        <f>IF($G41&lt;&gt;"",VLOOKUP($G41,'WPS '!C$5:M$209,8,FALSE),"")</f>
        <v>E81T1-B2C2</v>
      </c>
      <c r="M41" s="76" t="s">
        <v>1095</v>
      </c>
      <c r="N41" s="21">
        <v>44393</v>
      </c>
      <c r="O41" s="21">
        <v>44400</v>
      </c>
      <c r="P41" s="21">
        <f t="shared" si="1"/>
        <v>46045</v>
      </c>
      <c r="Q41" s="164" t="str">
        <f>IF($G41&lt;&gt;"",VLOOKUP($G41,'WPS '!C$5:M$209,11,FALSE),"")</f>
        <v>AWS D1.1</v>
      </c>
      <c r="R41" s="147" t="str">
        <f>IF($G41&lt;&gt;"",VLOOKUP($G41,'WPS '!$C$5:$M$209,2,FALSE),"")</f>
        <v>OSR-WPS-D1.1-FC-042</v>
      </c>
      <c r="S41" s="30"/>
      <c r="T41" s="30"/>
      <c r="U41" s="30"/>
      <c r="V41" s="30"/>
      <c r="W41" s="30"/>
      <c r="X41" s="30"/>
      <c r="Y41" s="30"/>
      <c r="Z41" s="30"/>
      <c r="AA41" s="30"/>
      <c r="AB41" s="30"/>
      <c r="AC41" s="30"/>
      <c r="AD41" s="30"/>
      <c r="AE41" s="54"/>
      <c r="AF41" s="54"/>
      <c r="AG41" s="153">
        <v>9</v>
      </c>
    </row>
    <row r="42" spans="1:34" s="2" customFormat="1" ht="45" customHeight="1">
      <c r="A42" s="293">
        <f t="shared" si="0"/>
        <v>35</v>
      </c>
      <c r="B42" s="5" t="s">
        <v>1634</v>
      </c>
      <c r="C42" s="5" t="s">
        <v>328</v>
      </c>
      <c r="D42" s="56">
        <f>IF(F42="","",SUBTOTAL(3,$F$6:F42))</f>
        <v>36</v>
      </c>
      <c r="E42" s="37" t="s">
        <v>213</v>
      </c>
      <c r="F42" s="109" t="s">
        <v>1702</v>
      </c>
      <c r="G42" s="40" t="s">
        <v>665</v>
      </c>
      <c r="H42" s="83">
        <f>IF($G42&lt;&gt;"",VLOOKUP($G42,'WPS '!C$5:M$209,3,FALSE),"")</f>
        <v>136</v>
      </c>
      <c r="I42" s="22" t="s">
        <v>1252</v>
      </c>
      <c r="J42" s="22" t="s">
        <v>245</v>
      </c>
      <c r="K42" s="70" t="s">
        <v>884</v>
      </c>
      <c r="L42" s="22" t="str">
        <f>IF($G42&lt;&gt;"",VLOOKUP($G42,'WPS '!C$5:M$209,8,FALSE),"")</f>
        <v>E71T-1C</v>
      </c>
      <c r="M42" s="76" t="s">
        <v>214</v>
      </c>
      <c r="N42" s="23">
        <v>45836</v>
      </c>
      <c r="O42" s="23">
        <v>45839</v>
      </c>
      <c r="P42" s="21">
        <f t="shared" si="1"/>
        <v>46204</v>
      </c>
      <c r="Q42" s="164" t="s">
        <v>1811</v>
      </c>
      <c r="R42" s="147" t="str">
        <f>IF($G42&lt;&gt;"",VLOOKUP($G42,'WPS '!$C$5:$M$209,2,FALSE),"")</f>
        <v>OSR-WPS-ISO-PB-ML-009</v>
      </c>
      <c r="S42" s="30"/>
      <c r="T42" s="30"/>
      <c r="U42" s="30"/>
      <c r="V42" s="30"/>
      <c r="W42" s="30"/>
      <c r="X42" s="30"/>
      <c r="Y42" s="30"/>
      <c r="Z42" s="30"/>
      <c r="AA42" s="30"/>
      <c r="AB42" s="30"/>
      <c r="AC42" s="30"/>
      <c r="AD42" s="30"/>
      <c r="AE42" s="54"/>
      <c r="AF42" s="54"/>
      <c r="AG42" s="66">
        <v>2</v>
      </c>
      <c r="AH42" s="115"/>
    </row>
    <row r="43" spans="1:34" s="2" customFormat="1" ht="45" customHeight="1">
      <c r="A43" s="293">
        <f t="shared" si="0"/>
        <v>36</v>
      </c>
      <c r="B43" s="28" t="s">
        <v>1634</v>
      </c>
      <c r="C43" s="28" t="s">
        <v>328</v>
      </c>
      <c r="D43" s="56">
        <f>IF(F43="","",SUBTOTAL(3,$F$6:F43))</f>
        <v>37</v>
      </c>
      <c r="E43" s="34" t="s">
        <v>213</v>
      </c>
      <c r="F43" s="107" t="s">
        <v>1702</v>
      </c>
      <c r="G43" s="39" t="s">
        <v>718</v>
      </c>
      <c r="H43" s="83" t="str">
        <f>IF($G43&lt;&gt;"",VLOOKUP($G43,'WPS '!C$5:M$209,3,FALSE),"")</f>
        <v>FCAW</v>
      </c>
      <c r="I43" s="22" t="s">
        <v>852</v>
      </c>
      <c r="J43" s="22" t="s">
        <v>115</v>
      </c>
      <c r="K43" s="69" t="s">
        <v>116</v>
      </c>
      <c r="L43" s="22" t="str">
        <f>IF($G43&lt;&gt;"",VLOOKUP($G43,'WPS '!C$5:M$209,8,FALSE),"")</f>
        <v>E71T-1C</v>
      </c>
      <c r="M43" s="76" t="s">
        <v>312</v>
      </c>
      <c r="N43" s="21">
        <v>45836</v>
      </c>
      <c r="O43" s="21">
        <v>45839</v>
      </c>
      <c r="P43" s="21">
        <f t="shared" si="1"/>
        <v>46204</v>
      </c>
      <c r="Q43" s="164" t="str">
        <f>IF($G43&lt;&gt;"",VLOOKUP($G43,'WPS '!C$5:M$209,11,FALSE),"")</f>
        <v>ASME IX</v>
      </c>
      <c r="R43" s="147" t="str">
        <f>IF($G43&lt;&gt;"",VLOOKUP($G43,'WPS '!$C$5:$M$209,2,FALSE),"")</f>
        <v>OSR-WPS-ASME-FC-001</v>
      </c>
      <c r="S43" s="30"/>
      <c r="T43" s="30"/>
      <c r="U43" s="30"/>
      <c r="V43" s="30"/>
      <c r="W43" s="62"/>
      <c r="X43" s="30"/>
      <c r="Y43" s="31"/>
      <c r="Z43" s="31"/>
      <c r="AA43" s="31"/>
      <c r="AB43" s="62"/>
      <c r="AC43" s="62"/>
      <c r="AD43" s="62"/>
      <c r="AE43" s="146"/>
      <c r="AF43" s="146"/>
      <c r="AG43" s="67">
        <v>2</v>
      </c>
      <c r="AH43" s="18"/>
    </row>
    <row r="44" spans="1:34" s="2" customFormat="1" ht="45" customHeight="1">
      <c r="A44" s="293">
        <f t="shared" si="0"/>
        <v>37</v>
      </c>
      <c r="B44" s="5" t="s">
        <v>326</v>
      </c>
      <c r="C44" s="296" t="s">
        <v>1635</v>
      </c>
      <c r="D44" s="56">
        <f>IF(F44="","",SUBTOTAL(3,$F$6:F44))</f>
        <v>38</v>
      </c>
      <c r="E44" s="34" t="s">
        <v>58</v>
      </c>
      <c r="F44" s="108" t="s">
        <v>1740</v>
      </c>
      <c r="G44" s="40" t="s">
        <v>661</v>
      </c>
      <c r="H44" s="83">
        <f>IF($G44&lt;&gt;"",VLOOKUP($G44,'WPS '!C$5:M$209,3,FALSE),"")</f>
        <v>136</v>
      </c>
      <c r="I44" s="22" t="s">
        <v>1250</v>
      </c>
      <c r="J44" s="22" t="s">
        <v>1681</v>
      </c>
      <c r="K44" s="69" t="s">
        <v>884</v>
      </c>
      <c r="L44" s="22" t="str">
        <f>IF($G44&lt;&gt;"",VLOOKUP($G44,'WPS '!C$5:M$209,8,FALSE),"")</f>
        <v>E71T-1C</v>
      </c>
      <c r="M44" s="76" t="s">
        <v>59</v>
      </c>
      <c r="N44" s="21">
        <v>45359</v>
      </c>
      <c r="O44" s="21">
        <v>45362</v>
      </c>
      <c r="P44" s="21">
        <f t="shared" si="1"/>
        <v>46092</v>
      </c>
      <c r="Q44" s="164" t="s">
        <v>1811</v>
      </c>
      <c r="R44" s="147" t="str">
        <f>IF($G44&lt;&gt;"",VLOOKUP($G44,'WPS '!$C$5:$M$209,2,FALSE),"")</f>
        <v>OSR-WPS-ISO-PC+PF-005</v>
      </c>
      <c r="S44" s="30"/>
      <c r="T44" s="30"/>
      <c r="U44" s="30"/>
      <c r="V44" s="30"/>
      <c r="W44" s="30" t="s">
        <v>356</v>
      </c>
      <c r="X44" s="30" t="s">
        <v>95</v>
      </c>
      <c r="Y44" s="30"/>
      <c r="Z44" s="30"/>
      <c r="AA44" s="30"/>
      <c r="AB44" s="30"/>
      <c r="AC44" s="30"/>
      <c r="AD44" s="30"/>
      <c r="AE44" s="54"/>
      <c r="AF44" s="54"/>
      <c r="AG44" s="66">
        <v>4</v>
      </c>
      <c r="AH44" s="115"/>
    </row>
    <row r="45" spans="1:34" s="2" customFormat="1" ht="45" customHeight="1">
      <c r="A45" s="293">
        <f t="shared" si="0"/>
        <v>38</v>
      </c>
      <c r="B45" s="5" t="s">
        <v>326</v>
      </c>
      <c r="C45" s="296" t="s">
        <v>1635</v>
      </c>
      <c r="D45" s="56">
        <f>IF(F45="","",SUBTOTAL(3,$F$6:F45))</f>
        <v>39</v>
      </c>
      <c r="E45" s="34" t="s">
        <v>58</v>
      </c>
      <c r="F45" s="108" t="s">
        <v>1740</v>
      </c>
      <c r="G45" s="40" t="s">
        <v>675</v>
      </c>
      <c r="H45" s="83">
        <f>IF($G45&lt;&gt;"",VLOOKUP($G45,'WPS '!C$5:M$209,3,FALSE),"")</f>
        <v>136</v>
      </c>
      <c r="I45" s="22" t="s">
        <v>1250</v>
      </c>
      <c r="J45" s="22" t="s">
        <v>1676</v>
      </c>
      <c r="K45" s="69" t="s">
        <v>884</v>
      </c>
      <c r="L45" s="22" t="str">
        <f>IF($G45&lt;&gt;"",VLOOKUP($G45,'WPS '!C$5:M$209,8,FALSE),"")</f>
        <v>E71T-1C</v>
      </c>
      <c r="M45" s="76" t="s">
        <v>261</v>
      </c>
      <c r="N45" s="21">
        <v>45862</v>
      </c>
      <c r="O45" s="21">
        <v>45864</v>
      </c>
      <c r="P45" s="21">
        <f t="shared" si="1"/>
        <v>46229</v>
      </c>
      <c r="Q45" s="164" t="s">
        <v>1811</v>
      </c>
      <c r="R45" s="147" t="str">
        <f>IF($G45&lt;&gt;"",VLOOKUP($G45,'WPS '!$C$5:$M$209,2,FALSE),"")</f>
        <v>OSR-WPS-ISO-PE-020</v>
      </c>
      <c r="S45" s="30"/>
      <c r="T45" s="30"/>
      <c r="U45" s="30"/>
      <c r="V45" s="30"/>
      <c r="W45" s="30"/>
      <c r="X45" s="30"/>
      <c r="Y45" s="30"/>
      <c r="Z45" s="30"/>
      <c r="AA45" s="30"/>
      <c r="AB45" s="30" t="s">
        <v>95</v>
      </c>
      <c r="AC45" s="30"/>
      <c r="AD45" s="30"/>
      <c r="AE45" s="54"/>
      <c r="AF45" s="54"/>
      <c r="AG45" s="66">
        <v>2</v>
      </c>
      <c r="AH45" s="115"/>
    </row>
    <row r="46" spans="1:34" s="2" customFormat="1" ht="45" customHeight="1">
      <c r="A46" s="293">
        <f t="shared" si="0"/>
        <v>39</v>
      </c>
      <c r="B46" s="5" t="s">
        <v>326</v>
      </c>
      <c r="C46" s="296" t="s">
        <v>1635</v>
      </c>
      <c r="D46" s="56">
        <f>IF(F46="","",SUBTOTAL(3,$F$6:F46))</f>
        <v>40</v>
      </c>
      <c r="E46" s="34" t="s">
        <v>58</v>
      </c>
      <c r="F46" s="108" t="s">
        <v>1740</v>
      </c>
      <c r="G46" s="40" t="s">
        <v>700</v>
      </c>
      <c r="H46" s="83">
        <f>IF($G46&lt;&gt;"",VLOOKUP($G46,'WPS '!C$5:M$209,3,FALSE),"")</f>
        <v>136</v>
      </c>
      <c r="I46" s="22" t="s">
        <v>1250</v>
      </c>
      <c r="J46" s="22" t="s">
        <v>242</v>
      </c>
      <c r="K46" s="69" t="s">
        <v>884</v>
      </c>
      <c r="L46" s="22" t="str">
        <f>IF($G46&lt;&gt;"",VLOOKUP($G46,'WPS '!C$5:M$209,8,FALSE),"")</f>
        <v>E81T1-W2C</v>
      </c>
      <c r="M46" s="76" t="s">
        <v>136</v>
      </c>
      <c r="N46" s="21">
        <v>45724</v>
      </c>
      <c r="O46" s="21">
        <v>45731</v>
      </c>
      <c r="P46" s="21">
        <f t="shared" si="1"/>
        <v>46096</v>
      </c>
      <c r="Q46" s="164" t="s">
        <v>1811</v>
      </c>
      <c r="R46" s="147" t="str">
        <f>IF($G46&lt;&gt;"",VLOOKUP($G46,'WPS '!$C$5:$M$209,2,FALSE),"")</f>
        <v>OSR-WPS-ISO-PF-045</v>
      </c>
      <c r="S46" s="30"/>
      <c r="T46" s="30"/>
      <c r="U46" s="30"/>
      <c r="V46" s="30"/>
      <c r="W46" s="30"/>
      <c r="X46" s="30" t="s">
        <v>95</v>
      </c>
      <c r="Y46" s="30"/>
      <c r="Z46" s="30"/>
      <c r="AA46" s="30"/>
      <c r="AB46" s="30"/>
      <c r="AC46" s="30"/>
      <c r="AD46" s="30"/>
      <c r="AE46" s="54"/>
      <c r="AF46" s="54"/>
      <c r="AG46" s="66">
        <v>2</v>
      </c>
      <c r="AH46" s="115"/>
    </row>
    <row r="47" spans="1:34" s="2" customFormat="1" ht="45" customHeight="1">
      <c r="A47" s="293">
        <f t="shared" si="0"/>
        <v>40</v>
      </c>
      <c r="B47" s="5" t="s">
        <v>326</v>
      </c>
      <c r="C47" s="296" t="s">
        <v>1635</v>
      </c>
      <c r="D47" s="56">
        <f>IF(F47="","",SUBTOTAL(3,$F$6:F47))</f>
        <v>41</v>
      </c>
      <c r="E47" s="34" t="s">
        <v>58</v>
      </c>
      <c r="F47" s="108" t="s">
        <v>1740</v>
      </c>
      <c r="G47" s="40" t="s">
        <v>704</v>
      </c>
      <c r="H47" s="83">
        <f>IF($G47&lt;&gt;"",VLOOKUP($G47,'WPS '!C$5:M$209,3,FALSE),"")</f>
        <v>136</v>
      </c>
      <c r="I47" s="22" t="s">
        <v>1251</v>
      </c>
      <c r="J47" s="22" t="s">
        <v>242</v>
      </c>
      <c r="K47" s="69" t="s">
        <v>884</v>
      </c>
      <c r="L47" s="22" t="str">
        <f>IF($G47&lt;&gt;"",VLOOKUP($G47,'WPS '!C$5:M$209,8,FALSE),"")</f>
        <v>E71T-1C</v>
      </c>
      <c r="M47" s="76" t="s">
        <v>906</v>
      </c>
      <c r="N47" s="21">
        <v>45795</v>
      </c>
      <c r="O47" s="21">
        <v>45799</v>
      </c>
      <c r="P47" s="21">
        <f t="shared" si="1"/>
        <v>46164</v>
      </c>
      <c r="Q47" s="164" t="s">
        <v>1811</v>
      </c>
      <c r="R47" s="147" t="str">
        <f>IF($G47&lt;&gt;"",VLOOKUP($G47,'WPS '!$C$5:$M$209,2,FALSE),"")</f>
        <v>OSR-WPS-ISO-PF-049</v>
      </c>
      <c r="S47" s="30"/>
      <c r="T47" s="30"/>
      <c r="U47" s="30"/>
      <c r="V47" s="30"/>
      <c r="W47" s="30"/>
      <c r="X47" s="30"/>
      <c r="Y47" s="30" t="s">
        <v>356</v>
      </c>
      <c r="Z47" s="30"/>
      <c r="AA47" s="30"/>
      <c r="AB47" s="30"/>
      <c r="AC47" s="30"/>
      <c r="AD47" s="30"/>
      <c r="AE47" s="54"/>
      <c r="AF47" s="54"/>
      <c r="AG47" s="66">
        <v>2</v>
      </c>
      <c r="AH47" s="115"/>
    </row>
    <row r="48" spans="1:34" s="2" customFormat="1" ht="45" customHeight="1">
      <c r="A48" s="293">
        <f t="shared" si="0"/>
        <v>41</v>
      </c>
      <c r="B48" s="28" t="s">
        <v>326</v>
      </c>
      <c r="C48" s="295" t="s">
        <v>1635</v>
      </c>
      <c r="D48" s="56">
        <f>IF(F48="","",SUBTOTAL(3,$F$6:F48))</f>
        <v>42</v>
      </c>
      <c r="E48" s="34" t="s">
        <v>58</v>
      </c>
      <c r="F48" s="107" t="s">
        <v>1740</v>
      </c>
      <c r="G48" s="39" t="s">
        <v>719</v>
      </c>
      <c r="H48" s="83" t="str">
        <f>IF($G48&lt;&gt;"",VLOOKUP($G48,'WPS '!C$5:M$209,3,FALSE),"")</f>
        <v>FCAW</v>
      </c>
      <c r="I48" s="22" t="s">
        <v>850</v>
      </c>
      <c r="J48" s="22" t="s">
        <v>1215</v>
      </c>
      <c r="K48" s="69" t="s">
        <v>964</v>
      </c>
      <c r="L48" s="22" t="str">
        <f>IF($G48&lt;&gt;"",VLOOKUP($G48,'WPS '!C$5:M$209,8,FALSE),"")</f>
        <v>E71T-1C</v>
      </c>
      <c r="M48" s="76" t="s">
        <v>293</v>
      </c>
      <c r="N48" s="21">
        <v>45586</v>
      </c>
      <c r="O48" s="21">
        <v>45590</v>
      </c>
      <c r="P48" s="21">
        <f t="shared" si="1"/>
        <v>46137</v>
      </c>
      <c r="Q48" s="164" t="str">
        <f>IF($G48&lt;&gt;"",VLOOKUP($G48,'WPS '!C$5:M$209,11,FALSE),"")</f>
        <v>ASME IX</v>
      </c>
      <c r="R48" s="147" t="str">
        <f>IF($G48&lt;&gt;"",VLOOKUP($G48,'WPS '!$C$5:$M$209,2,FALSE),"")</f>
        <v>OSR-WPS-ASME-FC-002</v>
      </c>
      <c r="S48" s="30" t="s">
        <v>356</v>
      </c>
      <c r="T48" s="30"/>
      <c r="U48" s="30"/>
      <c r="V48" s="30"/>
      <c r="W48" s="62"/>
      <c r="X48" s="30"/>
      <c r="Y48" s="32"/>
      <c r="Z48" s="32"/>
      <c r="AA48" s="32"/>
      <c r="AB48" s="62"/>
      <c r="AC48" s="62"/>
      <c r="AD48" s="62"/>
      <c r="AE48" s="146"/>
      <c r="AF48" s="146"/>
      <c r="AG48" s="67">
        <v>3</v>
      </c>
      <c r="AH48" s="18"/>
    </row>
    <row r="49" spans="1:34" s="2" customFormat="1" ht="45" customHeight="1">
      <c r="A49" s="293">
        <f t="shared" si="0"/>
        <v>42</v>
      </c>
      <c r="B49" s="28" t="s">
        <v>326</v>
      </c>
      <c r="C49" s="296" t="s">
        <v>1635</v>
      </c>
      <c r="D49" s="56">
        <f>IF(F49="","",SUBTOTAL(3,$F$6:F49))</f>
        <v>43</v>
      </c>
      <c r="E49" s="36" t="s">
        <v>58</v>
      </c>
      <c r="F49" s="106" t="s">
        <v>1740</v>
      </c>
      <c r="G49" s="40" t="s">
        <v>735</v>
      </c>
      <c r="H49" s="83" t="str">
        <f>IF($G49&lt;&gt;"",VLOOKUP($G49,'WPS '!C$5:M$209,3,FALSE),"")</f>
        <v>FCAW</v>
      </c>
      <c r="I49" s="22" t="s">
        <v>1499</v>
      </c>
      <c r="J49" s="77" t="s">
        <v>1215</v>
      </c>
      <c r="K49" s="69" t="s">
        <v>1480</v>
      </c>
      <c r="L49" s="22" t="str">
        <f>IF($G49&lt;&gt;"",VLOOKUP($G49,'WPS '!C$5:M$209,8,FALSE),"")</f>
        <v>E71T-1C</v>
      </c>
      <c r="M49" s="76" t="s">
        <v>1066</v>
      </c>
      <c r="N49" s="21">
        <v>44393</v>
      </c>
      <c r="O49" s="21">
        <v>44400</v>
      </c>
      <c r="P49" s="21">
        <f t="shared" si="1"/>
        <v>46045</v>
      </c>
      <c r="Q49" s="164" t="str">
        <f>IF($G49&lt;&gt;"",VLOOKUP($G49,'WPS '!C$5:M$209,11,FALSE),"")</f>
        <v>AWS D1.1</v>
      </c>
      <c r="R49" s="147" t="str">
        <f>IF($G49&lt;&gt;"",VLOOKUP($G49,'WPS '!$C$5:$M$209,2,FALSE),"")</f>
        <v>OSR-WPS-D1.1-FC-007</v>
      </c>
      <c r="S49" s="30"/>
      <c r="T49" s="30" t="s">
        <v>356</v>
      </c>
      <c r="U49" s="30" t="s">
        <v>356</v>
      </c>
      <c r="V49" s="30" t="s">
        <v>356</v>
      </c>
      <c r="W49" s="30"/>
      <c r="X49" s="30"/>
      <c r="Y49" s="30"/>
      <c r="Z49" s="30"/>
      <c r="AA49" s="30"/>
      <c r="AB49" s="30"/>
      <c r="AC49" s="30" t="s">
        <v>356</v>
      </c>
      <c r="AD49" s="30" t="s">
        <v>356</v>
      </c>
      <c r="AE49" s="54"/>
      <c r="AF49" s="54"/>
      <c r="AG49" s="153">
        <v>9</v>
      </c>
    </row>
    <row r="50" spans="1:34" s="2" customFormat="1" ht="45" customHeight="1">
      <c r="A50" s="293">
        <f t="shared" si="0"/>
        <v>43</v>
      </c>
      <c r="B50" s="28" t="s">
        <v>326</v>
      </c>
      <c r="C50" s="296" t="s">
        <v>1635</v>
      </c>
      <c r="D50" s="56">
        <f>IF(F50="","",SUBTOTAL(3,$F$6:F50))</f>
        <v>44</v>
      </c>
      <c r="E50" s="36" t="s">
        <v>58</v>
      </c>
      <c r="F50" s="106" t="s">
        <v>1740</v>
      </c>
      <c r="G50" s="40" t="s">
        <v>776</v>
      </c>
      <c r="H50" s="83" t="str">
        <f>IF($G50&lt;&gt;"",VLOOKUP($G50,'WPS '!C$5:M$209,3,FALSE),"")</f>
        <v>FCAW</v>
      </c>
      <c r="I50" s="22" t="s">
        <v>1383</v>
      </c>
      <c r="J50" s="77" t="s">
        <v>104</v>
      </c>
      <c r="K50" s="69" t="s">
        <v>1405</v>
      </c>
      <c r="L50" s="22" t="str">
        <f>IF($G50&lt;&gt;"",VLOOKUP($G50,'WPS '!C$5:M$209,8,FALSE),"")</f>
        <v>E71T-1C</v>
      </c>
      <c r="M50" s="76" t="s">
        <v>1101</v>
      </c>
      <c r="N50" s="21">
        <v>44393</v>
      </c>
      <c r="O50" s="21">
        <v>44400</v>
      </c>
      <c r="P50" s="21">
        <f t="shared" si="1"/>
        <v>46045</v>
      </c>
      <c r="Q50" s="164" t="str">
        <f>IF($G50&lt;&gt;"",VLOOKUP($G50,'WPS '!C$5:M$209,11,FALSE),"")</f>
        <v>AWS D1.1</v>
      </c>
      <c r="R50" s="147" t="str">
        <f>IF($G50&lt;&gt;"",VLOOKUP($G50,'WPS '!$C$5:$M$209,2,FALSE),"")</f>
        <v>OSR-WPS-D1.1-FC-048</v>
      </c>
      <c r="S50" s="30"/>
      <c r="T50" s="30"/>
      <c r="U50" s="30"/>
      <c r="V50" s="30"/>
      <c r="W50" s="30"/>
      <c r="X50" s="30"/>
      <c r="Y50" s="30"/>
      <c r="Z50" s="30"/>
      <c r="AA50" s="30"/>
      <c r="AB50" s="30"/>
      <c r="AC50" s="30"/>
      <c r="AD50" s="30"/>
      <c r="AE50" s="54"/>
      <c r="AF50" s="54"/>
      <c r="AG50" s="153">
        <v>9</v>
      </c>
    </row>
    <row r="51" spans="1:34" ht="45" customHeight="1">
      <c r="A51" s="293">
        <f t="shared" si="0"/>
        <v>44</v>
      </c>
      <c r="B51" s="28" t="s">
        <v>326</v>
      </c>
      <c r="C51" s="296" t="s">
        <v>1635</v>
      </c>
      <c r="D51" s="56">
        <f>IF(F51="","",SUBTOTAL(3,$F$6:F51))</f>
        <v>45</v>
      </c>
      <c r="E51" s="36" t="s">
        <v>58</v>
      </c>
      <c r="F51" s="106" t="s">
        <v>1740</v>
      </c>
      <c r="G51" s="40" t="s">
        <v>787</v>
      </c>
      <c r="H51" s="83" t="str">
        <f>IF($G51&lt;&gt;"",VLOOKUP($G51,'WPS '!C$5:M$209,3,FALSE),"")</f>
        <v>FCAW</v>
      </c>
      <c r="I51" s="22" t="s">
        <v>1492</v>
      </c>
      <c r="J51" s="77" t="s">
        <v>1215</v>
      </c>
      <c r="K51" s="69" t="s">
        <v>1480</v>
      </c>
      <c r="L51" s="22" t="str">
        <f>IF($G51&lt;&gt;"",VLOOKUP($G51,'WPS '!C$5:M$209,8,FALSE),"")</f>
        <v>E71T-1C</v>
      </c>
      <c r="M51" s="76" t="s">
        <v>1020</v>
      </c>
      <c r="N51" s="21">
        <v>44911</v>
      </c>
      <c r="O51" s="21">
        <v>44921</v>
      </c>
      <c r="P51" s="21">
        <f t="shared" si="1"/>
        <v>46017</v>
      </c>
      <c r="Q51" s="164" t="str">
        <f>IF($G51&lt;&gt;"",VLOOKUP($G51,'WPS '!C$5:M$209,11,FALSE),"")</f>
        <v>AWS D1.1</v>
      </c>
      <c r="R51" s="147" t="str">
        <f>IF($G51&lt;&gt;"",VLOOKUP($G51,'WPS '!$C$5:$M$209,2,FALSE),"")</f>
        <v>OSR-WPS-D1.1-FC-059</v>
      </c>
      <c r="S51" s="30"/>
      <c r="T51" s="30" t="s">
        <v>356</v>
      </c>
      <c r="U51" s="30" t="s">
        <v>356</v>
      </c>
      <c r="V51" s="30" t="s">
        <v>356</v>
      </c>
      <c r="W51" s="30"/>
      <c r="X51" s="30"/>
      <c r="Y51" s="30"/>
      <c r="Z51" s="30"/>
      <c r="AA51" s="30"/>
      <c r="AB51" s="30"/>
      <c r="AC51" s="30"/>
      <c r="AD51" s="30"/>
      <c r="AE51" s="54"/>
      <c r="AF51" s="54"/>
      <c r="AG51" s="153">
        <v>6</v>
      </c>
    </row>
    <row r="52" spans="1:34" ht="45" customHeight="1">
      <c r="A52" s="293">
        <f t="shared" si="0"/>
        <v>45</v>
      </c>
      <c r="B52" s="28" t="s">
        <v>326</v>
      </c>
      <c r="C52" s="296" t="s">
        <v>1635</v>
      </c>
      <c r="D52" s="56">
        <f>IF(F52="","",SUBTOTAL(3,$F$6:F52))</f>
        <v>46</v>
      </c>
      <c r="E52" s="36" t="s">
        <v>58</v>
      </c>
      <c r="F52" s="106" t="s">
        <v>1740</v>
      </c>
      <c r="G52" s="40" t="s">
        <v>1171</v>
      </c>
      <c r="H52" s="83" t="str">
        <f>IF($G52&lt;&gt;"",VLOOKUP($G52,'WPS '!C$5:M$209,3,FALSE),"")</f>
        <v>FCAW</v>
      </c>
      <c r="I52" s="22" t="s">
        <v>1206</v>
      </c>
      <c r="J52" s="77" t="s">
        <v>1214</v>
      </c>
      <c r="K52" s="69" t="s">
        <v>1290</v>
      </c>
      <c r="L52" s="22" t="str">
        <f>IF($G52&lt;&gt;"",VLOOKUP($G52,'WPS '!C$5:M$209,8,FALSE),"")</f>
        <v>E71T-1C</v>
      </c>
      <c r="M52" s="76" t="s">
        <v>1207</v>
      </c>
      <c r="N52" s="21">
        <v>45900</v>
      </c>
      <c r="O52" s="21">
        <v>45906</v>
      </c>
      <c r="P52" s="21">
        <f t="shared" si="1"/>
        <v>46271</v>
      </c>
      <c r="Q52" s="164" t="str">
        <f>IF($G52&lt;&gt;"",VLOOKUP($G52,'WPS '!C$5:M$209,11,FALSE),"")</f>
        <v>AWS D1.1</v>
      </c>
      <c r="R52" s="147" t="str">
        <f>IF($G52&lt;&gt;"",VLOOKUP($G52,'WPS '!$C$5:$M$209,2,FALSE),"")</f>
        <v>OSR-WPS-D1.1-FC-099</v>
      </c>
      <c r="S52" s="30"/>
      <c r="T52" s="30" t="s">
        <v>356</v>
      </c>
      <c r="U52" s="30" t="s">
        <v>356</v>
      </c>
      <c r="V52" s="30" t="s">
        <v>356</v>
      </c>
      <c r="W52" s="30"/>
      <c r="X52" s="30"/>
      <c r="Y52" s="30"/>
      <c r="Z52" s="30"/>
      <c r="AA52" s="30"/>
      <c r="AB52" s="30"/>
      <c r="AC52" s="30" t="s">
        <v>95</v>
      </c>
      <c r="AD52" s="30" t="s">
        <v>356</v>
      </c>
      <c r="AE52" s="54"/>
      <c r="AF52" s="54"/>
      <c r="AG52" s="153">
        <v>2</v>
      </c>
    </row>
    <row r="53" spans="1:34" ht="45" customHeight="1">
      <c r="A53" s="293">
        <f t="shared" si="0"/>
        <v>46</v>
      </c>
      <c r="B53" s="5" t="s">
        <v>1632</v>
      </c>
      <c r="C53" s="296" t="s">
        <v>1635</v>
      </c>
      <c r="D53" s="56">
        <f>IF(F53="","",SUBTOTAL(3,$F$6:F53))</f>
        <v>47</v>
      </c>
      <c r="E53" s="34" t="s">
        <v>5</v>
      </c>
      <c r="F53" s="107" t="s">
        <v>1724</v>
      </c>
      <c r="G53" s="40" t="s">
        <v>659</v>
      </c>
      <c r="H53" s="83">
        <f>IF($G53&lt;&gt;"",VLOOKUP($G53,'WPS '!C$5:M$209,3,FALSE),"")</f>
        <v>111</v>
      </c>
      <c r="I53" s="22" t="s">
        <v>1250</v>
      </c>
      <c r="J53" s="22" t="s">
        <v>240</v>
      </c>
      <c r="K53" s="69" t="s">
        <v>884</v>
      </c>
      <c r="L53" s="22" t="str">
        <f>IF($G53&lt;&gt;"",VLOOKUP($G53,'WPS '!C$5:M$209,8,FALSE),"")</f>
        <v>E7018.G</v>
      </c>
      <c r="M53" s="76" t="s">
        <v>7</v>
      </c>
      <c r="N53" s="21">
        <v>44894</v>
      </c>
      <c r="O53" s="21">
        <v>44895</v>
      </c>
      <c r="P53" s="21">
        <f t="shared" si="1"/>
        <v>46172</v>
      </c>
      <c r="Q53" s="164" t="s">
        <v>1811</v>
      </c>
      <c r="R53" s="147" t="str">
        <f>IF($G53&lt;&gt;"",VLOOKUP($G53,'WPS '!$C$5:$M$209,2,FALSE),"")</f>
        <v>OSR-WPS-ISO-003</v>
      </c>
      <c r="S53" s="30"/>
      <c r="T53" s="30"/>
      <c r="U53" s="30"/>
      <c r="V53" s="30"/>
      <c r="W53" s="30"/>
      <c r="X53" s="30"/>
      <c r="Y53" s="30"/>
      <c r="Z53" s="30"/>
      <c r="AA53" s="30"/>
      <c r="AB53" s="30"/>
      <c r="AC53" s="30"/>
      <c r="AD53" s="30"/>
      <c r="AE53" s="54"/>
      <c r="AF53" s="54"/>
      <c r="AG53" s="66">
        <v>7</v>
      </c>
      <c r="AH53" s="115"/>
    </row>
    <row r="54" spans="1:34" s="2" customFormat="1" ht="45" customHeight="1">
      <c r="A54" s="293">
        <f t="shared" si="0"/>
        <v>47</v>
      </c>
      <c r="B54" s="5" t="s">
        <v>1632</v>
      </c>
      <c r="C54" s="296" t="s">
        <v>1635</v>
      </c>
      <c r="D54" s="56">
        <f>IF(F54="","",SUBTOTAL(3,$F$6:F54))</f>
        <v>48</v>
      </c>
      <c r="E54" s="34" t="s">
        <v>5</v>
      </c>
      <c r="F54" s="107" t="s">
        <v>1724</v>
      </c>
      <c r="G54" s="40" t="s">
        <v>661</v>
      </c>
      <c r="H54" s="83">
        <f>IF($G54&lt;&gt;"",VLOOKUP($G54,'WPS '!C$5:M$209,3,FALSE),"")</f>
        <v>136</v>
      </c>
      <c r="I54" s="22" t="s">
        <v>1251</v>
      </c>
      <c r="J54" s="22" t="s">
        <v>240</v>
      </c>
      <c r="K54" s="69" t="s">
        <v>884</v>
      </c>
      <c r="L54" s="22" t="str">
        <f>IF($G54&lt;&gt;"",VLOOKUP($G54,'WPS '!C$5:M$209,8,FALSE),"")</f>
        <v>E71T-1C</v>
      </c>
      <c r="M54" s="76" t="s">
        <v>8</v>
      </c>
      <c r="N54" s="21">
        <v>45001</v>
      </c>
      <c r="O54" s="21">
        <v>45003</v>
      </c>
      <c r="P54" s="21">
        <f t="shared" si="1"/>
        <v>46099</v>
      </c>
      <c r="Q54" s="164" t="s">
        <v>1811</v>
      </c>
      <c r="R54" s="147" t="str">
        <f>IF($G54&lt;&gt;"",VLOOKUP($G54,'WPS '!$C$5:$M$209,2,FALSE),"")</f>
        <v>OSR-WPS-ISO-PC+PF-005</v>
      </c>
      <c r="S54" s="30"/>
      <c r="T54" s="30"/>
      <c r="U54" s="30"/>
      <c r="V54" s="30"/>
      <c r="W54" s="30"/>
      <c r="X54" s="30" t="s">
        <v>95</v>
      </c>
      <c r="Y54" s="30"/>
      <c r="Z54" s="30"/>
      <c r="AA54" s="30"/>
      <c r="AB54" s="30"/>
      <c r="AC54" s="30"/>
      <c r="AD54" s="30"/>
      <c r="AE54" s="54"/>
      <c r="AF54" s="54"/>
      <c r="AG54" s="66">
        <v>6</v>
      </c>
      <c r="AH54" s="115"/>
    </row>
    <row r="55" spans="1:34" s="2" customFormat="1" ht="45" customHeight="1">
      <c r="A55" s="293">
        <f t="shared" si="0"/>
        <v>48</v>
      </c>
      <c r="B55" s="5" t="s">
        <v>1632</v>
      </c>
      <c r="C55" s="296" t="s">
        <v>1635</v>
      </c>
      <c r="D55" s="56">
        <f>IF(F55="","",SUBTOTAL(3,$F$6:F55))</f>
        <v>49</v>
      </c>
      <c r="E55" s="34" t="s">
        <v>5</v>
      </c>
      <c r="F55" s="107" t="s">
        <v>1724</v>
      </c>
      <c r="G55" s="40" t="s">
        <v>826</v>
      </c>
      <c r="H55" s="83">
        <f>IF($G55&lt;&gt;"",VLOOKUP($G55,'WPS '!C$5:M$209,3,FALSE),"")</f>
        <v>136</v>
      </c>
      <c r="I55" s="22" t="s">
        <v>1250</v>
      </c>
      <c r="J55" s="22" t="s">
        <v>251</v>
      </c>
      <c r="K55" s="69" t="s">
        <v>884</v>
      </c>
      <c r="L55" s="22" t="str">
        <f>IF($G55&lt;&gt;"",VLOOKUP($G55,'WPS '!C$5:M$209,8,FALSE),"")</f>
        <v>E308LT1-1/-4</v>
      </c>
      <c r="M55" s="76" t="s">
        <v>65</v>
      </c>
      <c r="N55" s="21">
        <v>45381</v>
      </c>
      <c r="O55" s="21">
        <v>45385</v>
      </c>
      <c r="P55" s="21">
        <f t="shared" si="1"/>
        <v>46115</v>
      </c>
      <c r="Q55" s="164" t="s">
        <v>1811</v>
      </c>
      <c r="R55" s="147" t="str">
        <f>IF($G55&lt;&gt;"",VLOOKUP($G55,'WPS '!$C$5:$M$209,2,FALSE),"")</f>
        <v>OSR-WPS-ISO-018M</v>
      </c>
      <c r="S55" s="30"/>
      <c r="T55" s="30"/>
      <c r="U55" s="30"/>
      <c r="V55" s="30"/>
      <c r="W55" s="30"/>
      <c r="X55" s="30"/>
      <c r="Y55" s="30"/>
      <c r="Z55" s="30"/>
      <c r="AA55" s="30"/>
      <c r="AB55" s="30"/>
      <c r="AC55" s="30"/>
      <c r="AD55" s="30"/>
      <c r="AE55" s="54"/>
      <c r="AF55" s="54"/>
      <c r="AG55" s="66">
        <v>4</v>
      </c>
      <c r="AH55" s="115"/>
    </row>
    <row r="56" spans="1:34" s="2" customFormat="1" ht="45" customHeight="1">
      <c r="A56" s="293">
        <f t="shared" si="0"/>
        <v>49</v>
      </c>
      <c r="B56" s="5" t="s">
        <v>1632</v>
      </c>
      <c r="C56" s="296" t="s">
        <v>1635</v>
      </c>
      <c r="D56" s="56">
        <f>IF(F56="","",SUBTOTAL(3,$F$6:F56))</f>
        <v>50</v>
      </c>
      <c r="E56" s="34" t="s">
        <v>5</v>
      </c>
      <c r="F56" s="107" t="s">
        <v>1724</v>
      </c>
      <c r="G56" s="40" t="s">
        <v>678</v>
      </c>
      <c r="H56" s="83">
        <f>IF($G56&lt;&gt;"",VLOOKUP($G56,'WPS '!C$5:M$209,3,FALSE),"")</f>
        <v>136</v>
      </c>
      <c r="I56" s="22" t="s">
        <v>1250</v>
      </c>
      <c r="J56" s="22" t="s">
        <v>256</v>
      </c>
      <c r="K56" s="69" t="s">
        <v>884</v>
      </c>
      <c r="L56" s="22" t="str">
        <f>IF($G56&lt;&gt;"",VLOOKUP($G56,'WPS '!C$5:M$209,8,FALSE),"")</f>
        <v>E81T1-Ni1J-C</v>
      </c>
      <c r="M56" s="76" t="s">
        <v>68</v>
      </c>
      <c r="N56" s="21">
        <v>45482</v>
      </c>
      <c r="O56" s="21">
        <v>45486</v>
      </c>
      <c r="P56" s="21">
        <f t="shared" si="1"/>
        <v>46035</v>
      </c>
      <c r="Q56" s="164" t="s">
        <v>1811</v>
      </c>
      <c r="R56" s="147" t="str">
        <f>IF($G56&lt;&gt;"",VLOOKUP($G56,'WPS '!$C$5:$M$209,2,FALSE),"")</f>
        <v>OSR-WPS-ISO-PF-023</v>
      </c>
      <c r="S56" s="30"/>
      <c r="T56" s="30"/>
      <c r="U56" s="30"/>
      <c r="V56" s="30"/>
      <c r="W56" s="30"/>
      <c r="X56" s="30"/>
      <c r="Y56" s="30"/>
      <c r="Z56" s="30"/>
      <c r="AA56" s="30"/>
      <c r="AB56" s="30"/>
      <c r="AC56" s="30"/>
      <c r="AD56" s="30"/>
      <c r="AE56" s="54"/>
      <c r="AF56" s="54"/>
      <c r="AG56" s="67">
        <v>3</v>
      </c>
      <c r="AH56" s="115"/>
    </row>
    <row r="57" spans="1:34" s="2" customFormat="1" ht="45" customHeight="1">
      <c r="A57" s="293">
        <f t="shared" si="0"/>
        <v>50</v>
      </c>
      <c r="B57" s="5" t="s">
        <v>1632</v>
      </c>
      <c r="C57" s="296" t="s">
        <v>1635</v>
      </c>
      <c r="D57" s="56">
        <f>IF(F57="","",SUBTOTAL(3,$F$6:F57))</f>
        <v>51</v>
      </c>
      <c r="E57" s="34" t="s">
        <v>5</v>
      </c>
      <c r="F57" s="107" t="s">
        <v>1724</v>
      </c>
      <c r="G57" s="40" t="s">
        <v>693</v>
      </c>
      <c r="H57" s="83">
        <f>IF($G57&lt;&gt;"",VLOOKUP($G57,'WPS '!C$5:M$209,3,FALSE),"")</f>
        <v>111</v>
      </c>
      <c r="I57" s="22" t="s">
        <v>855</v>
      </c>
      <c r="J57" s="22" t="s">
        <v>241</v>
      </c>
      <c r="K57" s="69" t="s">
        <v>884</v>
      </c>
      <c r="L57" s="22" t="str">
        <f>IF($G57&lt;&gt;"",VLOOKUP($G57,'WPS '!C$5:M$209,8,FALSE),"")</f>
        <v>ENiCrFe-3</v>
      </c>
      <c r="M57" s="76" t="s">
        <v>83</v>
      </c>
      <c r="N57" s="21">
        <v>45638</v>
      </c>
      <c r="O57" s="21">
        <v>45645</v>
      </c>
      <c r="P57" s="21">
        <f t="shared" si="1"/>
        <v>46010</v>
      </c>
      <c r="Q57" s="164" t="s">
        <v>1811</v>
      </c>
      <c r="R57" s="147" t="str">
        <f>IF($G57&lt;&gt;"",VLOOKUP($G57,'WPS '!$C$5:$M$209,2,FALSE),"")</f>
        <v>OSR-WPS-ISO-PA-038</v>
      </c>
      <c r="S57" s="30"/>
      <c r="T57" s="30"/>
      <c r="U57" s="30"/>
      <c r="V57" s="30"/>
      <c r="W57" s="30"/>
      <c r="X57" s="30"/>
      <c r="Y57" s="30"/>
      <c r="Z57" s="30"/>
      <c r="AA57" s="30"/>
      <c r="AB57" s="30"/>
      <c r="AC57" s="30"/>
      <c r="AD57" s="30"/>
      <c r="AE57" s="54"/>
      <c r="AF57" s="54"/>
      <c r="AG57" s="67">
        <v>2</v>
      </c>
      <c r="AH57" s="115"/>
    </row>
    <row r="58" spans="1:34" s="2" customFormat="1" ht="45" customHeight="1">
      <c r="A58" s="293">
        <f t="shared" si="0"/>
        <v>51</v>
      </c>
      <c r="B58" s="5" t="s">
        <v>1632</v>
      </c>
      <c r="C58" s="296" t="s">
        <v>1635</v>
      </c>
      <c r="D58" s="56">
        <f>IF(F58="","",SUBTOTAL(3,$F$6:F58))</f>
        <v>52</v>
      </c>
      <c r="E58" s="34" t="s">
        <v>5</v>
      </c>
      <c r="F58" s="107" t="s">
        <v>1724</v>
      </c>
      <c r="G58" s="40" t="s">
        <v>700</v>
      </c>
      <c r="H58" s="83">
        <f>IF($G58&lt;&gt;"",VLOOKUP($G58,'WPS '!C$5:M$209,3,FALSE),"")</f>
        <v>136</v>
      </c>
      <c r="I58" s="22" t="s">
        <v>1250</v>
      </c>
      <c r="J58" s="22" t="s">
        <v>242</v>
      </c>
      <c r="K58" s="69" t="s">
        <v>884</v>
      </c>
      <c r="L58" s="22" t="str">
        <f>IF($G58&lt;&gt;"",VLOOKUP($G58,'WPS '!C$5:M$209,8,FALSE),"")</f>
        <v>E81T1-W2C</v>
      </c>
      <c r="M58" s="76" t="s">
        <v>137</v>
      </c>
      <c r="N58" s="21">
        <v>45724</v>
      </c>
      <c r="O58" s="21">
        <v>45731</v>
      </c>
      <c r="P58" s="21">
        <f t="shared" si="1"/>
        <v>46096</v>
      </c>
      <c r="Q58" s="164" t="s">
        <v>1811</v>
      </c>
      <c r="R58" s="147" t="str">
        <f>IF($G58&lt;&gt;"",VLOOKUP($G58,'WPS '!$C$5:$M$209,2,FALSE),"")</f>
        <v>OSR-WPS-ISO-PF-045</v>
      </c>
      <c r="S58" s="30"/>
      <c r="T58" s="30"/>
      <c r="U58" s="30"/>
      <c r="V58" s="30"/>
      <c r="W58" s="30"/>
      <c r="X58" s="30" t="s">
        <v>95</v>
      </c>
      <c r="Y58" s="30"/>
      <c r="Z58" s="30"/>
      <c r="AA58" s="30"/>
      <c r="AB58" s="30"/>
      <c r="AC58" s="30"/>
      <c r="AD58" s="30"/>
      <c r="AE58" s="54"/>
      <c r="AF58" s="54"/>
      <c r="AG58" s="66">
        <v>2</v>
      </c>
      <c r="AH58" s="115"/>
    </row>
    <row r="59" spans="1:34" s="2" customFormat="1" ht="45" customHeight="1">
      <c r="A59" s="293">
        <f t="shared" si="0"/>
        <v>52</v>
      </c>
      <c r="B59" s="5" t="s">
        <v>1632</v>
      </c>
      <c r="C59" s="296" t="s">
        <v>1635</v>
      </c>
      <c r="D59" s="56">
        <f>IF(F59="","",SUBTOTAL(3,$F$6:F59))</f>
        <v>53</v>
      </c>
      <c r="E59" s="34" t="s">
        <v>5</v>
      </c>
      <c r="F59" s="107" t="s">
        <v>1724</v>
      </c>
      <c r="G59" s="40" t="s">
        <v>704</v>
      </c>
      <c r="H59" s="83">
        <f>IF($G59&lt;&gt;"",VLOOKUP($G59,'WPS '!C$5:M$209,3,FALSE),"")</f>
        <v>136</v>
      </c>
      <c r="I59" s="22" t="s">
        <v>1251</v>
      </c>
      <c r="J59" s="22" t="s">
        <v>242</v>
      </c>
      <c r="K59" s="69" t="s">
        <v>884</v>
      </c>
      <c r="L59" s="22" t="str">
        <f>IF($G59&lt;&gt;"",VLOOKUP($G59,'WPS '!C$5:M$209,8,FALSE),"")</f>
        <v>E71T-1C</v>
      </c>
      <c r="M59" s="76" t="s">
        <v>905</v>
      </c>
      <c r="N59" s="21">
        <v>45795</v>
      </c>
      <c r="O59" s="21">
        <v>45799</v>
      </c>
      <c r="P59" s="21">
        <f t="shared" si="1"/>
        <v>46164</v>
      </c>
      <c r="Q59" s="164" t="s">
        <v>1811</v>
      </c>
      <c r="R59" s="147" t="str">
        <f>IF($G59&lt;&gt;"",VLOOKUP($G59,'WPS '!$C$5:$M$209,2,FALSE),"")</f>
        <v>OSR-WPS-ISO-PF-049</v>
      </c>
      <c r="S59" s="30"/>
      <c r="T59" s="30"/>
      <c r="U59" s="30"/>
      <c r="V59" s="30"/>
      <c r="W59" s="30"/>
      <c r="X59" s="30"/>
      <c r="Y59" s="30" t="s">
        <v>356</v>
      </c>
      <c r="Z59" s="30"/>
      <c r="AA59" s="30"/>
      <c r="AB59" s="30"/>
      <c r="AC59" s="30"/>
      <c r="AD59" s="30"/>
      <c r="AE59" s="54"/>
      <c r="AF59" s="54"/>
      <c r="AG59" s="66">
        <v>2</v>
      </c>
      <c r="AH59" s="115"/>
    </row>
    <row r="60" spans="1:34" s="2" customFormat="1" ht="45" customHeight="1">
      <c r="A60" s="293">
        <f t="shared" si="0"/>
        <v>53</v>
      </c>
      <c r="B60" s="5" t="s">
        <v>1632</v>
      </c>
      <c r="C60" s="296" t="s">
        <v>1635</v>
      </c>
      <c r="D60" s="97">
        <f>IF(F60="","",SUBTOTAL(3,$F$6:F60))</f>
        <v>54</v>
      </c>
      <c r="E60" s="98" t="s">
        <v>5</v>
      </c>
      <c r="F60" s="111" t="s">
        <v>1724</v>
      </c>
      <c r="G60" s="99" t="s">
        <v>1797</v>
      </c>
      <c r="H60" s="100">
        <f>IF($G60&lt;&gt;"",VLOOKUP($G60,'WPS '!C$5:M$209,3,FALSE),"")</f>
        <v>141</v>
      </c>
      <c r="I60" s="101" t="s">
        <v>1815</v>
      </c>
      <c r="J60" s="101" t="s">
        <v>368</v>
      </c>
      <c r="K60" s="102" t="s">
        <v>1813</v>
      </c>
      <c r="L60" s="101" t="str">
        <f>IF($G60&lt;&gt;"",VLOOKUP($G60,'WPS '!C$5:M$209,8,FALSE),"")</f>
        <v>ERNiCr-3</v>
      </c>
      <c r="M60" s="103" t="s">
        <v>1816</v>
      </c>
      <c r="N60" s="104">
        <v>45638</v>
      </c>
      <c r="O60" s="104">
        <v>45652</v>
      </c>
      <c r="P60" s="104">
        <f t="shared" si="1"/>
        <v>46017</v>
      </c>
      <c r="Q60" s="165" t="s">
        <v>1811</v>
      </c>
      <c r="R60" s="147" t="str">
        <f>IF($G60&lt;&gt;"",VLOOKUP($G60,'WPS '!$C$5:$M$209,2,FALSE),"")</f>
        <v>OSR-WPS-ISO-PA-085</v>
      </c>
      <c r="S60" s="30"/>
      <c r="T60" s="30"/>
      <c r="U60" s="30"/>
      <c r="V60" s="30"/>
      <c r="W60" s="30"/>
      <c r="X60" s="30"/>
      <c r="Y60" s="30"/>
      <c r="Z60" s="30"/>
      <c r="AA60" s="30"/>
      <c r="AB60" s="30" t="s">
        <v>95</v>
      </c>
      <c r="AC60" s="30"/>
      <c r="AD60" s="30"/>
      <c r="AE60" s="54"/>
      <c r="AF60" s="54"/>
      <c r="AG60" s="66">
        <v>2</v>
      </c>
      <c r="AH60" s="28" t="s">
        <v>1533</v>
      </c>
    </row>
    <row r="61" spans="1:34" s="2" customFormat="1" ht="45" customHeight="1">
      <c r="A61" s="293">
        <f t="shared" si="0"/>
        <v>54</v>
      </c>
      <c r="B61" s="5" t="s">
        <v>1632</v>
      </c>
      <c r="C61" s="296" t="s">
        <v>1635</v>
      </c>
      <c r="D61" s="56">
        <f>IF(F61="","",SUBTOTAL(3,$F$6:F61))</f>
        <v>55</v>
      </c>
      <c r="E61" s="34" t="s">
        <v>5</v>
      </c>
      <c r="F61" s="107" t="s">
        <v>1724</v>
      </c>
      <c r="G61" s="39" t="s">
        <v>720</v>
      </c>
      <c r="H61" s="83" t="str">
        <f>IF($G61&lt;&gt;"",VLOOKUP($G61,'WPS '!C$5:M$209,3,FALSE),"")</f>
        <v>GMAW</v>
      </c>
      <c r="I61" s="22" t="s">
        <v>854</v>
      </c>
      <c r="J61" s="22" t="s">
        <v>107</v>
      </c>
      <c r="K61" s="69" t="s">
        <v>964</v>
      </c>
      <c r="L61" s="22" t="str">
        <f>IF($G61&lt;&gt;"",VLOOKUP($G61,'WPS '!C$5:M$209,8,FALSE),"")</f>
        <v>ER310</v>
      </c>
      <c r="M61" s="76" t="s">
        <v>315</v>
      </c>
      <c r="N61" s="21">
        <v>45586</v>
      </c>
      <c r="O61" s="21">
        <v>45590</v>
      </c>
      <c r="P61" s="21">
        <f t="shared" si="1"/>
        <v>46137</v>
      </c>
      <c r="Q61" s="164" t="str">
        <f>IF($G61&lt;&gt;"",VLOOKUP($G61,'WPS '!C$5:M$209,11,FALSE),"")</f>
        <v>ASME IX</v>
      </c>
      <c r="R61" s="147" t="str">
        <f>IF($G61&lt;&gt;"",VLOOKUP($G61,'WPS '!$C$5:$M$209,2,FALSE),"")</f>
        <v>OSR-WPS-ASME-GM-003</v>
      </c>
      <c r="S61" s="30"/>
      <c r="T61" s="30"/>
      <c r="U61" s="30"/>
      <c r="V61" s="30"/>
      <c r="W61" s="62"/>
      <c r="X61" s="30"/>
      <c r="Y61" s="32"/>
      <c r="Z61" s="32"/>
      <c r="AA61" s="32"/>
      <c r="AB61" s="62"/>
      <c r="AC61" s="62"/>
      <c r="AD61" s="62"/>
      <c r="AE61" s="146"/>
      <c r="AF61" s="146"/>
      <c r="AG61" s="67">
        <v>3</v>
      </c>
      <c r="AH61" s="18"/>
    </row>
    <row r="62" spans="1:34" ht="45" customHeight="1">
      <c r="A62" s="293">
        <f t="shared" si="0"/>
        <v>55</v>
      </c>
      <c r="B62" s="5" t="s">
        <v>1632</v>
      </c>
      <c r="C62" s="296" t="s">
        <v>1635</v>
      </c>
      <c r="D62" s="56">
        <f>IF(F62="","",SUBTOTAL(3,$F$6:F62))</f>
        <v>56</v>
      </c>
      <c r="E62" s="34" t="s">
        <v>5</v>
      </c>
      <c r="F62" s="107" t="s">
        <v>1724</v>
      </c>
      <c r="G62" s="40" t="s">
        <v>732</v>
      </c>
      <c r="H62" s="83" t="str">
        <f>IF($G62&lt;&gt;"",VLOOKUP($G62,'WPS '!C$5:M$209,3,FALSE),"")</f>
        <v>FCAW</v>
      </c>
      <c r="I62" s="22" t="s">
        <v>1499</v>
      </c>
      <c r="J62" s="77" t="s">
        <v>1390</v>
      </c>
      <c r="K62" s="69" t="s">
        <v>1480</v>
      </c>
      <c r="L62" s="22" t="str">
        <f>IF($G62&lt;&gt;"",VLOOKUP($G62,'WPS '!C$5:M$209,8,FALSE),"")</f>
        <v>E71T-1C</v>
      </c>
      <c r="M62" s="76" t="s">
        <v>1057</v>
      </c>
      <c r="N62" s="21">
        <v>44212</v>
      </c>
      <c r="O62" s="21">
        <v>44400</v>
      </c>
      <c r="P62" s="21">
        <f t="shared" si="1"/>
        <v>46045</v>
      </c>
      <c r="Q62" s="164" t="str">
        <f>IF($G62&lt;&gt;"",VLOOKUP($G62,'WPS '!C$5:M$209,11,FALSE),"")</f>
        <v>AWS D1.1</v>
      </c>
      <c r="R62" s="147" t="str">
        <f>IF($G62&lt;&gt;"",VLOOKUP($G62,'WPS '!$C$5:$M$209,2,FALSE),"")</f>
        <v>OSR-WPS-D1.1-FC-003</v>
      </c>
      <c r="S62" s="30"/>
      <c r="T62" s="30" t="s">
        <v>356</v>
      </c>
      <c r="U62" s="30"/>
      <c r="V62" s="30" t="s">
        <v>356</v>
      </c>
      <c r="W62" s="30"/>
      <c r="X62" s="30"/>
      <c r="Y62" s="30"/>
      <c r="Z62" s="30"/>
      <c r="AA62" s="30"/>
      <c r="AB62" s="30"/>
      <c r="AC62" s="30"/>
      <c r="AD62" s="30"/>
      <c r="AE62" s="54"/>
      <c r="AF62" s="54" t="s">
        <v>356</v>
      </c>
      <c r="AG62" s="153">
        <v>9</v>
      </c>
    </row>
    <row r="63" spans="1:34" ht="45" customHeight="1">
      <c r="A63" s="293">
        <f t="shared" si="0"/>
        <v>56</v>
      </c>
      <c r="B63" s="5" t="s">
        <v>1632</v>
      </c>
      <c r="C63" s="296" t="s">
        <v>1635</v>
      </c>
      <c r="D63" s="56">
        <f>IF(F63="","",SUBTOTAL(3,$F$6:F63))</f>
        <v>57</v>
      </c>
      <c r="E63" s="34" t="s">
        <v>5</v>
      </c>
      <c r="F63" s="107" t="s">
        <v>1724</v>
      </c>
      <c r="G63" s="40" t="s">
        <v>764</v>
      </c>
      <c r="H63" s="83" t="str">
        <f>IF($G63&lt;&gt;"",VLOOKUP($G63,'WPS '!C$5:M$209,3,FALSE),"")</f>
        <v>FCAW</v>
      </c>
      <c r="I63" s="22" t="s">
        <v>1496</v>
      </c>
      <c r="J63" s="77" t="s">
        <v>107</v>
      </c>
      <c r="K63" s="69" t="s">
        <v>1482</v>
      </c>
      <c r="L63" s="22" t="str">
        <f>IF($G63&lt;&gt;"",VLOOKUP($G63,'WPS '!C$5:M$209,8,FALSE),"")</f>
        <v>E308LT1-1</v>
      </c>
      <c r="M63" s="76" t="s">
        <v>1115</v>
      </c>
      <c r="N63" s="21">
        <v>44393</v>
      </c>
      <c r="O63" s="21">
        <v>44400</v>
      </c>
      <c r="P63" s="21">
        <f t="shared" si="1"/>
        <v>46045</v>
      </c>
      <c r="Q63" s="164" t="str">
        <f>IF($G63&lt;&gt;"",VLOOKUP($G63,'WPS '!C$5:M$209,11,FALSE),"")</f>
        <v>AWS D1.6</v>
      </c>
      <c r="R63" s="147" t="str">
        <f>IF($G63&lt;&gt;"",VLOOKUP($G63,'WPS '!$C$5:$M$209,2,FALSE),"")</f>
        <v>OSR-WPS-D1.6-FC-036</v>
      </c>
      <c r="S63" s="30"/>
      <c r="T63" s="30" t="s">
        <v>356</v>
      </c>
      <c r="U63" s="30" t="s">
        <v>356</v>
      </c>
      <c r="V63" s="30"/>
      <c r="W63" s="30"/>
      <c r="X63" s="30"/>
      <c r="Y63" s="30"/>
      <c r="Z63" s="30"/>
      <c r="AA63" s="30"/>
      <c r="AB63" s="30"/>
      <c r="AC63" s="30" t="s">
        <v>356</v>
      </c>
      <c r="AD63" s="30" t="s">
        <v>356</v>
      </c>
      <c r="AE63" s="54"/>
      <c r="AF63" s="54"/>
      <c r="AG63" s="153">
        <v>9</v>
      </c>
    </row>
    <row r="64" spans="1:34" s="20" customFormat="1" ht="45" customHeight="1">
      <c r="A64" s="293">
        <f t="shared" si="0"/>
        <v>57</v>
      </c>
      <c r="B64" s="5" t="s">
        <v>1632</v>
      </c>
      <c r="C64" s="296" t="s">
        <v>1635</v>
      </c>
      <c r="D64" s="56">
        <f>IF(F64="","",SUBTOTAL(3,$F$6:F64))</f>
        <v>58</v>
      </c>
      <c r="E64" s="34" t="s">
        <v>5</v>
      </c>
      <c r="F64" s="107" t="s">
        <v>1724</v>
      </c>
      <c r="G64" s="40" t="s">
        <v>766</v>
      </c>
      <c r="H64" s="83" t="str">
        <f>IF($G64&lt;&gt;"",VLOOKUP($G64,'WPS '!C$5:M$209,3,FALSE),"")</f>
        <v>FCAW</v>
      </c>
      <c r="I64" s="22" t="s">
        <v>1499</v>
      </c>
      <c r="J64" s="77" t="s">
        <v>1390</v>
      </c>
      <c r="K64" s="69" t="s">
        <v>1480</v>
      </c>
      <c r="L64" s="22" t="str">
        <f>IF($G64&lt;&gt;"",VLOOKUP($G64,'WPS '!C$5:M$209,8,FALSE),"")</f>
        <v>E71T-1C</v>
      </c>
      <c r="M64" s="76" t="s">
        <v>1092</v>
      </c>
      <c r="N64" s="21">
        <v>44393</v>
      </c>
      <c r="O64" s="21">
        <v>44400</v>
      </c>
      <c r="P64" s="21">
        <f t="shared" si="1"/>
        <v>46045</v>
      </c>
      <c r="Q64" s="164" t="str">
        <f>IF($G64&lt;&gt;"",VLOOKUP($G64,'WPS '!C$5:M$209,11,FALSE),"")</f>
        <v>AWS D1.1 (Backing)</v>
      </c>
      <c r="R64" s="147" t="str">
        <f>IF($G64&lt;&gt;"",VLOOKUP($G64,'WPS '!$C$5:$M$209,2,FALSE),"")</f>
        <v>OSR-WPS-D1.1-FC-038</v>
      </c>
      <c r="S64" s="30"/>
      <c r="T64" s="30"/>
      <c r="U64" s="30"/>
      <c r="V64" s="30"/>
      <c r="W64" s="30"/>
      <c r="X64" s="30"/>
      <c r="Y64" s="30"/>
      <c r="Z64" s="30"/>
      <c r="AA64" s="30"/>
      <c r="AB64" s="30"/>
      <c r="AC64" s="30"/>
      <c r="AD64" s="30"/>
      <c r="AE64" s="54"/>
      <c r="AF64" s="54"/>
      <c r="AG64" s="153">
        <v>9</v>
      </c>
      <c r="AH64" s="2"/>
    </row>
    <row r="65" spans="1:34" ht="45" customHeight="1">
      <c r="A65" s="293">
        <f t="shared" si="0"/>
        <v>58</v>
      </c>
      <c r="B65" s="5" t="s">
        <v>1632</v>
      </c>
      <c r="C65" s="296" t="s">
        <v>1635</v>
      </c>
      <c r="D65" s="56">
        <f>IF(F65="","",SUBTOTAL(3,$F$6:F65))</f>
        <v>59</v>
      </c>
      <c r="E65" s="34" t="s">
        <v>5</v>
      </c>
      <c r="F65" s="107" t="s">
        <v>1724</v>
      </c>
      <c r="G65" s="40" t="s">
        <v>767</v>
      </c>
      <c r="H65" s="83" t="str">
        <f>IF($G65&lt;&gt;"",VLOOKUP($G65,'WPS '!C$5:M$209,3,FALSE),"")</f>
        <v>FCAW</v>
      </c>
      <c r="I65" s="22" t="s">
        <v>1492</v>
      </c>
      <c r="J65" s="77" t="s">
        <v>1390</v>
      </c>
      <c r="K65" s="69" t="s">
        <v>1480</v>
      </c>
      <c r="L65" s="22" t="str">
        <f>IF($G65&lt;&gt;"",VLOOKUP($G65,'WPS '!C$5:M$209,8,FALSE),"")</f>
        <v>E71T-1C</v>
      </c>
      <c r="M65" s="76" t="s">
        <v>1023</v>
      </c>
      <c r="N65" s="21">
        <v>44546</v>
      </c>
      <c r="O65" s="21">
        <v>44556</v>
      </c>
      <c r="P65" s="21">
        <f t="shared" si="1"/>
        <v>46017</v>
      </c>
      <c r="Q65" s="164" t="str">
        <f>IF($G65&lt;&gt;"",VLOOKUP($G65,'WPS '!C$5:M$209,11,FALSE),"")</f>
        <v>AWS D1.1</v>
      </c>
      <c r="R65" s="147" t="str">
        <f>IF($G65&lt;&gt;"",VLOOKUP($G65,'WPS '!$C$5:$M$209,2,FALSE),"")</f>
        <v>OSR-WPS-D1.1-FC-039</v>
      </c>
      <c r="S65" s="30"/>
      <c r="T65" s="30"/>
      <c r="U65" s="30"/>
      <c r="V65" s="30"/>
      <c r="W65" s="30"/>
      <c r="X65" s="30"/>
      <c r="Y65" s="30"/>
      <c r="Z65" s="30"/>
      <c r="AA65" s="30"/>
      <c r="AB65" s="30"/>
      <c r="AC65" s="30"/>
      <c r="AD65" s="30"/>
      <c r="AE65" s="54"/>
      <c r="AF65" s="54"/>
      <c r="AG65" s="153">
        <v>8</v>
      </c>
    </row>
    <row r="66" spans="1:34" ht="45" customHeight="1">
      <c r="A66" s="293">
        <f t="shared" si="0"/>
        <v>59</v>
      </c>
      <c r="B66" s="5" t="s">
        <v>1632</v>
      </c>
      <c r="C66" s="296" t="s">
        <v>1635</v>
      </c>
      <c r="D66" s="56">
        <f>IF(F66="","",SUBTOTAL(3,$F$6:F66))</f>
        <v>60</v>
      </c>
      <c r="E66" s="34" t="s">
        <v>5</v>
      </c>
      <c r="F66" s="107" t="s">
        <v>1724</v>
      </c>
      <c r="G66" s="40" t="s">
        <v>800</v>
      </c>
      <c r="H66" s="83" t="str">
        <f>IF($G66&lt;&gt;"",VLOOKUP($G66,'WPS '!C$5:M$209,3,FALSE),"")</f>
        <v>FCAW</v>
      </c>
      <c r="I66" s="22" t="s">
        <v>1508</v>
      </c>
      <c r="J66" s="77" t="s">
        <v>107</v>
      </c>
      <c r="K66" s="69" t="s">
        <v>1481</v>
      </c>
      <c r="L66" s="22" t="str">
        <f>IF($G66&lt;&gt;"",VLOOKUP($G66,'WPS '!C$5:M$209,8,FALSE),"")</f>
        <v>E309LT1-1/4</v>
      </c>
      <c r="M66" s="76" t="s">
        <v>1040</v>
      </c>
      <c r="N66" s="21">
        <v>45265</v>
      </c>
      <c r="O66" s="21">
        <v>45267</v>
      </c>
      <c r="P66" s="21">
        <f t="shared" si="1"/>
        <v>46180</v>
      </c>
      <c r="Q66" s="164" t="str">
        <f>IF($G66&lt;&gt;"",VLOOKUP($G66,'WPS '!C$5:M$209,11,FALSE),"")</f>
        <v>AWS D1.1</v>
      </c>
      <c r="R66" s="147" t="str">
        <f>IF($G66&lt;&gt;"",VLOOKUP($G66,'WPS '!$C$5:$M$209,2,FALSE),"")</f>
        <v>OSR-WPS-D1.1-FC-072</v>
      </c>
      <c r="S66" s="30"/>
      <c r="T66" s="30"/>
      <c r="U66" s="30"/>
      <c r="V66" s="30"/>
      <c r="W66" s="30"/>
      <c r="X66" s="30"/>
      <c r="Y66" s="30"/>
      <c r="Z66" s="30"/>
      <c r="AA66" s="30"/>
      <c r="AB66" s="30"/>
      <c r="AC66" s="30" t="s">
        <v>95</v>
      </c>
      <c r="AD66" s="30"/>
      <c r="AE66" s="54"/>
      <c r="AF66" s="54"/>
      <c r="AG66" s="154">
        <v>5</v>
      </c>
    </row>
    <row r="67" spans="1:34" s="2" customFormat="1" ht="45" customHeight="1">
      <c r="A67" s="293">
        <f t="shared" si="0"/>
        <v>60</v>
      </c>
      <c r="B67" s="5" t="s">
        <v>1632</v>
      </c>
      <c r="C67" s="296" t="s">
        <v>1635</v>
      </c>
      <c r="D67" s="56">
        <f>IF(F67="","",SUBTOTAL(3,$F$6:F67))</f>
        <v>61</v>
      </c>
      <c r="E67" s="34" t="s">
        <v>5</v>
      </c>
      <c r="F67" s="107" t="s">
        <v>1724</v>
      </c>
      <c r="G67" s="40" t="s">
        <v>805</v>
      </c>
      <c r="H67" s="83" t="str">
        <f>IF($G67&lt;&gt;"",VLOOKUP($G67,'WPS '!C$5:M$209,3,FALSE),"")</f>
        <v>FCAW</v>
      </c>
      <c r="I67" s="22" t="s">
        <v>1493</v>
      </c>
      <c r="J67" s="77" t="s">
        <v>1215</v>
      </c>
      <c r="K67" s="69" t="s">
        <v>1480</v>
      </c>
      <c r="L67" s="22" t="str">
        <f>IF($G67&lt;&gt;"",VLOOKUP($G67,'WPS '!C$5:M$209,8,FALSE),"")</f>
        <v>E71T-1C</v>
      </c>
      <c r="M67" s="76" t="s">
        <v>1036</v>
      </c>
      <c r="N67" s="21">
        <v>45265</v>
      </c>
      <c r="O67" s="21">
        <v>45267</v>
      </c>
      <c r="P67" s="21">
        <f t="shared" si="1"/>
        <v>46180</v>
      </c>
      <c r="Q67" s="164" t="str">
        <f>IF($G67&lt;&gt;"",VLOOKUP($G67,'WPS '!C$5:M$209,11,FALSE),"")</f>
        <v>AWS D1.1</v>
      </c>
      <c r="R67" s="147" t="str">
        <f>IF($G67&lt;&gt;"",VLOOKUP($G67,'WPS '!$C$5:$M$209,2,FALSE),"")</f>
        <v>OSR-WPS-D1.1-FC-077</v>
      </c>
      <c r="S67" s="30"/>
      <c r="T67" s="30"/>
      <c r="U67" s="30"/>
      <c r="V67" s="30"/>
      <c r="W67" s="30"/>
      <c r="X67" s="30"/>
      <c r="Y67" s="30"/>
      <c r="Z67" s="30"/>
      <c r="AA67" s="30"/>
      <c r="AB67" s="30"/>
      <c r="AC67" s="30"/>
      <c r="AD67" s="30"/>
      <c r="AE67" s="54"/>
      <c r="AF67" s="54"/>
      <c r="AG67" s="153">
        <v>5</v>
      </c>
    </row>
    <row r="68" spans="1:34" ht="45" customHeight="1">
      <c r="A68" s="293">
        <f t="shared" si="0"/>
        <v>61</v>
      </c>
      <c r="B68" s="5" t="s">
        <v>1632</v>
      </c>
      <c r="C68" s="296" t="s">
        <v>1635</v>
      </c>
      <c r="D68" s="56">
        <f>IF(F68="","",SUBTOTAL(3,$F$6:F68))</f>
        <v>62</v>
      </c>
      <c r="E68" s="34" t="s">
        <v>5</v>
      </c>
      <c r="F68" s="107" t="s">
        <v>1724</v>
      </c>
      <c r="G68" s="39" t="s">
        <v>1164</v>
      </c>
      <c r="H68" s="83" t="str">
        <f>IF($G68&lt;&gt;"",VLOOKUP($G68,'WPS '!C$5:M$209,3,FALSE),"")</f>
        <v>FCAW</v>
      </c>
      <c r="I68" s="22" t="s">
        <v>1398</v>
      </c>
      <c r="J68" s="77" t="s">
        <v>1215</v>
      </c>
      <c r="K68" s="69" t="s">
        <v>1292</v>
      </c>
      <c r="L68" s="22" t="str">
        <f>IF($G68&lt;&gt;"",VLOOKUP($G68,'WPS '!C$5:M$209,8,FALSE),"")</f>
        <v>E71T-1C</v>
      </c>
      <c r="M68" s="76" t="s">
        <v>1203</v>
      </c>
      <c r="N68" s="21">
        <v>45894</v>
      </c>
      <c r="O68" s="21">
        <v>45906</v>
      </c>
      <c r="P68" s="21">
        <f t="shared" ref="P68:P129" si="3">EDATE(O68,6*AG68)</f>
        <v>46271</v>
      </c>
      <c r="Q68" s="164" t="str">
        <f>IF($G68&lt;&gt;"",VLOOKUP($G68,'WPS '!C$5:M$209,11,FALSE),"")</f>
        <v>AWS D1.1</v>
      </c>
      <c r="R68" s="147" t="str">
        <f>IF($G68&lt;&gt;"",VLOOKUP($G68,'WPS '!$C$5:$M$209,2,FALSE),"")</f>
        <v>OSR-WPS-D1.1-FC-097</v>
      </c>
      <c r="S68" s="30"/>
      <c r="T68" s="30" t="s">
        <v>356</v>
      </c>
      <c r="U68" s="30"/>
      <c r="V68" s="32"/>
      <c r="W68" s="32"/>
      <c r="X68" s="32"/>
      <c r="Y68" s="32"/>
      <c r="Z68" s="32"/>
      <c r="AA68" s="32"/>
      <c r="AB68" s="32"/>
      <c r="AC68" s="62" t="s">
        <v>95</v>
      </c>
      <c r="AD68" s="62" t="s">
        <v>356</v>
      </c>
      <c r="AE68" s="146"/>
      <c r="AF68" s="146"/>
      <c r="AG68" s="153">
        <v>2</v>
      </c>
    </row>
    <row r="69" spans="1:34" ht="45" customHeight="1">
      <c r="A69" s="293">
        <f t="shared" si="0"/>
        <v>62</v>
      </c>
      <c r="B69" s="5" t="s">
        <v>1632</v>
      </c>
      <c r="C69" s="296" t="s">
        <v>1635</v>
      </c>
      <c r="D69" s="56">
        <f>IF(F69="","",SUBTOTAL(3,$F$6:F69))</f>
        <v>63</v>
      </c>
      <c r="E69" s="180" t="s">
        <v>5</v>
      </c>
      <c r="F69" s="188" t="s">
        <v>1724</v>
      </c>
      <c r="G69" s="189" t="s">
        <v>1639</v>
      </c>
      <c r="H69" s="182" t="str">
        <f>IF($G69&lt;&gt;"",VLOOKUP($G69,'WPS '!C$5:M$209,3,FALSE),"")</f>
        <v>GMAW</v>
      </c>
      <c r="I69" s="183" t="s">
        <v>1643</v>
      </c>
      <c r="J69" s="183" t="s">
        <v>1390</v>
      </c>
      <c r="K69" s="184" t="s">
        <v>1644</v>
      </c>
      <c r="L69" s="183" t="str">
        <f>IF($G69&lt;&gt;"",VLOOKUP($G69,'WPS '!C$5:M$209,8,FALSE),"")</f>
        <v>E70S-6</v>
      </c>
      <c r="M69" s="185" t="s">
        <v>1647</v>
      </c>
      <c r="N69" s="186">
        <v>45959</v>
      </c>
      <c r="O69" s="186">
        <v>45967</v>
      </c>
      <c r="P69" s="186">
        <f t="shared" si="3"/>
        <v>46332</v>
      </c>
      <c r="Q69" s="187" t="str">
        <f>IF($G69&lt;&gt;"",VLOOKUP($G69,'WPS '!C$5:M$209,11,FALSE),"")</f>
        <v>AWS D1.1</v>
      </c>
      <c r="R69" s="147" t="str">
        <f>IF($G69&lt;&gt;"",VLOOKUP($G69,'WPS '!$C$5:$M$209,2,FALSE),"")</f>
        <v>OSR-WPS-D1.1-GM-111</v>
      </c>
      <c r="S69" s="30"/>
      <c r="T69" s="30"/>
      <c r="U69" s="30"/>
      <c r="V69" s="32"/>
      <c r="W69" s="32"/>
      <c r="X69" s="32"/>
      <c r="Y69" s="32"/>
      <c r="Z69" s="32"/>
      <c r="AA69" s="32"/>
      <c r="AB69" s="32"/>
      <c r="AC69" s="62" t="s">
        <v>95</v>
      </c>
      <c r="AD69" s="62" t="s">
        <v>356</v>
      </c>
      <c r="AE69" s="146"/>
      <c r="AF69" s="146" t="s">
        <v>356</v>
      </c>
      <c r="AG69" s="153">
        <v>2</v>
      </c>
    </row>
    <row r="70" spans="1:34" ht="45" customHeight="1">
      <c r="A70" s="293">
        <f t="shared" si="0"/>
        <v>63</v>
      </c>
      <c r="B70" s="5" t="s">
        <v>1634</v>
      </c>
      <c r="C70" s="5" t="s">
        <v>328</v>
      </c>
      <c r="D70" s="56">
        <f>IF(F70="","",SUBTOTAL(3,$F$6:F70))</f>
        <v>64</v>
      </c>
      <c r="E70" s="34" t="s">
        <v>129</v>
      </c>
      <c r="F70" s="107" t="s">
        <v>1705</v>
      </c>
      <c r="G70" s="39" t="s">
        <v>718</v>
      </c>
      <c r="H70" s="83" t="str">
        <f>IF($G70&lt;&gt;"",VLOOKUP($G70,'WPS '!C$5:M$209,3,FALSE),"")</f>
        <v>FCAW</v>
      </c>
      <c r="I70" s="22" t="s">
        <v>852</v>
      </c>
      <c r="J70" s="22" t="s">
        <v>1390</v>
      </c>
      <c r="K70" s="69" t="s">
        <v>116</v>
      </c>
      <c r="L70" s="22" t="str">
        <f>IF($G70&lt;&gt;"",VLOOKUP($G70,'WPS '!C$5:M$209,8,FALSE),"")</f>
        <v>E71T-1C</v>
      </c>
      <c r="M70" s="76" t="s">
        <v>282</v>
      </c>
      <c r="N70" s="21">
        <v>45709</v>
      </c>
      <c r="O70" s="21">
        <v>45714</v>
      </c>
      <c r="P70" s="21">
        <f t="shared" si="3"/>
        <v>46079</v>
      </c>
      <c r="Q70" s="164" t="str">
        <f>IF($G70&lt;&gt;"",VLOOKUP($G70,'WPS '!C$5:M$209,11,FALSE),"")</f>
        <v>ASME IX</v>
      </c>
      <c r="R70" s="147" t="str">
        <f>IF($G70&lt;&gt;"",VLOOKUP($G70,'WPS '!$C$5:$M$209,2,FALSE),"")</f>
        <v>OSR-WPS-ASME-FC-001</v>
      </c>
      <c r="S70" s="30" t="s">
        <v>356</v>
      </c>
      <c r="T70" s="30"/>
      <c r="U70" s="30"/>
      <c r="V70" s="30"/>
      <c r="W70" s="62"/>
      <c r="X70" s="30"/>
      <c r="Y70" s="31"/>
      <c r="Z70" s="31"/>
      <c r="AA70" s="31"/>
      <c r="AB70" s="62"/>
      <c r="AC70" s="62"/>
      <c r="AD70" s="62"/>
      <c r="AE70" s="146"/>
      <c r="AF70" s="146"/>
      <c r="AG70" s="66">
        <v>2</v>
      </c>
      <c r="AH70" s="18"/>
    </row>
    <row r="71" spans="1:34" ht="45" customHeight="1">
      <c r="A71" s="293">
        <f t="shared" si="0"/>
        <v>64</v>
      </c>
      <c r="B71" s="28" t="s">
        <v>1638</v>
      </c>
      <c r="C71" s="295" t="s">
        <v>1635</v>
      </c>
      <c r="D71" s="56">
        <f>IF(F71="","",SUBTOTAL(3,$F$6:F71))</f>
        <v>65</v>
      </c>
      <c r="E71" s="34" t="s">
        <v>236</v>
      </c>
      <c r="F71" s="107" t="s">
        <v>1735</v>
      </c>
      <c r="G71" s="39" t="s">
        <v>719</v>
      </c>
      <c r="H71" s="83" t="str">
        <f>IF($G71&lt;&gt;"",VLOOKUP($G71,'WPS '!C$5:M$209,3,FALSE),"")</f>
        <v>FCAW</v>
      </c>
      <c r="I71" s="22" t="s">
        <v>849</v>
      </c>
      <c r="J71" s="22" t="s">
        <v>1215</v>
      </c>
      <c r="K71" s="69" t="s">
        <v>964</v>
      </c>
      <c r="L71" s="22" t="str">
        <f>IF($G71&lt;&gt;"",VLOOKUP($G71,'WPS '!C$5:M$209,8,FALSE),"")</f>
        <v>E71T-1C</v>
      </c>
      <c r="M71" s="76" t="s">
        <v>322</v>
      </c>
      <c r="N71" s="21">
        <v>45871</v>
      </c>
      <c r="O71" s="21">
        <v>45873</v>
      </c>
      <c r="P71" s="21">
        <f t="shared" si="3"/>
        <v>46238</v>
      </c>
      <c r="Q71" s="164" t="str">
        <f>IF($G71&lt;&gt;"",VLOOKUP($G71,'WPS '!C$5:M$209,11,FALSE),"")</f>
        <v>ASME IX</v>
      </c>
      <c r="R71" s="147" t="str">
        <f>IF($G71&lt;&gt;"",VLOOKUP($G71,'WPS '!$C$5:$M$209,2,FALSE),"")</f>
        <v>OSR-WPS-ASME-FC-002</v>
      </c>
      <c r="S71" s="30" t="s">
        <v>356</v>
      </c>
      <c r="T71" s="30"/>
      <c r="U71" s="30"/>
      <c r="V71" s="30"/>
      <c r="W71" s="62"/>
      <c r="X71" s="30"/>
      <c r="Y71" s="31"/>
      <c r="Z71" s="31"/>
      <c r="AA71" s="31"/>
      <c r="AB71" s="62"/>
      <c r="AC71" s="62"/>
      <c r="AD71" s="62"/>
      <c r="AE71" s="146"/>
      <c r="AF71" s="146"/>
      <c r="AG71" s="67">
        <v>2</v>
      </c>
      <c r="AH71" s="18"/>
    </row>
    <row r="72" spans="1:34" ht="45" customHeight="1">
      <c r="A72" s="293">
        <f t="shared" ref="A72:A135" si="4">A71+1</f>
        <v>65</v>
      </c>
      <c r="B72" s="28" t="s">
        <v>1638</v>
      </c>
      <c r="C72" s="295" t="s">
        <v>1635</v>
      </c>
      <c r="D72" s="56">
        <f>IF(F72="","",SUBTOTAL(3,$F$6:F72))</f>
        <v>66</v>
      </c>
      <c r="E72" s="34" t="s">
        <v>236</v>
      </c>
      <c r="F72" s="107" t="s">
        <v>1735</v>
      </c>
      <c r="G72" s="39" t="s">
        <v>728</v>
      </c>
      <c r="H72" s="83" t="str">
        <f>IF($G72&lt;&gt;"",VLOOKUP($G72,'WPS '!C$5:M$209,3,FALSE),"")</f>
        <v>GMAW</v>
      </c>
      <c r="I72" s="22" t="s">
        <v>849</v>
      </c>
      <c r="J72" s="22" t="s">
        <v>1472</v>
      </c>
      <c r="K72" s="69" t="s">
        <v>105</v>
      </c>
      <c r="L72" s="22" t="str">
        <f>IF($G72&lt;&gt;"",VLOOKUP($G72,'WPS '!C$5:M$209,8,FALSE),"")</f>
        <v>ER309</v>
      </c>
      <c r="M72" s="76" t="s">
        <v>323</v>
      </c>
      <c r="N72" s="21">
        <v>45863</v>
      </c>
      <c r="O72" s="21">
        <v>45865</v>
      </c>
      <c r="P72" s="21">
        <f t="shared" si="3"/>
        <v>46230</v>
      </c>
      <c r="Q72" s="164" t="str">
        <f>IF($G72&lt;&gt;"",VLOOKUP($G72,'WPS '!C$5:M$209,11,FALSE),"")</f>
        <v>ASME IX</v>
      </c>
      <c r="R72" s="147" t="str">
        <f>IF($G72&lt;&gt;"",VLOOKUP($G72,'WPS '!$C$5:$M$209,2,FALSE),"")</f>
        <v>OSR-WPS-ASME-GM-011</v>
      </c>
      <c r="S72" s="30" t="s">
        <v>356</v>
      </c>
      <c r="T72" s="30"/>
      <c r="U72" s="30"/>
      <c r="V72" s="30"/>
      <c r="W72" s="62"/>
      <c r="X72" s="30"/>
      <c r="Y72" s="31"/>
      <c r="Z72" s="31"/>
      <c r="AA72" s="31"/>
      <c r="AB72" s="62"/>
      <c r="AC72" s="62"/>
      <c r="AD72" s="62"/>
      <c r="AE72" s="146"/>
      <c r="AF72" s="146"/>
      <c r="AG72" s="67">
        <v>2</v>
      </c>
      <c r="AH72" s="28" t="s">
        <v>1533</v>
      </c>
    </row>
    <row r="73" spans="1:34" ht="45" customHeight="1">
      <c r="A73" s="293">
        <f t="shared" si="4"/>
        <v>66</v>
      </c>
      <c r="B73" s="28" t="s">
        <v>1638</v>
      </c>
      <c r="C73" s="295" t="s">
        <v>1635</v>
      </c>
      <c r="D73" s="56">
        <f>IF(F73="","",SUBTOTAL(3,$F$6:F73))</f>
        <v>67</v>
      </c>
      <c r="E73" s="34" t="s">
        <v>250</v>
      </c>
      <c r="F73" s="107" t="s">
        <v>1688</v>
      </c>
      <c r="G73" s="39" t="s">
        <v>718</v>
      </c>
      <c r="H73" s="83" t="str">
        <f>IF($G73&lt;&gt;"",VLOOKUP($G73,'WPS '!C$5:M$209,3,FALSE),"")</f>
        <v>FCAW</v>
      </c>
      <c r="I73" s="22" t="s">
        <v>849</v>
      </c>
      <c r="J73" s="22" t="s">
        <v>1390</v>
      </c>
      <c r="K73" s="69" t="s">
        <v>247</v>
      </c>
      <c r="L73" s="22" t="str">
        <f>IF($G73&lt;&gt;"",VLOOKUP($G73,'WPS '!C$5:M$209,8,FALSE),"")</f>
        <v>E71T-1C</v>
      </c>
      <c r="M73" s="76" t="s">
        <v>301</v>
      </c>
      <c r="N73" s="21">
        <v>45863</v>
      </c>
      <c r="O73" s="21">
        <v>45865</v>
      </c>
      <c r="P73" s="21">
        <f t="shared" si="3"/>
        <v>46230</v>
      </c>
      <c r="Q73" s="164" t="str">
        <f>IF($G73&lt;&gt;"",VLOOKUP($G73,'WPS '!C$5:M$209,11,FALSE),"")</f>
        <v>ASME IX</v>
      </c>
      <c r="R73" s="147" t="str">
        <f>IF($G73&lt;&gt;"",VLOOKUP($G73,'WPS '!$C$5:$M$209,2,FALSE),"")</f>
        <v>OSR-WPS-ASME-FC-001</v>
      </c>
      <c r="S73" s="30" t="s">
        <v>356</v>
      </c>
      <c r="T73" s="30"/>
      <c r="U73" s="30"/>
      <c r="V73" s="30"/>
      <c r="W73" s="62"/>
      <c r="X73" s="30"/>
      <c r="Y73" s="31"/>
      <c r="Z73" s="31"/>
      <c r="AA73" s="31"/>
      <c r="AB73" s="62"/>
      <c r="AC73" s="62"/>
      <c r="AD73" s="62"/>
      <c r="AE73" s="146"/>
      <c r="AF73" s="146"/>
      <c r="AG73" s="67">
        <v>2</v>
      </c>
      <c r="AH73" s="18"/>
    </row>
    <row r="74" spans="1:34" s="2" customFormat="1" ht="45" customHeight="1">
      <c r="A74" s="293">
        <f t="shared" si="4"/>
        <v>67</v>
      </c>
      <c r="B74" s="28" t="s">
        <v>1638</v>
      </c>
      <c r="C74" s="295" t="s">
        <v>1635</v>
      </c>
      <c r="D74" s="56">
        <f>IF(F74="","",SUBTOTAL(3,$F$6:F74))</f>
        <v>68</v>
      </c>
      <c r="E74" s="34" t="s">
        <v>250</v>
      </c>
      <c r="F74" s="107" t="s">
        <v>1688</v>
      </c>
      <c r="G74" s="39" t="s">
        <v>719</v>
      </c>
      <c r="H74" s="83" t="str">
        <f>IF($G74&lt;&gt;"",VLOOKUP($G74,'WPS '!C$5:M$209,3,FALSE),"")</f>
        <v>FCAW</v>
      </c>
      <c r="I74" s="22" t="s">
        <v>850</v>
      </c>
      <c r="J74" s="22" t="s">
        <v>1215</v>
      </c>
      <c r="K74" s="69" t="s">
        <v>964</v>
      </c>
      <c r="L74" s="22" t="str">
        <f>IF($G74&lt;&gt;"",VLOOKUP($G74,'WPS '!C$5:M$209,8,FALSE),"")</f>
        <v>E71T-1C</v>
      </c>
      <c r="M74" s="76" t="s">
        <v>830</v>
      </c>
      <c r="N74" s="21">
        <v>45871</v>
      </c>
      <c r="O74" s="21">
        <v>45873</v>
      </c>
      <c r="P74" s="21">
        <f t="shared" si="3"/>
        <v>46238</v>
      </c>
      <c r="Q74" s="164" t="str">
        <f>IF($G74&lt;&gt;"",VLOOKUP($G74,'WPS '!C$5:M$209,11,FALSE),"")</f>
        <v>ASME IX</v>
      </c>
      <c r="R74" s="147" t="str">
        <f>IF($G74&lt;&gt;"",VLOOKUP($G74,'WPS '!$C$5:$M$209,2,FALSE),"")</f>
        <v>OSR-WPS-ASME-FC-002</v>
      </c>
      <c r="S74" s="30" t="s">
        <v>356</v>
      </c>
      <c r="T74" s="30"/>
      <c r="U74" s="30"/>
      <c r="V74" s="30"/>
      <c r="W74" s="62"/>
      <c r="X74" s="30"/>
      <c r="Y74" s="31"/>
      <c r="Z74" s="31"/>
      <c r="AA74" s="31"/>
      <c r="AB74" s="62"/>
      <c r="AC74" s="62"/>
      <c r="AD74" s="62"/>
      <c r="AE74" s="146"/>
      <c r="AF74" s="146"/>
      <c r="AG74" s="67">
        <v>2</v>
      </c>
      <c r="AH74" s="18"/>
    </row>
    <row r="75" spans="1:34" s="2" customFormat="1" ht="45" customHeight="1">
      <c r="A75" s="293">
        <f t="shared" si="4"/>
        <v>68</v>
      </c>
      <c r="B75" s="28" t="s">
        <v>1638</v>
      </c>
      <c r="C75" s="295" t="s">
        <v>1635</v>
      </c>
      <c r="D75" s="56">
        <f>IF(F75="","",SUBTOTAL(3,$F$6:F75))</f>
        <v>69</v>
      </c>
      <c r="E75" s="34" t="s">
        <v>250</v>
      </c>
      <c r="F75" s="107" t="s">
        <v>1688</v>
      </c>
      <c r="G75" s="39" t="s">
        <v>722</v>
      </c>
      <c r="H75" s="83" t="str">
        <f>IF($G75&lt;&gt;"",VLOOKUP($G75,'WPS '!C$5:M$209,3,FALSE),"")</f>
        <v>GTAW</v>
      </c>
      <c r="I75" s="22" t="s">
        <v>853</v>
      </c>
      <c r="J75" s="22" t="s">
        <v>1472</v>
      </c>
      <c r="K75" s="69" t="s">
        <v>1569</v>
      </c>
      <c r="L75" s="22" t="str">
        <f>IF($G75&lt;&gt;"",VLOOKUP($G75,'WPS '!C$5:M$209,8,FALSE),"")</f>
        <v>ERNiCr 3</v>
      </c>
      <c r="M75" s="76" t="s">
        <v>1568</v>
      </c>
      <c r="N75" s="21">
        <v>45871</v>
      </c>
      <c r="O75" s="21">
        <v>45873</v>
      </c>
      <c r="P75" s="21">
        <f t="shared" si="3"/>
        <v>46238</v>
      </c>
      <c r="Q75" s="164" t="str">
        <f>IF($G75&lt;&gt;"",VLOOKUP($G75,'WPS '!C$5:M$209,11,FALSE),"")</f>
        <v>ASME IX</v>
      </c>
      <c r="R75" s="147" t="str">
        <f>IF($G75&lt;&gt;"",VLOOKUP($G75,'WPS '!$C$5:$M$209,2,FALSE),"")</f>
        <v>OSR-WPS-ASME-GT-005</v>
      </c>
      <c r="S75" s="30" t="s">
        <v>356</v>
      </c>
      <c r="T75" s="30"/>
      <c r="U75" s="30"/>
      <c r="V75" s="30"/>
      <c r="W75" s="62"/>
      <c r="X75" s="30"/>
      <c r="Y75" s="31"/>
      <c r="Z75" s="31"/>
      <c r="AA75" s="31"/>
      <c r="AB75" s="62"/>
      <c r="AC75" s="62"/>
      <c r="AD75" s="62"/>
      <c r="AE75" s="146"/>
      <c r="AF75" s="146"/>
      <c r="AG75" s="67">
        <v>2</v>
      </c>
      <c r="AH75" s="18"/>
    </row>
    <row r="76" spans="1:34" s="2" customFormat="1" ht="45" customHeight="1">
      <c r="A76" s="293">
        <f t="shared" si="4"/>
        <v>69</v>
      </c>
      <c r="B76" s="28" t="s">
        <v>1638</v>
      </c>
      <c r="C76" s="295" t="s">
        <v>1635</v>
      </c>
      <c r="D76" s="56">
        <f>IF(F76="","",SUBTOTAL(3,$F$6:F76))</f>
        <v>70</v>
      </c>
      <c r="E76" s="34" t="s">
        <v>250</v>
      </c>
      <c r="F76" s="107" t="s">
        <v>1688</v>
      </c>
      <c r="G76" s="39" t="s">
        <v>1608</v>
      </c>
      <c r="H76" s="83" t="str">
        <f>IF($G76&lt;&gt;"",VLOOKUP($G76,'WPS '!C$5:M$209,3,FALSE),"")</f>
        <v>FCAW</v>
      </c>
      <c r="I76" s="22" t="s">
        <v>1626</v>
      </c>
      <c r="J76" s="22" t="s">
        <v>1390</v>
      </c>
      <c r="K76" s="69" t="s">
        <v>1624</v>
      </c>
      <c r="L76" s="22" t="str">
        <f>IF($G76&lt;&gt;"",VLOOKUP($G76,'WPS '!C$5:M$209,8,FALSE),"")</f>
        <v>E71T-1C</v>
      </c>
      <c r="M76" s="76" t="s">
        <v>1627</v>
      </c>
      <c r="N76" s="21">
        <v>45945</v>
      </c>
      <c r="O76" s="21">
        <v>45945</v>
      </c>
      <c r="P76" s="21">
        <f t="shared" si="3"/>
        <v>46310</v>
      </c>
      <c r="Q76" s="164" t="str">
        <f>IF($G76&lt;&gt;"",VLOOKUP($G76,'WPS '!C$5:M$209,11,FALSE),"")</f>
        <v>ASME IX</v>
      </c>
      <c r="R76" s="147" t="str">
        <f>IF($G76&lt;&gt;"",VLOOKUP($G76,'WPS '!$C$5:$M$209,2,FALSE),"")</f>
        <v>OSR-WPS-ASME-FC-022</v>
      </c>
      <c r="S76" s="30" t="s">
        <v>356</v>
      </c>
      <c r="T76" s="30"/>
      <c r="U76" s="30"/>
      <c r="V76" s="30"/>
      <c r="W76" s="62"/>
      <c r="X76" s="30"/>
      <c r="Y76" s="31"/>
      <c r="Z76" s="31"/>
      <c r="AA76" s="31"/>
      <c r="AB76" s="62"/>
      <c r="AC76" s="62"/>
      <c r="AD76" s="62"/>
      <c r="AE76" s="146"/>
      <c r="AF76" s="146"/>
      <c r="AG76" s="67">
        <v>2</v>
      </c>
      <c r="AH76" s="18"/>
    </row>
    <row r="77" spans="1:34" s="2" customFormat="1" ht="45" customHeight="1">
      <c r="A77" s="293">
        <f t="shared" si="4"/>
        <v>70</v>
      </c>
      <c r="B77" s="5" t="s">
        <v>1637</v>
      </c>
      <c r="C77" s="295" t="s">
        <v>1635</v>
      </c>
      <c r="D77" s="56">
        <f>IF(F77="","",SUBTOTAL(3,$F$6:F77))</f>
        <v>71</v>
      </c>
      <c r="E77" s="34" t="s">
        <v>1581</v>
      </c>
      <c r="F77" s="107" t="s">
        <v>1723</v>
      </c>
      <c r="G77" s="39" t="s">
        <v>719</v>
      </c>
      <c r="H77" s="83" t="str">
        <f>IF($G77&lt;&gt;"",VLOOKUP($G77,'WPS '!C$5:M$209,3,FALSE),"")</f>
        <v>FCAW</v>
      </c>
      <c r="I77" s="22" t="s">
        <v>849</v>
      </c>
      <c r="J77" s="22" t="s">
        <v>1390</v>
      </c>
      <c r="K77" s="69" t="s">
        <v>247</v>
      </c>
      <c r="L77" s="22" t="str">
        <f>IF($G77&lt;&gt;"",VLOOKUP($G77,'WPS '!C$5:M$209,8,FALSE),"")</f>
        <v>E71T-1C</v>
      </c>
      <c r="M77" s="76" t="s">
        <v>1582</v>
      </c>
      <c r="N77" s="21">
        <v>45951</v>
      </c>
      <c r="O77" s="21">
        <v>45952</v>
      </c>
      <c r="P77" s="21">
        <f t="shared" si="3"/>
        <v>46317</v>
      </c>
      <c r="Q77" s="164" t="str">
        <f>IF($G77&lt;&gt;"",VLOOKUP($G77,'WPS '!C$5:M$209,11,FALSE),"")</f>
        <v>ASME IX</v>
      </c>
      <c r="R77" s="147" t="str">
        <f>IF($G77&lt;&gt;"",VLOOKUP($G77,'WPS '!$C$5:$M$209,2,FALSE),"")</f>
        <v>OSR-WPS-ASME-FC-002</v>
      </c>
      <c r="S77" s="30" t="s">
        <v>356</v>
      </c>
      <c r="T77" s="30"/>
      <c r="U77" s="30"/>
      <c r="V77" s="30"/>
      <c r="W77" s="62"/>
      <c r="X77" s="30"/>
      <c r="Y77" s="32"/>
      <c r="Z77" s="32"/>
      <c r="AA77" s="32"/>
      <c r="AB77" s="62"/>
      <c r="AC77" s="62"/>
      <c r="AD77" s="62"/>
      <c r="AE77" s="146"/>
      <c r="AF77" s="146"/>
      <c r="AG77" s="67">
        <v>2</v>
      </c>
      <c r="AH77" s="18"/>
    </row>
    <row r="78" spans="1:34" ht="45" customHeight="1">
      <c r="A78" s="293">
        <f t="shared" si="4"/>
        <v>71</v>
      </c>
      <c r="B78" s="28" t="s">
        <v>1634</v>
      </c>
      <c r="C78" s="28" t="s">
        <v>328</v>
      </c>
      <c r="D78" s="56">
        <f>IF(F78="","",SUBTOTAL(3,$F$6:F78))</f>
        <v>72</v>
      </c>
      <c r="E78" s="34" t="s">
        <v>233</v>
      </c>
      <c r="F78" s="107" t="s">
        <v>1754</v>
      </c>
      <c r="G78" s="39" t="s">
        <v>718</v>
      </c>
      <c r="H78" s="83" t="str">
        <f>IF($G78&lt;&gt;"",VLOOKUP($G78,'WPS '!C$5:M$209,3,FALSE),"")</f>
        <v>FCAW</v>
      </c>
      <c r="I78" s="22" t="s">
        <v>849</v>
      </c>
      <c r="J78" s="22" t="s">
        <v>1390</v>
      </c>
      <c r="K78" s="69" t="s">
        <v>116</v>
      </c>
      <c r="L78" s="22" t="str">
        <f>IF($G78&lt;&gt;"",VLOOKUP($G78,'WPS '!C$5:M$209,8,FALSE),"")</f>
        <v>E71T-1C</v>
      </c>
      <c r="M78" s="76" t="s">
        <v>308</v>
      </c>
      <c r="N78" s="21">
        <v>45857</v>
      </c>
      <c r="O78" s="21">
        <v>45858</v>
      </c>
      <c r="P78" s="21">
        <f t="shared" si="3"/>
        <v>46223</v>
      </c>
      <c r="Q78" s="164" t="str">
        <f>IF($G78&lt;&gt;"",VLOOKUP($G78,'WPS '!C$5:M$209,11,FALSE),"")</f>
        <v>ASME IX</v>
      </c>
      <c r="R78" s="147" t="str">
        <f>IF($G78&lt;&gt;"",VLOOKUP($G78,'WPS '!$C$5:$M$209,2,FALSE),"")</f>
        <v>OSR-WPS-ASME-FC-001</v>
      </c>
      <c r="S78" s="30" t="s">
        <v>356</v>
      </c>
      <c r="T78" s="30"/>
      <c r="U78" s="30"/>
      <c r="V78" s="30"/>
      <c r="W78" s="62"/>
      <c r="X78" s="30"/>
      <c r="Y78" s="31"/>
      <c r="Z78" s="31"/>
      <c r="AA78" s="31"/>
      <c r="AB78" s="62"/>
      <c r="AC78" s="62"/>
      <c r="AD78" s="62"/>
      <c r="AE78" s="146"/>
      <c r="AF78" s="146"/>
      <c r="AG78" s="67">
        <v>2</v>
      </c>
      <c r="AH78" s="18"/>
    </row>
    <row r="79" spans="1:34" ht="45" customHeight="1">
      <c r="A79" s="293">
        <f t="shared" si="4"/>
        <v>72</v>
      </c>
      <c r="B79" s="28" t="s">
        <v>1638</v>
      </c>
      <c r="C79" s="295" t="s">
        <v>1635</v>
      </c>
      <c r="D79" s="56">
        <f>IF(F79="","",SUBTOTAL(3,$F$6:F79))</f>
        <v>73</v>
      </c>
      <c r="E79" s="34" t="s">
        <v>833</v>
      </c>
      <c r="F79" s="107" t="s">
        <v>1725</v>
      </c>
      <c r="G79" s="39" t="s">
        <v>719</v>
      </c>
      <c r="H79" s="83" t="str">
        <f>IF($G79&lt;&gt;"",VLOOKUP($G79,'WPS '!C$5:M$209,3,FALSE),"")</f>
        <v>FCAW</v>
      </c>
      <c r="I79" s="22" t="s">
        <v>849</v>
      </c>
      <c r="J79" s="22" t="s">
        <v>1215</v>
      </c>
      <c r="K79" s="69" t="s">
        <v>964</v>
      </c>
      <c r="L79" s="22" t="str">
        <f>IF($G79&lt;&gt;"",VLOOKUP($G79,'WPS '!C$5:M$209,8,FALSE),"")</f>
        <v>E71T-1C</v>
      </c>
      <c r="M79" s="76" t="s">
        <v>834</v>
      </c>
      <c r="N79" s="21">
        <v>45871</v>
      </c>
      <c r="O79" s="21">
        <v>45873</v>
      </c>
      <c r="P79" s="21">
        <f t="shared" si="3"/>
        <v>46238</v>
      </c>
      <c r="Q79" s="164" t="str">
        <f>IF($G79&lt;&gt;"",VLOOKUP($G79,'WPS '!C$5:M$209,11,FALSE),"")</f>
        <v>ASME IX</v>
      </c>
      <c r="R79" s="147" t="str">
        <f>IF($G79&lt;&gt;"",VLOOKUP($G79,'WPS '!$C$5:$M$209,2,FALSE),"")</f>
        <v>OSR-WPS-ASME-FC-002</v>
      </c>
      <c r="S79" s="30" t="s">
        <v>356</v>
      </c>
      <c r="T79" s="30"/>
      <c r="U79" s="30"/>
      <c r="V79" s="30"/>
      <c r="W79" s="62"/>
      <c r="X79" s="30"/>
      <c r="Y79" s="31"/>
      <c r="Z79" s="31"/>
      <c r="AA79" s="31"/>
      <c r="AB79" s="62"/>
      <c r="AC79" s="62"/>
      <c r="AD79" s="62"/>
      <c r="AE79" s="146"/>
      <c r="AF79" s="146"/>
      <c r="AG79" s="67">
        <v>2</v>
      </c>
      <c r="AH79" s="18"/>
    </row>
    <row r="80" spans="1:34" ht="45" customHeight="1">
      <c r="A80" s="293">
        <f t="shared" si="4"/>
        <v>73</v>
      </c>
      <c r="B80" s="28" t="s">
        <v>1638</v>
      </c>
      <c r="C80" s="295" t="s">
        <v>1635</v>
      </c>
      <c r="D80" s="56">
        <f>IF(F80="","",SUBTOTAL(3,$F$6:F80))</f>
        <v>74</v>
      </c>
      <c r="E80" s="34" t="s">
        <v>833</v>
      </c>
      <c r="F80" s="107" t="s">
        <v>1725</v>
      </c>
      <c r="G80" s="39" t="s">
        <v>723</v>
      </c>
      <c r="H80" s="83" t="str">
        <f>IF($G80&lt;&gt;"",VLOOKUP($G80,'WPS '!C$5:M$209,3,FALSE),"")</f>
        <v>GTAW</v>
      </c>
      <c r="I80" s="22" t="s">
        <v>853</v>
      </c>
      <c r="J80" s="22" t="s">
        <v>1472</v>
      </c>
      <c r="K80" s="69" t="s">
        <v>1570</v>
      </c>
      <c r="L80" s="22" t="str">
        <f>IF($G80&lt;&gt;"",VLOOKUP($G80,'WPS '!C$5:M$209,8,FALSE),"")</f>
        <v>ERNiCr 3</v>
      </c>
      <c r="M80" s="76" t="s">
        <v>1571</v>
      </c>
      <c r="N80" s="21">
        <v>45871</v>
      </c>
      <c r="O80" s="21">
        <v>45873</v>
      </c>
      <c r="P80" s="21">
        <f t="shared" si="3"/>
        <v>46238</v>
      </c>
      <c r="Q80" s="164" t="str">
        <f>IF($G80&lt;&gt;"",VLOOKUP($G80,'WPS '!C$5:M$209,11,FALSE),"")</f>
        <v>ASME IX</v>
      </c>
      <c r="R80" s="147" t="str">
        <f>IF($G80&lt;&gt;"",VLOOKUP($G80,'WPS '!$C$5:$M$209,2,FALSE),"")</f>
        <v>OSR-WPS-ASME-GT-006</v>
      </c>
      <c r="S80" s="30" t="s">
        <v>356</v>
      </c>
      <c r="T80" s="30"/>
      <c r="U80" s="30"/>
      <c r="V80" s="30"/>
      <c r="W80" s="62"/>
      <c r="X80" s="30"/>
      <c r="Y80" s="31"/>
      <c r="Z80" s="31"/>
      <c r="AA80" s="31"/>
      <c r="AB80" s="62"/>
      <c r="AC80" s="62"/>
      <c r="AD80" s="62"/>
      <c r="AE80" s="146"/>
      <c r="AF80" s="146"/>
      <c r="AG80" s="67">
        <v>2</v>
      </c>
      <c r="AH80" s="18"/>
    </row>
    <row r="81" spans="1:34" ht="45" customHeight="1">
      <c r="A81" s="293">
        <f t="shared" si="4"/>
        <v>74</v>
      </c>
      <c r="B81" s="5" t="s">
        <v>1634</v>
      </c>
      <c r="C81" s="5" t="s">
        <v>328</v>
      </c>
      <c r="D81" s="56">
        <f>IF(F81="","",SUBTOTAL(3,$F$6:F81))</f>
        <v>75</v>
      </c>
      <c r="E81" s="36" t="s">
        <v>181</v>
      </c>
      <c r="F81" s="106" t="s">
        <v>1773</v>
      </c>
      <c r="G81" s="40" t="s">
        <v>701</v>
      </c>
      <c r="H81" s="83">
        <f>IF($G81&lt;&gt;"",VLOOKUP($G81,'WPS '!C$5:M$209,3,FALSE),"")</f>
        <v>136</v>
      </c>
      <c r="I81" s="22" t="s">
        <v>1250</v>
      </c>
      <c r="J81" s="22" t="s">
        <v>257</v>
      </c>
      <c r="K81" s="69" t="s">
        <v>884</v>
      </c>
      <c r="L81" s="22" t="str">
        <f>IF($G81&lt;&gt;"",VLOOKUP($G81,'WPS '!C$5:M$209,8,FALSE),"")</f>
        <v>E81T1-W2C</v>
      </c>
      <c r="M81" s="76" t="s">
        <v>182</v>
      </c>
      <c r="N81" s="21">
        <v>45785</v>
      </c>
      <c r="O81" s="21">
        <v>45787</v>
      </c>
      <c r="P81" s="21">
        <f t="shared" si="3"/>
        <v>46152</v>
      </c>
      <c r="Q81" s="164" t="s">
        <v>1811</v>
      </c>
      <c r="R81" s="147" t="str">
        <f>IF($G81&lt;&gt;"",VLOOKUP($G81,'WPS '!$C$5:$M$209,2,FALSE),"")</f>
        <v>OSR-WPS-ISO-PC-046</v>
      </c>
      <c r="S81" s="30"/>
      <c r="T81" s="30"/>
      <c r="U81" s="30"/>
      <c r="V81" s="30"/>
      <c r="W81" s="30"/>
      <c r="X81" s="30" t="s">
        <v>95</v>
      </c>
      <c r="Y81" s="30"/>
      <c r="Z81" s="30"/>
      <c r="AA81" s="30"/>
      <c r="AB81" s="30"/>
      <c r="AC81" s="30"/>
      <c r="AD81" s="30"/>
      <c r="AE81" s="54"/>
      <c r="AF81" s="54"/>
      <c r="AG81" s="66">
        <v>2</v>
      </c>
      <c r="AH81" s="115"/>
    </row>
    <row r="82" spans="1:34" ht="45" customHeight="1">
      <c r="A82" s="293">
        <f t="shared" si="4"/>
        <v>75</v>
      </c>
      <c r="B82" s="5" t="s">
        <v>326</v>
      </c>
      <c r="C82" s="296" t="s">
        <v>1635</v>
      </c>
      <c r="D82" s="56">
        <f>IF(F82="","",SUBTOTAL(3,$F$6:F82))</f>
        <v>76</v>
      </c>
      <c r="E82" s="34" t="s">
        <v>9</v>
      </c>
      <c r="F82" s="107" t="s">
        <v>1701</v>
      </c>
      <c r="G82" s="40" t="s">
        <v>659</v>
      </c>
      <c r="H82" s="83">
        <f>IF($G82&lt;&gt;"",VLOOKUP($G82,'WPS '!C$5:M$209,3,FALSE),"")</f>
        <v>111</v>
      </c>
      <c r="I82" s="22" t="s">
        <v>1250</v>
      </c>
      <c r="J82" s="22" t="s">
        <v>240</v>
      </c>
      <c r="K82" s="69" t="s">
        <v>884</v>
      </c>
      <c r="L82" s="22" t="str">
        <f>IF($G82&lt;&gt;"",VLOOKUP($G82,'WPS '!C$5:M$209,8,FALSE),"")</f>
        <v>E7018.G</v>
      </c>
      <c r="M82" s="76" t="s">
        <v>10</v>
      </c>
      <c r="N82" s="21">
        <v>44894</v>
      </c>
      <c r="O82" s="21">
        <v>44895</v>
      </c>
      <c r="P82" s="21">
        <f t="shared" si="3"/>
        <v>46172</v>
      </c>
      <c r="Q82" s="164" t="s">
        <v>1811</v>
      </c>
      <c r="R82" s="147" t="str">
        <f>IF($G82&lt;&gt;"",VLOOKUP($G82,'WPS '!$C$5:$M$209,2,FALSE),"")</f>
        <v>OSR-WPS-ISO-003</v>
      </c>
      <c r="S82" s="30"/>
      <c r="T82" s="30"/>
      <c r="U82" s="30"/>
      <c r="V82" s="30"/>
      <c r="W82" s="30"/>
      <c r="X82" s="30"/>
      <c r="Y82" s="30"/>
      <c r="Z82" s="30"/>
      <c r="AA82" s="30"/>
      <c r="AB82" s="30"/>
      <c r="AC82" s="30"/>
      <c r="AD82" s="30"/>
      <c r="AE82" s="54"/>
      <c r="AF82" s="54"/>
      <c r="AG82" s="66">
        <v>7</v>
      </c>
      <c r="AH82" s="115"/>
    </row>
    <row r="83" spans="1:34" s="20" customFormat="1" ht="45" customHeight="1">
      <c r="A83" s="293">
        <f t="shared" si="4"/>
        <v>76</v>
      </c>
      <c r="B83" s="5" t="s">
        <v>326</v>
      </c>
      <c r="C83" s="296" t="s">
        <v>1635</v>
      </c>
      <c r="D83" s="56">
        <f>IF(F83="","",SUBTOTAL(3,$F$6:F83))</f>
        <v>77</v>
      </c>
      <c r="E83" s="34" t="s">
        <v>9</v>
      </c>
      <c r="F83" s="107" t="s">
        <v>1701</v>
      </c>
      <c r="G83" s="40" t="s">
        <v>666</v>
      </c>
      <c r="H83" s="83">
        <f>IF($G83&lt;&gt;"",VLOOKUP($G83,'WPS '!C$5:M$209,3,FALSE),"")</f>
        <v>136</v>
      </c>
      <c r="I83" s="22" t="s">
        <v>1250</v>
      </c>
      <c r="J83" s="22" t="s">
        <v>1676</v>
      </c>
      <c r="K83" s="69" t="s">
        <v>884</v>
      </c>
      <c r="L83" s="22" t="str">
        <f>IF($G83&lt;&gt;"",VLOOKUP($G83,'WPS '!C$5:M$209,8,FALSE),"")</f>
        <v>E71T-1C</v>
      </c>
      <c r="M83" s="76" t="s">
        <v>262</v>
      </c>
      <c r="N83" s="21">
        <v>45862</v>
      </c>
      <c r="O83" s="21">
        <v>45864</v>
      </c>
      <c r="P83" s="21">
        <f t="shared" si="3"/>
        <v>46229</v>
      </c>
      <c r="Q83" s="164" t="s">
        <v>1811</v>
      </c>
      <c r="R83" s="147" t="str">
        <f>IF($G83&lt;&gt;"",VLOOKUP($G83,'WPS '!$C$5:$M$209,2,FALSE),"")</f>
        <v>OSR-WPS-ISO-PF-010</v>
      </c>
      <c r="S83" s="30"/>
      <c r="T83" s="30"/>
      <c r="U83" s="30"/>
      <c r="V83" s="30"/>
      <c r="W83" s="30"/>
      <c r="X83" s="30"/>
      <c r="Y83" s="30"/>
      <c r="Z83" s="30"/>
      <c r="AA83" s="30"/>
      <c r="AB83" s="30" t="s">
        <v>95</v>
      </c>
      <c r="AC83" s="30"/>
      <c r="AD83" s="30"/>
      <c r="AE83" s="54"/>
      <c r="AF83" s="54"/>
      <c r="AG83" s="66">
        <v>2</v>
      </c>
      <c r="AH83" s="115"/>
    </row>
    <row r="84" spans="1:34" s="2" customFormat="1" ht="45" customHeight="1">
      <c r="A84" s="293">
        <f t="shared" si="4"/>
        <v>77</v>
      </c>
      <c r="B84" s="5" t="s">
        <v>326</v>
      </c>
      <c r="C84" s="296" t="s">
        <v>1635</v>
      </c>
      <c r="D84" s="56">
        <f>IF(F84="","",SUBTOTAL(3,$F$6:F84))</f>
        <v>78</v>
      </c>
      <c r="E84" s="34" t="s">
        <v>9</v>
      </c>
      <c r="F84" s="107" t="s">
        <v>1701</v>
      </c>
      <c r="G84" s="40" t="s">
        <v>670</v>
      </c>
      <c r="H84" s="83">
        <f>IF($G84&lt;&gt;"",VLOOKUP($G84,'WPS '!C$5:M$209,3,FALSE),"")</f>
        <v>136</v>
      </c>
      <c r="I84" s="22" t="s">
        <v>1250</v>
      </c>
      <c r="J84" s="22" t="s">
        <v>251</v>
      </c>
      <c r="K84" s="69" t="s">
        <v>884</v>
      </c>
      <c r="L84" s="22" t="str">
        <f>IF($G84&lt;&gt;"",VLOOKUP($G84,'WPS '!C$5:M$209,8,FALSE),"")</f>
        <v>E81T1-Ni 1C
SC-700H</v>
      </c>
      <c r="M84" s="76" t="s">
        <v>78</v>
      </c>
      <c r="N84" s="21">
        <v>45139</v>
      </c>
      <c r="O84" s="21">
        <v>45144</v>
      </c>
      <c r="P84" s="21">
        <f t="shared" si="3"/>
        <v>46059</v>
      </c>
      <c r="Q84" s="164" t="s">
        <v>1811</v>
      </c>
      <c r="R84" s="147" t="str">
        <f>IF($G84&lt;&gt;"",VLOOKUP($G84,'WPS '!$C$5:$M$209,2,FALSE),"")</f>
        <v>OSR-WPS-ISO-PA-014</v>
      </c>
      <c r="S84" s="30"/>
      <c r="T84" s="30"/>
      <c r="U84" s="30"/>
      <c r="V84" s="30"/>
      <c r="W84" s="30"/>
      <c r="X84" s="30"/>
      <c r="Y84" s="30"/>
      <c r="Z84" s="30"/>
      <c r="AA84" s="30"/>
      <c r="AB84" s="30"/>
      <c r="AC84" s="30"/>
      <c r="AD84" s="30"/>
      <c r="AE84" s="54"/>
      <c r="AF84" s="54"/>
      <c r="AG84" s="66">
        <v>5</v>
      </c>
      <c r="AH84" s="115"/>
    </row>
    <row r="85" spans="1:34" s="2" customFormat="1" ht="45" customHeight="1">
      <c r="A85" s="293">
        <f t="shared" si="4"/>
        <v>78</v>
      </c>
      <c r="B85" s="5" t="s">
        <v>326</v>
      </c>
      <c r="C85" s="296" t="s">
        <v>1635</v>
      </c>
      <c r="D85" s="56">
        <f>IF(F85="","",SUBTOTAL(3,$F$6:F85))</f>
        <v>79</v>
      </c>
      <c r="E85" s="34" t="s">
        <v>9</v>
      </c>
      <c r="F85" s="107" t="s">
        <v>1701</v>
      </c>
      <c r="G85" s="40" t="s">
        <v>692</v>
      </c>
      <c r="H85" s="83">
        <f>IF($G85&lt;&gt;"",VLOOKUP($G85,'WPS '!C$5:M$209,3,FALSE),"")</f>
        <v>135</v>
      </c>
      <c r="I85" s="22" t="s">
        <v>1250</v>
      </c>
      <c r="J85" s="22" t="s">
        <v>251</v>
      </c>
      <c r="K85" s="69" t="s">
        <v>884</v>
      </c>
      <c r="L85" s="22" t="str">
        <f>IF($G85&lt;&gt;"",VLOOKUP($G85,'WPS '!C$5:M$209,8,FALSE),"")</f>
        <v>ER310</v>
      </c>
      <c r="M85" s="76" t="s">
        <v>81</v>
      </c>
      <c r="N85" s="21">
        <v>45638</v>
      </c>
      <c r="O85" s="21">
        <v>45645</v>
      </c>
      <c r="P85" s="21">
        <f t="shared" si="3"/>
        <v>46010</v>
      </c>
      <c r="Q85" s="164" t="s">
        <v>1811</v>
      </c>
      <c r="R85" s="147" t="str">
        <f>IF($G85&lt;&gt;"",VLOOKUP($G85,'WPS '!$C$5:$M$209,2,FALSE),"")</f>
        <v>OSR-WPS-ISO-PA-037</v>
      </c>
      <c r="S85" s="30"/>
      <c r="T85" s="30"/>
      <c r="U85" s="30"/>
      <c r="V85" s="30"/>
      <c r="W85" s="30"/>
      <c r="X85" s="30"/>
      <c r="Y85" s="30"/>
      <c r="Z85" s="30"/>
      <c r="AA85" s="30"/>
      <c r="AB85" s="30"/>
      <c r="AC85" s="30"/>
      <c r="AD85" s="30"/>
      <c r="AE85" s="54"/>
      <c r="AF85" s="54"/>
      <c r="AG85" s="67">
        <v>2</v>
      </c>
      <c r="AH85" s="115"/>
    </row>
    <row r="86" spans="1:34" s="2" customFormat="1" ht="45" customHeight="1">
      <c r="A86" s="293">
        <f t="shared" si="4"/>
        <v>79</v>
      </c>
      <c r="B86" s="5" t="s">
        <v>326</v>
      </c>
      <c r="C86" s="296" t="s">
        <v>1635</v>
      </c>
      <c r="D86" s="56">
        <f>IF(F86="","",SUBTOTAL(3,$F$6:F86))</f>
        <v>80</v>
      </c>
      <c r="E86" s="34" t="s">
        <v>9</v>
      </c>
      <c r="F86" s="107" t="s">
        <v>1701</v>
      </c>
      <c r="G86" s="40" t="s">
        <v>700</v>
      </c>
      <c r="H86" s="83">
        <f>IF($G86&lt;&gt;"",VLOOKUP($G86,'WPS '!C$5:M$209,3,FALSE),"")</f>
        <v>136</v>
      </c>
      <c r="I86" s="22" t="s">
        <v>1250</v>
      </c>
      <c r="J86" s="22" t="s">
        <v>242</v>
      </c>
      <c r="K86" s="69" t="s">
        <v>884</v>
      </c>
      <c r="L86" s="22" t="str">
        <f>IF($G86&lt;&gt;"",VLOOKUP($G86,'WPS '!C$5:M$209,8,FALSE),"")</f>
        <v>E81T1-W2C</v>
      </c>
      <c r="M86" s="76" t="s">
        <v>138</v>
      </c>
      <c r="N86" s="21">
        <v>45724</v>
      </c>
      <c r="O86" s="21">
        <v>45731</v>
      </c>
      <c r="P86" s="21">
        <f t="shared" si="3"/>
        <v>46096</v>
      </c>
      <c r="Q86" s="164" t="s">
        <v>1811</v>
      </c>
      <c r="R86" s="147" t="str">
        <f>IF($G86&lt;&gt;"",VLOOKUP($G86,'WPS '!$C$5:$M$209,2,FALSE),"")</f>
        <v>OSR-WPS-ISO-PF-045</v>
      </c>
      <c r="S86" s="30"/>
      <c r="T86" s="30"/>
      <c r="U86" s="30"/>
      <c r="V86" s="30"/>
      <c r="W86" s="30"/>
      <c r="X86" s="30" t="s">
        <v>95</v>
      </c>
      <c r="Y86" s="30"/>
      <c r="Z86" s="30"/>
      <c r="AA86" s="30"/>
      <c r="AB86" s="30"/>
      <c r="AC86" s="30"/>
      <c r="AD86" s="30"/>
      <c r="AE86" s="54"/>
      <c r="AF86" s="54"/>
      <c r="AG86" s="66">
        <v>2</v>
      </c>
      <c r="AH86" s="115"/>
    </row>
    <row r="87" spans="1:34" s="20" customFormat="1" ht="45" customHeight="1">
      <c r="A87" s="293">
        <f t="shared" si="4"/>
        <v>80</v>
      </c>
      <c r="B87" s="5" t="s">
        <v>326</v>
      </c>
      <c r="C87" s="296" t="s">
        <v>1635</v>
      </c>
      <c r="D87" s="56">
        <f>IF(F87="","",SUBTOTAL(3,$F$6:F87))</f>
        <v>81</v>
      </c>
      <c r="E87" s="34" t="s">
        <v>9</v>
      </c>
      <c r="F87" s="107" t="s">
        <v>1701</v>
      </c>
      <c r="G87" s="40" t="s">
        <v>706</v>
      </c>
      <c r="H87" s="83">
        <f>IF($G87&lt;&gt;"",VLOOKUP($G87,'WPS '!C$5:M$209,3,FALSE),"")</f>
        <v>136</v>
      </c>
      <c r="I87" s="22" t="s">
        <v>1251</v>
      </c>
      <c r="J87" s="22" t="s">
        <v>242</v>
      </c>
      <c r="K87" s="69" t="s">
        <v>884</v>
      </c>
      <c r="L87" s="22" t="str">
        <f>IF($G87&lt;&gt;"",VLOOKUP($G87,'WPS '!C$5:M$209,8,FALSE),"")</f>
        <v>E71T-1C</v>
      </c>
      <c r="M87" s="76" t="s">
        <v>892</v>
      </c>
      <c r="N87" s="21">
        <v>45796</v>
      </c>
      <c r="O87" s="21">
        <v>45799</v>
      </c>
      <c r="P87" s="21">
        <f t="shared" si="3"/>
        <v>46164</v>
      </c>
      <c r="Q87" s="164" t="s">
        <v>1811</v>
      </c>
      <c r="R87" s="147" t="str">
        <f>IF($G87&lt;&gt;"",VLOOKUP($G87,'WPS '!$C$5:$M$209,2,FALSE),"")</f>
        <v>OSR-WPS-ISO-PF-051</v>
      </c>
      <c r="S87" s="30"/>
      <c r="T87" s="30"/>
      <c r="U87" s="30"/>
      <c r="V87" s="30"/>
      <c r="W87" s="30"/>
      <c r="X87" s="30"/>
      <c r="Y87" s="30" t="s">
        <v>356</v>
      </c>
      <c r="Z87" s="30"/>
      <c r="AA87" s="30"/>
      <c r="AB87" s="30"/>
      <c r="AC87" s="30"/>
      <c r="AD87" s="30"/>
      <c r="AE87" s="54"/>
      <c r="AF87" s="54"/>
      <c r="AG87" s="66">
        <v>2</v>
      </c>
      <c r="AH87" s="115"/>
    </row>
    <row r="88" spans="1:34" s="20" customFormat="1" ht="45" customHeight="1">
      <c r="A88" s="293">
        <f t="shared" si="4"/>
        <v>81</v>
      </c>
      <c r="B88" s="5" t="s">
        <v>326</v>
      </c>
      <c r="C88" s="296" t="s">
        <v>1635</v>
      </c>
      <c r="D88" s="56">
        <f>IF(F88="","",SUBTOTAL(3,$F$6:F88))</f>
        <v>82</v>
      </c>
      <c r="E88" s="34" t="s">
        <v>9</v>
      </c>
      <c r="F88" s="107" t="s">
        <v>1701</v>
      </c>
      <c r="G88" s="40" t="s">
        <v>706</v>
      </c>
      <c r="H88" s="83">
        <f>IF($G88&lt;&gt;"",VLOOKUP($G88,'WPS '!C$5:M$209,3,FALSE),"")</f>
        <v>136</v>
      </c>
      <c r="I88" s="22" t="s">
        <v>1251</v>
      </c>
      <c r="J88" s="22" t="s">
        <v>244</v>
      </c>
      <c r="K88" s="69" t="s">
        <v>884</v>
      </c>
      <c r="L88" s="22" t="str">
        <f>IF($G88&lt;&gt;"",VLOOKUP($G88,'WPS '!C$5:M$209,8,FALSE),"")</f>
        <v>E71T-1C</v>
      </c>
      <c r="M88" s="76" t="s">
        <v>893</v>
      </c>
      <c r="N88" s="21">
        <v>45843</v>
      </c>
      <c r="O88" s="21">
        <v>45846</v>
      </c>
      <c r="P88" s="21">
        <f t="shared" si="3"/>
        <v>46211</v>
      </c>
      <c r="Q88" s="164" t="s">
        <v>1811</v>
      </c>
      <c r="R88" s="147" t="str">
        <f>IF($G88&lt;&gt;"",VLOOKUP($G88,'WPS '!$C$5:$M$209,2,FALSE),"")</f>
        <v>OSR-WPS-ISO-PF-051</v>
      </c>
      <c r="S88" s="30"/>
      <c r="T88" s="30"/>
      <c r="U88" s="30"/>
      <c r="V88" s="30"/>
      <c r="W88" s="30"/>
      <c r="X88" s="30"/>
      <c r="Y88" s="30" t="s">
        <v>356</v>
      </c>
      <c r="Z88" s="30"/>
      <c r="AA88" s="30"/>
      <c r="AB88" s="30"/>
      <c r="AC88" s="30"/>
      <c r="AD88" s="30"/>
      <c r="AE88" s="54"/>
      <c r="AF88" s="54"/>
      <c r="AG88" s="66">
        <v>2</v>
      </c>
      <c r="AH88" s="115"/>
    </row>
    <row r="89" spans="1:34" ht="45" customHeight="1">
      <c r="A89" s="293">
        <f t="shared" si="4"/>
        <v>82</v>
      </c>
      <c r="B89" s="5" t="s">
        <v>326</v>
      </c>
      <c r="C89" s="296" t="s">
        <v>1635</v>
      </c>
      <c r="D89" s="56">
        <f>IF(F89="","",SUBTOTAL(3,$F$6:F89))</f>
        <v>83</v>
      </c>
      <c r="E89" s="34" t="s">
        <v>9</v>
      </c>
      <c r="F89" s="107" t="s">
        <v>1701</v>
      </c>
      <c r="G89" s="40" t="s">
        <v>717</v>
      </c>
      <c r="H89" s="83">
        <f>IF($G89&lt;&gt;"",VLOOKUP($G89,'WPS '!C$5:M$209,3,FALSE),"")</f>
        <v>136</v>
      </c>
      <c r="I89" s="22" t="s">
        <v>1251</v>
      </c>
      <c r="J89" s="22" t="s">
        <v>894</v>
      </c>
      <c r="K89" s="69" t="s">
        <v>884</v>
      </c>
      <c r="L89" s="22" t="str">
        <f>IF($G89&lt;&gt;"",VLOOKUP($G89,'WPS '!C$5:M$209,8,FALSE),"")</f>
        <v>E71T-1C</v>
      </c>
      <c r="M89" s="76" t="s">
        <v>895</v>
      </c>
      <c r="N89" s="21">
        <v>45848</v>
      </c>
      <c r="O89" s="21">
        <v>45850</v>
      </c>
      <c r="P89" s="21">
        <f t="shared" si="3"/>
        <v>46215</v>
      </c>
      <c r="Q89" s="164" t="s">
        <v>1811</v>
      </c>
      <c r="R89" s="147" t="str">
        <f>IF($G89&lt;&gt;"",VLOOKUP($G89,'WPS '!$C$5:$M$209,2,FALSE),"")</f>
        <v>OSR-WPS-ISO-PF-062</v>
      </c>
      <c r="S89" s="30"/>
      <c r="T89" s="30"/>
      <c r="U89" s="30"/>
      <c r="V89" s="30"/>
      <c r="W89" s="30"/>
      <c r="X89" s="30"/>
      <c r="Y89" s="30" t="s">
        <v>356</v>
      </c>
      <c r="Z89" s="30"/>
      <c r="AA89" s="30"/>
      <c r="AB89" s="30"/>
      <c r="AC89" s="30"/>
      <c r="AD89" s="30"/>
      <c r="AE89" s="54"/>
      <c r="AF89" s="54"/>
      <c r="AG89" s="66">
        <v>2</v>
      </c>
      <c r="AH89" s="115"/>
    </row>
    <row r="90" spans="1:34" ht="45" customHeight="1">
      <c r="A90" s="293">
        <f t="shared" si="4"/>
        <v>83</v>
      </c>
      <c r="B90" s="5" t="s">
        <v>326</v>
      </c>
      <c r="C90" s="296" t="s">
        <v>1635</v>
      </c>
      <c r="D90" s="56">
        <f>IF(F90="","",SUBTOTAL(3,$F$6:F90))</f>
        <v>84</v>
      </c>
      <c r="E90" s="34" t="s">
        <v>9</v>
      </c>
      <c r="F90" s="107" t="s">
        <v>1701</v>
      </c>
      <c r="G90" s="40" t="s">
        <v>1237</v>
      </c>
      <c r="H90" s="83">
        <f>IF($G90&lt;&gt;"",VLOOKUP($G90,'WPS '!C$5:M$209,3,FALSE),"")</f>
        <v>136</v>
      </c>
      <c r="I90" s="22" t="s">
        <v>1251</v>
      </c>
      <c r="J90" s="22" t="s">
        <v>242</v>
      </c>
      <c r="K90" s="69" t="s">
        <v>884</v>
      </c>
      <c r="L90" s="22" t="str">
        <f>IF($G90&lt;&gt;"",VLOOKUP($G90,'WPS '!C$5:M$209,8,FALSE),"")</f>
        <v>E71T-1C</v>
      </c>
      <c r="M90" s="76" t="s">
        <v>1256</v>
      </c>
      <c r="N90" s="21">
        <v>45906</v>
      </c>
      <c r="O90" s="21">
        <v>45909</v>
      </c>
      <c r="P90" s="21">
        <f t="shared" si="3"/>
        <v>46274</v>
      </c>
      <c r="Q90" s="164" t="s">
        <v>1811</v>
      </c>
      <c r="R90" s="147" t="str">
        <f>IF($G90&lt;&gt;"",VLOOKUP($G90,'WPS '!$C$5:$M$209,2,FALSE),"")</f>
        <v>OSR-WPS-ISO-PF-077</v>
      </c>
      <c r="S90" s="30"/>
      <c r="T90" s="30"/>
      <c r="U90" s="30"/>
      <c r="V90" s="30"/>
      <c r="W90" s="30"/>
      <c r="X90" s="30"/>
      <c r="Y90" s="30"/>
      <c r="Z90" s="30" t="s">
        <v>356</v>
      </c>
      <c r="AA90" s="30"/>
      <c r="AB90" s="30"/>
      <c r="AC90" s="30"/>
      <c r="AD90" s="30"/>
      <c r="AE90" s="54"/>
      <c r="AF90" s="54"/>
      <c r="AG90" s="66">
        <v>2</v>
      </c>
      <c r="AH90" s="115"/>
    </row>
    <row r="91" spans="1:34" ht="45" customHeight="1">
      <c r="A91" s="293">
        <f t="shared" si="4"/>
        <v>84</v>
      </c>
      <c r="B91" s="28" t="s">
        <v>326</v>
      </c>
      <c r="C91" s="295" t="s">
        <v>1635</v>
      </c>
      <c r="D91" s="56">
        <f>IF(F91="","",SUBTOTAL(3,$F$6:F91))</f>
        <v>85</v>
      </c>
      <c r="E91" s="34" t="s">
        <v>9</v>
      </c>
      <c r="F91" s="107" t="s">
        <v>1701</v>
      </c>
      <c r="G91" s="39" t="s">
        <v>719</v>
      </c>
      <c r="H91" s="83" t="str">
        <f>IF($G91&lt;&gt;"",VLOOKUP($G91,'WPS '!C$5:M$209,3,FALSE),"")</f>
        <v>FCAW</v>
      </c>
      <c r="I91" s="22" t="s">
        <v>850</v>
      </c>
      <c r="J91" s="22" t="s">
        <v>1215</v>
      </c>
      <c r="K91" s="69" t="s">
        <v>964</v>
      </c>
      <c r="L91" s="22" t="str">
        <f>IF($G91&lt;&gt;"",VLOOKUP($G91,'WPS '!C$5:M$209,8,FALSE),"")</f>
        <v>E71T-1C</v>
      </c>
      <c r="M91" s="76" t="s">
        <v>304</v>
      </c>
      <c r="N91" s="21">
        <v>45586</v>
      </c>
      <c r="O91" s="21">
        <v>45590</v>
      </c>
      <c r="P91" s="21">
        <f t="shared" si="3"/>
        <v>46137</v>
      </c>
      <c r="Q91" s="164" t="str">
        <f>IF($G91&lt;&gt;"",VLOOKUP($G91,'WPS '!C$5:M$209,11,FALSE),"")</f>
        <v>ASME IX</v>
      </c>
      <c r="R91" s="147" t="str">
        <f>IF($G91&lt;&gt;"",VLOOKUP($G91,'WPS '!$C$5:$M$209,2,FALSE),"")</f>
        <v>OSR-WPS-ASME-FC-002</v>
      </c>
      <c r="S91" s="30" t="s">
        <v>356</v>
      </c>
      <c r="T91" s="30"/>
      <c r="U91" s="30"/>
      <c r="V91" s="30"/>
      <c r="W91" s="62"/>
      <c r="X91" s="30"/>
      <c r="Y91" s="32"/>
      <c r="Z91" s="32"/>
      <c r="AA91" s="32"/>
      <c r="AB91" s="62"/>
      <c r="AC91" s="62"/>
      <c r="AD91" s="62"/>
      <c r="AE91" s="146"/>
      <c r="AF91" s="146"/>
      <c r="AG91" s="67">
        <v>3</v>
      </c>
      <c r="AH91" s="18"/>
    </row>
    <row r="92" spans="1:34" ht="45" customHeight="1">
      <c r="A92" s="293">
        <f t="shared" si="4"/>
        <v>85</v>
      </c>
      <c r="B92" s="28" t="s">
        <v>326</v>
      </c>
      <c r="C92" s="296" t="s">
        <v>1635</v>
      </c>
      <c r="D92" s="56">
        <f>IF(F92="","",SUBTOTAL(3,$F$6:F92))</f>
        <v>86</v>
      </c>
      <c r="E92" s="34" t="s">
        <v>9</v>
      </c>
      <c r="F92" s="107" t="s">
        <v>1701</v>
      </c>
      <c r="G92" s="40" t="s">
        <v>732</v>
      </c>
      <c r="H92" s="83" t="str">
        <f>IF($G92&lt;&gt;"",VLOOKUP($G92,'WPS '!C$5:M$209,3,FALSE),"")</f>
        <v>FCAW</v>
      </c>
      <c r="I92" s="22" t="s">
        <v>1499</v>
      </c>
      <c r="J92" s="77" t="s">
        <v>1390</v>
      </c>
      <c r="K92" s="69" t="s">
        <v>1478</v>
      </c>
      <c r="L92" s="22" t="str">
        <f>IF($G92&lt;&gt;"",VLOOKUP($G92,'WPS '!C$5:M$209,8,FALSE),"")</f>
        <v>E71T-1C</v>
      </c>
      <c r="M92" s="76" t="s">
        <v>1058</v>
      </c>
      <c r="N92" s="21">
        <v>44212</v>
      </c>
      <c r="O92" s="21">
        <v>44400</v>
      </c>
      <c r="P92" s="21">
        <f t="shared" si="3"/>
        <v>46045</v>
      </c>
      <c r="Q92" s="164" t="str">
        <f>IF($G92&lt;&gt;"",VLOOKUP($G92,'WPS '!C$5:M$209,11,FALSE),"")</f>
        <v>AWS D1.1</v>
      </c>
      <c r="R92" s="147" t="str">
        <f>IF($G92&lt;&gt;"",VLOOKUP($G92,'WPS '!$C$5:$M$209,2,FALSE),"")</f>
        <v>OSR-WPS-D1.1-FC-003</v>
      </c>
      <c r="S92" s="30"/>
      <c r="T92" s="30" t="s">
        <v>356</v>
      </c>
      <c r="U92" s="30"/>
      <c r="V92" s="30" t="s">
        <v>356</v>
      </c>
      <c r="W92" s="30"/>
      <c r="X92" s="30"/>
      <c r="Y92" s="30"/>
      <c r="Z92" s="30"/>
      <c r="AA92" s="30"/>
      <c r="AB92" s="30"/>
      <c r="AC92" s="30"/>
      <c r="AD92" s="30"/>
      <c r="AE92" s="54"/>
      <c r="AF92" s="54" t="s">
        <v>356</v>
      </c>
      <c r="AG92" s="153">
        <v>9</v>
      </c>
    </row>
    <row r="93" spans="1:34" ht="45" customHeight="1">
      <c r="A93" s="293">
        <f t="shared" si="4"/>
        <v>86</v>
      </c>
      <c r="B93" s="28" t="s">
        <v>326</v>
      </c>
      <c r="C93" s="296" t="s">
        <v>1635</v>
      </c>
      <c r="D93" s="56">
        <f>IF(F93="","",SUBTOTAL(3,$F$6:F93))</f>
        <v>87</v>
      </c>
      <c r="E93" s="34" t="s">
        <v>9</v>
      </c>
      <c r="F93" s="107" t="s">
        <v>1701</v>
      </c>
      <c r="G93" s="40" t="s">
        <v>746</v>
      </c>
      <c r="H93" s="83" t="str">
        <f>IF($G93&lt;&gt;"",VLOOKUP($G93,'WPS '!C$5:M$209,3,FALSE),"")</f>
        <v>FCAW</v>
      </c>
      <c r="I93" s="22" t="s">
        <v>1398</v>
      </c>
      <c r="J93" s="77" t="s">
        <v>107</v>
      </c>
      <c r="K93" s="69" t="s">
        <v>1048</v>
      </c>
      <c r="L93" s="22" t="str">
        <f>IF($G93&lt;&gt;"",VLOOKUP($G93,'WPS '!C$5:M$209,8,FALSE),"")</f>
        <v>E71T-1C</v>
      </c>
      <c r="M93" s="76" t="s">
        <v>1047</v>
      </c>
      <c r="N93" s="21">
        <v>42955</v>
      </c>
      <c r="O93" s="21">
        <v>42961</v>
      </c>
      <c r="P93" s="21">
        <f t="shared" si="3"/>
        <v>46067</v>
      </c>
      <c r="Q93" s="164" t="str">
        <f>IF($G93&lt;&gt;"",VLOOKUP($G93,'WPS '!C$5:M$209,11,FALSE),"")</f>
        <v>AWS D1.1</v>
      </c>
      <c r="R93" s="147" t="str">
        <f>IF($G93&lt;&gt;"",VLOOKUP($G93,'WPS '!$C$5:$M$209,2,FALSE),"")</f>
        <v>OSR-WPS-D1.1-FC-018</v>
      </c>
      <c r="S93" s="30"/>
      <c r="T93" s="30"/>
      <c r="U93" s="30"/>
      <c r="V93" s="30"/>
      <c r="W93" s="30"/>
      <c r="X93" s="30"/>
      <c r="Y93" s="30"/>
      <c r="Z93" s="30"/>
      <c r="AA93" s="30"/>
      <c r="AB93" s="30"/>
      <c r="AC93" s="30"/>
      <c r="AD93" s="30"/>
      <c r="AE93" s="54"/>
      <c r="AF93" s="54"/>
      <c r="AG93" s="153">
        <v>17</v>
      </c>
    </row>
    <row r="94" spans="1:34" ht="45" customHeight="1">
      <c r="A94" s="293">
        <f t="shared" si="4"/>
        <v>87</v>
      </c>
      <c r="B94" s="28" t="s">
        <v>326</v>
      </c>
      <c r="C94" s="296" t="s">
        <v>1635</v>
      </c>
      <c r="D94" s="56">
        <f>IF(F94="","",SUBTOTAL(3,$F$6:F94))</f>
        <v>88</v>
      </c>
      <c r="E94" s="34" t="s">
        <v>9</v>
      </c>
      <c r="F94" s="107" t="s">
        <v>1701</v>
      </c>
      <c r="G94" s="40" t="s">
        <v>750</v>
      </c>
      <c r="H94" s="83" t="str">
        <f>IF($G94&lt;&gt;"",VLOOKUP($G94,'WPS '!C$5:M$209,3,FALSE),"")</f>
        <v>FCAW</v>
      </c>
      <c r="I94" s="22" t="s">
        <v>1492</v>
      </c>
      <c r="J94" s="77" t="s">
        <v>1215</v>
      </c>
      <c r="K94" s="69" t="s">
        <v>1480</v>
      </c>
      <c r="L94" s="22" t="str">
        <f>IF($G94&lt;&gt;"",VLOOKUP($G94,'WPS '!C$5:M$209,8,FALSE),"")</f>
        <v>E81T1-B2C</v>
      </c>
      <c r="M94" s="76" t="s">
        <v>1081</v>
      </c>
      <c r="N94" s="21">
        <v>44393</v>
      </c>
      <c r="O94" s="21">
        <v>44400</v>
      </c>
      <c r="P94" s="21">
        <f t="shared" si="3"/>
        <v>46045</v>
      </c>
      <c r="Q94" s="164" t="str">
        <f>IF($G94&lt;&gt;"",VLOOKUP($G94,'WPS '!C$5:M$209,11,FALSE),"")</f>
        <v>AWS D1.1</v>
      </c>
      <c r="R94" s="147" t="str">
        <f>IF($G94&lt;&gt;"",VLOOKUP($G94,'WPS '!$C$5:$M$209,2,FALSE),"")</f>
        <v>OSR-WPS-D1.1-FC-022</v>
      </c>
      <c r="S94" s="30"/>
      <c r="T94" s="30"/>
      <c r="U94" s="30"/>
      <c r="V94" s="30"/>
      <c r="W94" s="30"/>
      <c r="X94" s="30"/>
      <c r="Y94" s="30"/>
      <c r="Z94" s="30"/>
      <c r="AA94" s="30"/>
      <c r="AB94" s="30"/>
      <c r="AC94" s="30"/>
      <c r="AD94" s="30"/>
      <c r="AE94" s="54"/>
      <c r="AF94" s="54"/>
      <c r="AG94" s="153">
        <v>9</v>
      </c>
    </row>
    <row r="95" spans="1:34" ht="45" customHeight="1">
      <c r="A95" s="293">
        <f t="shared" si="4"/>
        <v>88</v>
      </c>
      <c r="B95" s="28" t="s">
        <v>326</v>
      </c>
      <c r="C95" s="296" t="s">
        <v>1635</v>
      </c>
      <c r="D95" s="56">
        <f>IF(F95="","",SUBTOTAL(3,$F$6:F95))</f>
        <v>89</v>
      </c>
      <c r="E95" s="34" t="s">
        <v>9</v>
      </c>
      <c r="F95" s="107" t="s">
        <v>1701</v>
      </c>
      <c r="G95" s="39" t="s">
        <v>774</v>
      </c>
      <c r="H95" s="83" t="str">
        <f>IF($G95&lt;&gt;"",VLOOKUP($G95,'WPS '!C$5:M$209,3,FALSE),"")</f>
        <v>FCAW</v>
      </c>
      <c r="I95" s="22" t="s">
        <v>1499</v>
      </c>
      <c r="J95" s="77" t="s">
        <v>1390</v>
      </c>
      <c r="K95" s="69" t="s">
        <v>1489</v>
      </c>
      <c r="L95" s="22" t="str">
        <f>IF($G95&lt;&gt;"",VLOOKUP($G95,'WPS '!C$5:M$209,8,FALSE),"")</f>
        <v>E71T-1C</v>
      </c>
      <c r="M95" s="76" t="s">
        <v>1100</v>
      </c>
      <c r="N95" s="21">
        <v>44393</v>
      </c>
      <c r="O95" s="21">
        <v>44400</v>
      </c>
      <c r="P95" s="21">
        <f t="shared" si="3"/>
        <v>46045</v>
      </c>
      <c r="Q95" s="164" t="str">
        <f>IF($G95&lt;&gt;"",VLOOKUP($G95,'WPS '!C$5:M$209,11,FALSE),"")</f>
        <v>AWS D1.1</v>
      </c>
      <c r="R95" s="147" t="str">
        <f>IF($G95&lt;&gt;"",VLOOKUP($G95,'WPS '!$C$5:$M$209,2,FALSE),"")</f>
        <v>OSR-WPS-D1.1-FC-046</v>
      </c>
      <c r="S95" s="30"/>
      <c r="T95" s="30"/>
      <c r="U95" s="30"/>
      <c r="V95" s="32"/>
      <c r="W95" s="32"/>
      <c r="X95" s="32"/>
      <c r="Y95" s="32"/>
      <c r="Z95" s="32"/>
      <c r="AA95" s="32"/>
      <c r="AB95" s="32"/>
      <c r="AC95" s="62"/>
      <c r="AD95" s="62"/>
      <c r="AE95" s="146"/>
      <c r="AF95" s="146"/>
      <c r="AG95" s="153">
        <v>9</v>
      </c>
    </row>
    <row r="96" spans="1:34" ht="45" customHeight="1">
      <c r="A96" s="293">
        <f t="shared" si="4"/>
        <v>89</v>
      </c>
      <c r="B96" s="28" t="s">
        <v>326</v>
      </c>
      <c r="C96" s="296" t="s">
        <v>1635</v>
      </c>
      <c r="D96" s="56">
        <f>IF(F96="","",SUBTOTAL(3,$F$6:F96))</f>
        <v>90</v>
      </c>
      <c r="E96" s="36" t="s">
        <v>9</v>
      </c>
      <c r="F96" s="106" t="s">
        <v>1701</v>
      </c>
      <c r="G96" s="40" t="s">
        <v>782</v>
      </c>
      <c r="H96" s="83" t="str">
        <f>IF($G96&lt;&gt;"",VLOOKUP($G96,'WPS '!C$5:M$209,3,FALSE),"")</f>
        <v>SMAW</v>
      </c>
      <c r="I96" s="22" t="s">
        <v>1492</v>
      </c>
      <c r="J96" s="77" t="s">
        <v>1215</v>
      </c>
      <c r="K96" s="69" t="s">
        <v>1480</v>
      </c>
      <c r="L96" s="22" t="str">
        <f>IF($G96&lt;&gt;"",VLOOKUP($G96,'WPS '!C$5:M$209,8,FALSE),"")</f>
        <v>E8016-B2</v>
      </c>
      <c r="M96" s="76" t="s">
        <v>1114</v>
      </c>
      <c r="N96" s="21">
        <v>44058</v>
      </c>
      <c r="O96" s="21">
        <v>44061</v>
      </c>
      <c r="P96" s="21">
        <f t="shared" si="3"/>
        <v>46071</v>
      </c>
      <c r="Q96" s="164" t="str">
        <f>IF($G96&lt;&gt;"",VLOOKUP($G96,'WPS '!C$5:M$209,11,FALSE),"")</f>
        <v>AWS D1.1</v>
      </c>
      <c r="R96" s="147" t="str">
        <f>IF($G96&lt;&gt;"",VLOOKUP($G96,'WPS '!$C$5:$M$209,2,FALSE),"")</f>
        <v>OSR-WPS-D1.1-SM-054</v>
      </c>
      <c r="S96" s="30"/>
      <c r="T96" s="30"/>
      <c r="U96" s="30"/>
      <c r="V96" s="30"/>
      <c r="W96" s="30"/>
      <c r="X96" s="30"/>
      <c r="Y96" s="30"/>
      <c r="Z96" s="30"/>
      <c r="AA96" s="30"/>
      <c r="AB96" s="30"/>
      <c r="AC96" s="30"/>
      <c r="AD96" s="30"/>
      <c r="AE96" s="54"/>
      <c r="AF96" s="54"/>
      <c r="AG96" s="153">
        <v>11</v>
      </c>
    </row>
    <row r="97" spans="1:34" ht="45" customHeight="1">
      <c r="A97" s="293">
        <f t="shared" si="4"/>
        <v>90</v>
      </c>
      <c r="B97" s="28" t="s">
        <v>326</v>
      </c>
      <c r="C97" s="296" t="s">
        <v>1635</v>
      </c>
      <c r="D97" s="56">
        <f>IF(F97="","",SUBTOTAL(3,$F$6:F97))</f>
        <v>91</v>
      </c>
      <c r="E97" s="36" t="s">
        <v>9</v>
      </c>
      <c r="F97" s="106" t="s">
        <v>1701</v>
      </c>
      <c r="G97" s="40" t="s">
        <v>787</v>
      </c>
      <c r="H97" s="83" t="str">
        <f>IF($G97&lt;&gt;"",VLOOKUP($G97,'WPS '!C$5:M$209,3,FALSE),"")</f>
        <v>FCAW</v>
      </c>
      <c r="I97" s="22" t="s">
        <v>1492</v>
      </c>
      <c r="J97" s="77" t="s">
        <v>1215</v>
      </c>
      <c r="K97" s="69" t="s">
        <v>1480</v>
      </c>
      <c r="L97" s="22" t="str">
        <f>IF($G97&lt;&gt;"",VLOOKUP($G97,'WPS '!C$5:M$209,8,FALSE),"")</f>
        <v>E71T-1C</v>
      </c>
      <c r="M97" s="76" t="s">
        <v>1021</v>
      </c>
      <c r="N97" s="21">
        <v>44911</v>
      </c>
      <c r="O97" s="21">
        <v>44921</v>
      </c>
      <c r="P97" s="21">
        <f t="shared" si="3"/>
        <v>46017</v>
      </c>
      <c r="Q97" s="164" t="str">
        <f>IF($G97&lt;&gt;"",VLOOKUP($G97,'WPS '!C$5:M$209,11,FALSE),"")</f>
        <v>AWS D1.1</v>
      </c>
      <c r="R97" s="147" t="str">
        <f>IF($G97&lt;&gt;"",VLOOKUP($G97,'WPS '!$C$5:$M$209,2,FALSE),"")</f>
        <v>OSR-WPS-D1.1-FC-059</v>
      </c>
      <c r="S97" s="30"/>
      <c r="T97" s="30"/>
      <c r="U97" s="30"/>
      <c r="V97" s="30"/>
      <c r="W97" s="30"/>
      <c r="X97" s="30"/>
      <c r="Y97" s="30"/>
      <c r="Z97" s="30"/>
      <c r="AA97" s="30"/>
      <c r="AB97" s="30"/>
      <c r="AC97" s="30"/>
      <c r="AD97" s="30"/>
      <c r="AE97" s="54"/>
      <c r="AF97" s="54"/>
      <c r="AG97" s="153">
        <v>6</v>
      </c>
    </row>
    <row r="98" spans="1:34" ht="45" customHeight="1">
      <c r="A98" s="293">
        <f t="shared" si="4"/>
        <v>91</v>
      </c>
      <c r="B98" s="28" t="s">
        <v>326</v>
      </c>
      <c r="C98" s="296" t="s">
        <v>1635</v>
      </c>
      <c r="D98" s="56">
        <f>IF(F98="","",SUBTOTAL(3,$F$6:F98))</f>
        <v>92</v>
      </c>
      <c r="E98" s="36" t="s">
        <v>9</v>
      </c>
      <c r="F98" s="106" t="s">
        <v>1701</v>
      </c>
      <c r="G98" s="40" t="s">
        <v>790</v>
      </c>
      <c r="H98" s="83" t="str">
        <f>IF($G98&lt;&gt;"",VLOOKUP($G98,'WPS '!C$5:M$209,3,FALSE),"")</f>
        <v>FCAW</v>
      </c>
      <c r="I98" s="22" t="s">
        <v>1506</v>
      </c>
      <c r="J98" s="77" t="s">
        <v>1407</v>
      </c>
      <c r="K98" s="69" t="s">
        <v>1415</v>
      </c>
      <c r="L98" s="22" t="str">
        <f>IF($G98&lt;&gt;"",VLOOKUP($G98,'WPS '!C$5:M$209,8,FALSE),"")</f>
        <v>E71T-1C</v>
      </c>
      <c r="M98" s="76" t="s">
        <v>1514</v>
      </c>
      <c r="N98" s="21">
        <v>44911</v>
      </c>
      <c r="O98" s="21">
        <v>44921</v>
      </c>
      <c r="P98" s="21">
        <f t="shared" si="3"/>
        <v>46017</v>
      </c>
      <c r="Q98" s="164" t="str">
        <f>IF($G98&lt;&gt;"",VLOOKUP($G98,'WPS '!C$5:M$209,11,FALSE),"")</f>
        <v>AWS D1.1</v>
      </c>
      <c r="R98" s="147" t="str">
        <f>IF($G98&lt;&gt;"",VLOOKUP($G98,'WPS '!$C$5:$M$209,2,FALSE),"")</f>
        <v>OSR-WPS-D1.1-FC-062</v>
      </c>
      <c r="S98" s="30"/>
      <c r="T98" s="30"/>
      <c r="U98" s="30"/>
      <c r="V98" s="30"/>
      <c r="W98" s="30"/>
      <c r="X98" s="30"/>
      <c r="Y98" s="30"/>
      <c r="Z98" s="30"/>
      <c r="AA98" s="30"/>
      <c r="AB98" s="30"/>
      <c r="AC98" s="30" t="s">
        <v>356</v>
      </c>
      <c r="AD98" s="30" t="s">
        <v>356</v>
      </c>
      <c r="AE98" s="54"/>
      <c r="AF98" s="54"/>
      <c r="AG98" s="153">
        <v>6</v>
      </c>
    </row>
    <row r="99" spans="1:34" ht="45" customHeight="1">
      <c r="A99" s="293">
        <f t="shared" si="4"/>
        <v>92</v>
      </c>
      <c r="B99" s="28" t="s">
        <v>326</v>
      </c>
      <c r="C99" s="296" t="s">
        <v>1635</v>
      </c>
      <c r="D99" s="56">
        <f>IF(F99="","",SUBTOTAL(3,$F$6:F99))</f>
        <v>93</v>
      </c>
      <c r="E99" s="36" t="s">
        <v>9</v>
      </c>
      <c r="F99" s="106" t="s">
        <v>1701</v>
      </c>
      <c r="G99" s="40" t="s">
        <v>800</v>
      </c>
      <c r="H99" s="83" t="str">
        <f>IF($G99&lt;&gt;"",VLOOKUP($G99,'WPS '!C$5:M$209,3,FALSE),"")</f>
        <v>FCAW</v>
      </c>
      <c r="I99" s="22" t="s">
        <v>1508</v>
      </c>
      <c r="J99" s="77" t="s">
        <v>107</v>
      </c>
      <c r="K99" s="69" t="s">
        <v>1481</v>
      </c>
      <c r="L99" s="22" t="str">
        <f>IF($G99&lt;&gt;"",VLOOKUP($G99,'WPS '!C$5:M$209,8,FALSE),"")</f>
        <v>E309LT1-1/4</v>
      </c>
      <c r="M99" s="76" t="s">
        <v>1041</v>
      </c>
      <c r="N99" s="21">
        <v>45265</v>
      </c>
      <c r="O99" s="21">
        <v>45267</v>
      </c>
      <c r="P99" s="21">
        <f t="shared" si="3"/>
        <v>46180</v>
      </c>
      <c r="Q99" s="164" t="str">
        <f>IF($G99&lt;&gt;"",VLOOKUP($G99,'WPS '!C$5:M$209,11,FALSE),"")</f>
        <v>AWS D1.1</v>
      </c>
      <c r="R99" s="147" t="str">
        <f>IF($G99&lt;&gt;"",VLOOKUP($G99,'WPS '!$C$5:$M$209,2,FALSE),"")</f>
        <v>OSR-WPS-D1.1-FC-072</v>
      </c>
      <c r="S99" s="30"/>
      <c r="T99" s="30"/>
      <c r="U99" s="30"/>
      <c r="V99" s="30"/>
      <c r="W99" s="30"/>
      <c r="X99" s="30"/>
      <c r="Y99" s="30"/>
      <c r="Z99" s="30"/>
      <c r="AA99" s="30"/>
      <c r="AB99" s="30"/>
      <c r="AC99" s="30" t="s">
        <v>95</v>
      </c>
      <c r="AD99" s="30"/>
      <c r="AE99" s="54"/>
      <c r="AF99" s="54"/>
      <c r="AG99" s="154">
        <v>5</v>
      </c>
    </row>
    <row r="100" spans="1:34" ht="45" customHeight="1">
      <c r="A100" s="293">
        <f t="shared" si="4"/>
        <v>93</v>
      </c>
      <c r="B100" s="28" t="s">
        <v>326</v>
      </c>
      <c r="C100" s="296" t="s">
        <v>1635</v>
      </c>
      <c r="D100" s="56">
        <f>IF(F100="","",SUBTOTAL(3,$F$6:F100))</f>
        <v>94</v>
      </c>
      <c r="E100" s="36" t="s">
        <v>9</v>
      </c>
      <c r="F100" s="106" t="s">
        <v>1701</v>
      </c>
      <c r="G100" s="40" t="s">
        <v>805</v>
      </c>
      <c r="H100" s="83" t="str">
        <f>IF($G100&lt;&gt;"",VLOOKUP($G100,'WPS '!C$5:M$209,3,FALSE),"")</f>
        <v>FCAW</v>
      </c>
      <c r="I100" s="22" t="s">
        <v>1493</v>
      </c>
      <c r="J100" s="77" t="s">
        <v>1390</v>
      </c>
      <c r="K100" s="69" t="s">
        <v>1478</v>
      </c>
      <c r="L100" s="22" t="str">
        <f>IF($G100&lt;&gt;"",VLOOKUP($G100,'WPS '!C$5:M$209,8,FALSE),"")</f>
        <v>E71T-1C</v>
      </c>
      <c r="M100" s="76" t="s">
        <v>1037</v>
      </c>
      <c r="N100" s="21">
        <v>45265</v>
      </c>
      <c r="O100" s="21">
        <v>45267</v>
      </c>
      <c r="P100" s="21">
        <f t="shared" si="3"/>
        <v>46180</v>
      </c>
      <c r="Q100" s="164" t="str">
        <f>IF($G100&lt;&gt;"",VLOOKUP($G100,'WPS '!C$5:M$209,11,FALSE),"")</f>
        <v>AWS D1.1</v>
      </c>
      <c r="R100" s="147" t="str">
        <f>IF($G100&lt;&gt;"",VLOOKUP($G100,'WPS '!$C$5:$M$209,2,FALSE),"")</f>
        <v>OSR-WPS-D1.1-FC-077</v>
      </c>
      <c r="S100" s="30"/>
      <c r="T100" s="30"/>
      <c r="U100" s="30"/>
      <c r="V100" s="30"/>
      <c r="W100" s="30"/>
      <c r="X100" s="30"/>
      <c r="Y100" s="30"/>
      <c r="Z100" s="30"/>
      <c r="AA100" s="30"/>
      <c r="AB100" s="30"/>
      <c r="AC100" s="30"/>
      <c r="AD100" s="30"/>
      <c r="AE100" s="54"/>
      <c r="AF100" s="54"/>
      <c r="AG100" s="153">
        <v>5</v>
      </c>
    </row>
    <row r="101" spans="1:34" s="2" customFormat="1" ht="45" customHeight="1">
      <c r="A101" s="293">
        <f t="shared" si="4"/>
        <v>94</v>
      </c>
      <c r="B101" s="28" t="s">
        <v>326</v>
      </c>
      <c r="C101" s="296" t="s">
        <v>1635</v>
      </c>
      <c r="D101" s="56">
        <f>IF(F101="","",SUBTOTAL(3,$F$6:F101))</f>
        <v>95</v>
      </c>
      <c r="E101" s="36" t="s">
        <v>9</v>
      </c>
      <c r="F101" s="106" t="s">
        <v>1701</v>
      </c>
      <c r="G101" s="40" t="s">
        <v>812</v>
      </c>
      <c r="H101" s="83" t="str">
        <f>IF($G101&lt;&gt;"",VLOOKUP($G101,'WPS '!C$5:M$209,3,FALSE),"")</f>
        <v>FCAW</v>
      </c>
      <c r="I101" s="22" t="s">
        <v>1384</v>
      </c>
      <c r="J101" s="77" t="s">
        <v>1390</v>
      </c>
      <c r="K101" s="69" t="s">
        <v>1490</v>
      </c>
      <c r="L101" s="22" t="str">
        <f>IF($G101&lt;&gt;"",VLOOKUP($G101,'WPS '!C$5:M$209,8,FALSE),"")</f>
        <v>E71T-1C</v>
      </c>
      <c r="M101" s="76" t="s">
        <v>1004</v>
      </c>
      <c r="N101" s="21">
        <v>45551</v>
      </c>
      <c r="O101" s="21">
        <v>45553</v>
      </c>
      <c r="P101" s="21">
        <f t="shared" si="3"/>
        <v>46099</v>
      </c>
      <c r="Q101" s="164" t="str">
        <f>IF($G101&lt;&gt;"",VLOOKUP($G101,'WPS '!C$5:M$209,11,FALSE),"")</f>
        <v>AWS D1.1</v>
      </c>
      <c r="R101" s="147" t="str">
        <f>IF($G101&lt;&gt;"",VLOOKUP($G101,'WPS '!$C$5:$M$209,2,FALSE),"")</f>
        <v>OSR-WPS-D1.1-FC-084</v>
      </c>
      <c r="S101" s="30"/>
      <c r="T101" s="30"/>
      <c r="U101" s="30" t="s">
        <v>356</v>
      </c>
      <c r="V101" s="30" t="s">
        <v>356</v>
      </c>
      <c r="W101" s="30"/>
      <c r="X101" s="30"/>
      <c r="Y101" s="30"/>
      <c r="Z101" s="30"/>
      <c r="AA101" s="30"/>
      <c r="AB101" s="30"/>
      <c r="AC101" s="30" t="s">
        <v>356</v>
      </c>
      <c r="AD101" s="30" t="s">
        <v>356</v>
      </c>
      <c r="AE101" s="54"/>
      <c r="AF101" s="54" t="s">
        <v>356</v>
      </c>
      <c r="AG101" s="153">
        <v>3</v>
      </c>
    </row>
    <row r="102" spans="1:34" s="2" customFormat="1" ht="45" customHeight="1">
      <c r="A102" s="293">
        <f t="shared" si="4"/>
        <v>95</v>
      </c>
      <c r="B102" s="28" t="s">
        <v>326</v>
      </c>
      <c r="C102" s="296" t="s">
        <v>1635</v>
      </c>
      <c r="D102" s="56">
        <f>IF(F102="","",SUBTOTAL(3,$F$6:F102))</f>
        <v>96</v>
      </c>
      <c r="E102" s="36" t="s">
        <v>9</v>
      </c>
      <c r="F102" s="106" t="s">
        <v>1701</v>
      </c>
      <c r="G102" s="40" t="s">
        <v>814</v>
      </c>
      <c r="H102" s="83" t="str">
        <f>IF($G102&lt;&gt;"",VLOOKUP($G102,'WPS '!C$5:M$209,3,FALSE),"")</f>
        <v>FCAW</v>
      </c>
      <c r="I102" s="22" t="s">
        <v>1385</v>
      </c>
      <c r="J102" s="77" t="s">
        <v>1215</v>
      </c>
      <c r="K102" s="69" t="s">
        <v>1487</v>
      </c>
      <c r="L102" s="22" t="str">
        <f>IF($G102&lt;&gt;"",VLOOKUP($G102,'WPS '!C$5:M$209,8,FALSE),"")</f>
        <v>E71T-1C</v>
      </c>
      <c r="M102" s="76" t="s">
        <v>1006</v>
      </c>
      <c r="N102" s="21">
        <v>45547</v>
      </c>
      <c r="O102" s="21">
        <v>45552</v>
      </c>
      <c r="P102" s="21">
        <f t="shared" si="3"/>
        <v>46098</v>
      </c>
      <c r="Q102" s="164" t="str">
        <f>IF($G102&lt;&gt;"",VLOOKUP($G102,'WPS '!C$5:M$209,11,FALSE),"")</f>
        <v>AWS D1.1</v>
      </c>
      <c r="R102" s="147" t="str">
        <f>IF($G102&lt;&gt;"",VLOOKUP($G102,'WPS '!$C$5:$M$209,2,FALSE),"")</f>
        <v>OSR-WPS-D1.1-FC-086</v>
      </c>
      <c r="S102" s="30"/>
      <c r="T102" s="30"/>
      <c r="U102" s="30"/>
      <c r="V102" s="30"/>
      <c r="W102" s="30"/>
      <c r="X102" s="30"/>
      <c r="Y102" s="30"/>
      <c r="Z102" s="30"/>
      <c r="AA102" s="30"/>
      <c r="AB102" s="30"/>
      <c r="AC102" s="30" t="s">
        <v>356</v>
      </c>
      <c r="AD102" s="30" t="s">
        <v>356</v>
      </c>
      <c r="AE102" s="54"/>
      <c r="AF102" s="54"/>
      <c r="AG102" s="153">
        <v>3</v>
      </c>
    </row>
    <row r="103" spans="1:34" s="2" customFormat="1" ht="45" customHeight="1">
      <c r="A103" s="293">
        <f t="shared" si="4"/>
        <v>96</v>
      </c>
      <c r="B103" s="28" t="s">
        <v>326</v>
      </c>
      <c r="C103" s="296" t="s">
        <v>1635</v>
      </c>
      <c r="D103" s="56">
        <f>IF(F103="","",SUBTOTAL(3,$F$6:F103))</f>
        <v>97</v>
      </c>
      <c r="E103" s="36" t="s">
        <v>9</v>
      </c>
      <c r="F103" s="106" t="s">
        <v>1701</v>
      </c>
      <c r="G103" s="40" t="s">
        <v>820</v>
      </c>
      <c r="H103" s="83" t="str">
        <f>IF($G103&lt;&gt;"",VLOOKUP($G103,'WPS '!C$5:M$209,3,FALSE),"")</f>
        <v>FCAW</v>
      </c>
      <c r="I103" s="22" t="s">
        <v>1383</v>
      </c>
      <c r="J103" s="77" t="s">
        <v>1390</v>
      </c>
      <c r="K103" s="69" t="s">
        <v>1480</v>
      </c>
      <c r="L103" s="22" t="str">
        <f>IF($G103&lt;&gt;"",VLOOKUP($G103,'WPS '!C$5:M$209,8,FALSE),"")</f>
        <v>E71T-1C</v>
      </c>
      <c r="M103" s="76" t="s">
        <v>1395</v>
      </c>
      <c r="N103" s="21">
        <v>45677</v>
      </c>
      <c r="O103" s="21">
        <v>45682</v>
      </c>
      <c r="P103" s="21">
        <f t="shared" si="3"/>
        <v>46047</v>
      </c>
      <c r="Q103" s="164" t="str">
        <f>IF($G103&lt;&gt;"",VLOOKUP($G103,'WPS '!C$5:M$209,11,FALSE),"")</f>
        <v>AWS D1.1</v>
      </c>
      <c r="R103" s="147" t="str">
        <f>IF($G103&lt;&gt;"",VLOOKUP($G103,'WPS '!$C$5:$M$209,2,FALSE),"")</f>
        <v>OSR-WPS-D1.1-FC-092</v>
      </c>
      <c r="S103" s="30"/>
      <c r="T103" s="30"/>
      <c r="U103" s="30"/>
      <c r="V103" s="30"/>
      <c r="W103" s="30"/>
      <c r="X103" s="30"/>
      <c r="Y103" s="30"/>
      <c r="Z103" s="30"/>
      <c r="AA103" s="30"/>
      <c r="AB103" s="30"/>
      <c r="AC103" s="30" t="s">
        <v>356</v>
      </c>
      <c r="AD103" s="30" t="s">
        <v>356</v>
      </c>
      <c r="AE103" s="54"/>
      <c r="AF103" s="54" t="s">
        <v>356</v>
      </c>
      <c r="AG103" s="153">
        <v>2</v>
      </c>
    </row>
    <row r="104" spans="1:34" s="2" customFormat="1" ht="45" customHeight="1">
      <c r="A104" s="293">
        <f t="shared" si="4"/>
        <v>97</v>
      </c>
      <c r="B104" s="28" t="s">
        <v>326</v>
      </c>
      <c r="C104" s="296" t="s">
        <v>1635</v>
      </c>
      <c r="D104" s="56">
        <f>IF(F104="","",SUBTOTAL(3,$F$6:F104))</f>
        <v>98</v>
      </c>
      <c r="E104" s="36" t="s">
        <v>9</v>
      </c>
      <c r="F104" s="106" t="s">
        <v>1701</v>
      </c>
      <c r="G104" s="40" t="s">
        <v>1168</v>
      </c>
      <c r="H104" s="83" t="str">
        <f>IF($G104&lt;&gt;"",VLOOKUP($G104,'WPS '!C$5:M$209,3,FALSE),"")</f>
        <v>FCAW</v>
      </c>
      <c r="I104" s="22" t="s">
        <v>1398</v>
      </c>
      <c r="J104" s="77" t="s">
        <v>1215</v>
      </c>
      <c r="K104" s="69" t="s">
        <v>1292</v>
      </c>
      <c r="L104" s="22" t="str">
        <f>IF($G104&lt;&gt;"",VLOOKUP($G104,'WPS '!C$5:M$209,8,FALSE),"")</f>
        <v>E71T-1C</v>
      </c>
      <c r="M104" s="76" t="s">
        <v>1205</v>
      </c>
      <c r="N104" s="21">
        <v>45894</v>
      </c>
      <c r="O104" s="21">
        <v>45906</v>
      </c>
      <c r="P104" s="21">
        <f t="shared" si="3"/>
        <v>46271</v>
      </c>
      <c r="Q104" s="164" t="str">
        <f>IF($G104&lt;&gt;"",VLOOKUP($G104,'WPS '!C$5:M$209,11,FALSE),"")</f>
        <v>AWS D1.1</v>
      </c>
      <c r="R104" s="147" t="str">
        <f>IF($G104&lt;&gt;"",VLOOKUP($G104,'WPS '!$C$5:$M$209,2,FALSE),"")</f>
        <v>OSR-WPS-D1.1-FC-098</v>
      </c>
      <c r="S104" s="30"/>
      <c r="T104" s="30"/>
      <c r="U104" s="30"/>
      <c r="V104" s="30"/>
      <c r="W104" s="30"/>
      <c r="X104" s="30"/>
      <c r="Y104" s="30"/>
      <c r="Z104" s="30"/>
      <c r="AA104" s="30"/>
      <c r="AB104" s="30"/>
      <c r="AC104" s="30" t="s">
        <v>356</v>
      </c>
      <c r="AD104" s="30" t="s">
        <v>356</v>
      </c>
      <c r="AE104" s="54"/>
      <c r="AF104" s="54" t="s">
        <v>356</v>
      </c>
      <c r="AG104" s="153">
        <v>2</v>
      </c>
    </row>
    <row r="105" spans="1:34" s="2" customFormat="1" ht="45" customHeight="1">
      <c r="A105" s="293">
        <f t="shared" si="4"/>
        <v>98</v>
      </c>
      <c r="B105" s="5" t="s">
        <v>246</v>
      </c>
      <c r="C105" s="5" t="s">
        <v>328</v>
      </c>
      <c r="D105" s="56">
        <f>IF(F105="","",SUBTOTAL(3,$F$6:F105))</f>
        <v>99</v>
      </c>
      <c r="E105" s="35" t="s">
        <v>1527</v>
      </c>
      <c r="F105" s="106" t="s">
        <v>1770</v>
      </c>
      <c r="G105" s="40" t="s">
        <v>718</v>
      </c>
      <c r="H105" s="83" t="str">
        <f>IF($G105&lt;&gt;"",VLOOKUP($G105,'WPS '!C$5:M$209,3,FALSE),"")</f>
        <v>FCAW</v>
      </c>
      <c r="I105" s="22" t="s">
        <v>849</v>
      </c>
      <c r="J105" s="22" t="s">
        <v>1390</v>
      </c>
      <c r="K105" s="69" t="s">
        <v>105</v>
      </c>
      <c r="L105" s="22" t="str">
        <f>IF($G105&lt;&gt;"",VLOOKUP($G105,'WPS '!C$5:M$209,8,FALSE),"")</f>
        <v>E71T-1C</v>
      </c>
      <c r="M105" s="76" t="s">
        <v>1529</v>
      </c>
      <c r="N105" s="21">
        <v>45923</v>
      </c>
      <c r="O105" s="21">
        <v>45925</v>
      </c>
      <c r="P105" s="21">
        <f t="shared" si="3"/>
        <v>46290</v>
      </c>
      <c r="Q105" s="164" t="str">
        <f>IF($G105&lt;&gt;"",VLOOKUP($G105,'WPS '!C$5:M$209,11,FALSE),"")</f>
        <v>ASME IX</v>
      </c>
      <c r="R105" s="147" t="str">
        <f>IF($G105&lt;&gt;"",VLOOKUP($G105,'WPS '!$C$5:$M$209,2,FALSE),"")</f>
        <v>OSR-WPS-ASME-FC-001</v>
      </c>
      <c r="S105" s="30" t="s">
        <v>356</v>
      </c>
      <c r="T105" s="30"/>
      <c r="U105" s="30"/>
      <c r="V105" s="30"/>
      <c r="W105" s="30"/>
      <c r="X105" s="30"/>
      <c r="Y105" s="30"/>
      <c r="Z105" s="30"/>
      <c r="AA105" s="30"/>
      <c r="AB105" s="30"/>
      <c r="AC105" s="30"/>
      <c r="AD105" s="30"/>
      <c r="AE105" s="54"/>
      <c r="AF105" s="54"/>
      <c r="AG105" s="66">
        <v>2</v>
      </c>
      <c r="AH105" s="115"/>
    </row>
    <row r="106" spans="1:34" s="2" customFormat="1" ht="45" customHeight="1">
      <c r="A106" s="293">
        <f t="shared" si="4"/>
        <v>99</v>
      </c>
      <c r="B106" s="5" t="s">
        <v>1632</v>
      </c>
      <c r="C106" s="296" t="s">
        <v>1635</v>
      </c>
      <c r="D106" s="56">
        <f>IF(F106="","",SUBTOTAL(3,$F$6:F106))</f>
        <v>100</v>
      </c>
      <c r="E106" s="34" t="s">
        <v>829</v>
      </c>
      <c r="F106" s="107" t="s">
        <v>1727</v>
      </c>
      <c r="G106" s="40" t="s">
        <v>1369</v>
      </c>
      <c r="H106" s="83" t="str">
        <f>IF($G106&lt;&gt;"",VLOOKUP($G106,'WPS '!C$5:M$209,3,FALSE),"")</f>
        <v>FCAW</v>
      </c>
      <c r="I106" s="22" t="s">
        <v>1403</v>
      </c>
      <c r="J106" s="77" t="s">
        <v>1407</v>
      </c>
      <c r="K106" s="69" t="s">
        <v>1408</v>
      </c>
      <c r="L106" s="22" t="str">
        <f>IF($G106&lt;&gt;"",VLOOKUP($G106,'WPS '!C$5:M$209,8,FALSE),"")</f>
        <v>E71T-1C</v>
      </c>
      <c r="M106" s="76" t="s">
        <v>1417</v>
      </c>
      <c r="N106" s="21">
        <v>45895</v>
      </c>
      <c r="O106" s="21">
        <v>45906</v>
      </c>
      <c r="P106" s="21">
        <f t="shared" si="3"/>
        <v>46271</v>
      </c>
      <c r="Q106" s="164" t="str">
        <f>IF($G106&lt;&gt;"",VLOOKUP($G106,'WPS '!C$5:M$209,11,FALSE),"")</f>
        <v>AWS D1.1</v>
      </c>
      <c r="R106" s="147" t="str">
        <f>IF($G106&lt;&gt;"",VLOOKUP($G106,'WPS '!$C$5:$M$209,2,FALSE),"")</f>
        <v>OSR-WPS-D1.1-FC-103</v>
      </c>
      <c r="S106" s="30"/>
      <c r="T106" s="30"/>
      <c r="U106" s="30"/>
      <c r="V106" s="30"/>
      <c r="W106" s="30"/>
      <c r="X106" s="30"/>
      <c r="Y106" s="30"/>
      <c r="Z106" s="30"/>
      <c r="AA106" s="30"/>
      <c r="AB106" s="30"/>
      <c r="AC106" s="30" t="s">
        <v>356</v>
      </c>
      <c r="AD106" s="30" t="s">
        <v>356</v>
      </c>
      <c r="AE106" s="54"/>
      <c r="AF106" s="54"/>
      <c r="AG106" s="153">
        <v>2</v>
      </c>
    </row>
    <row r="107" spans="1:34" ht="45" customHeight="1">
      <c r="A107" s="293">
        <f t="shared" si="4"/>
        <v>100</v>
      </c>
      <c r="B107" s="5" t="s">
        <v>1632</v>
      </c>
      <c r="C107" s="296" t="s">
        <v>1635</v>
      </c>
      <c r="D107" s="56">
        <f>IF(F107="","",SUBTOTAL(3,$F$6:F107))</f>
        <v>101</v>
      </c>
      <c r="E107" s="34" t="s">
        <v>829</v>
      </c>
      <c r="F107" s="107" t="s">
        <v>1727</v>
      </c>
      <c r="G107" s="40" t="s">
        <v>1225</v>
      </c>
      <c r="H107" s="83" t="str">
        <f>IF($G107&lt;&gt;"",VLOOKUP($G107,'WPS '!C$5:M$209,3,FALSE),"")</f>
        <v>FCAW</v>
      </c>
      <c r="I107" s="22" t="s">
        <v>1206</v>
      </c>
      <c r="J107" s="77" t="s">
        <v>1214</v>
      </c>
      <c r="K107" s="69" t="s">
        <v>1290</v>
      </c>
      <c r="L107" s="22" t="str">
        <f>IF($G107&lt;&gt;"",VLOOKUP($G107,'WPS '!C$5:M$209,8,FALSE),"")</f>
        <v>E71T-1C</v>
      </c>
      <c r="M107" s="76" t="s">
        <v>1295</v>
      </c>
      <c r="N107" s="21">
        <v>45900</v>
      </c>
      <c r="O107" s="21">
        <v>45906</v>
      </c>
      <c r="P107" s="21">
        <f t="shared" si="3"/>
        <v>46271</v>
      </c>
      <c r="Q107" s="164" t="str">
        <f>IF($G107&lt;&gt;"",VLOOKUP($G107,'WPS '!C$5:M$209,11,FALSE),"")</f>
        <v>AWS D1.1</v>
      </c>
      <c r="R107" s="147" t="str">
        <f>IF($G107&lt;&gt;"",VLOOKUP($G107,'WPS '!$C$5:$M$209,2,FALSE),"")</f>
        <v>OSR-WPS-D1.1-FC-107</v>
      </c>
      <c r="S107" s="30"/>
      <c r="T107" s="30"/>
      <c r="U107" s="30"/>
      <c r="V107" s="30"/>
      <c r="W107" s="30"/>
      <c r="X107" s="30"/>
      <c r="Y107" s="30"/>
      <c r="Z107" s="30"/>
      <c r="AA107" s="30"/>
      <c r="AB107" s="30"/>
      <c r="AC107" s="30" t="s">
        <v>356</v>
      </c>
      <c r="AD107" s="30" t="s">
        <v>356</v>
      </c>
      <c r="AE107" s="54"/>
      <c r="AF107" s="54"/>
      <c r="AG107" s="153">
        <v>2</v>
      </c>
    </row>
    <row r="108" spans="1:34" ht="45" customHeight="1">
      <c r="A108" s="293">
        <f t="shared" si="4"/>
        <v>101</v>
      </c>
      <c r="B108" s="159" t="s">
        <v>1795</v>
      </c>
      <c r="C108" s="295" t="s">
        <v>1635</v>
      </c>
      <c r="D108" s="56">
        <f>IF(F108="","",SUBTOTAL(3,$F$6:F108))</f>
        <v>102</v>
      </c>
      <c r="E108" s="158" t="s">
        <v>1789</v>
      </c>
      <c r="F108" s="157" t="s">
        <v>1788</v>
      </c>
      <c r="G108" s="105" t="s">
        <v>1684</v>
      </c>
      <c r="H108" s="98" t="str">
        <f>IF($G108&lt;&gt;"",VLOOKUP($G108,'WPS '!C$5:M$209,3,FALSE),"")</f>
        <v>GMAW</v>
      </c>
      <c r="I108" s="101" t="s">
        <v>854</v>
      </c>
      <c r="J108" s="101" t="s">
        <v>1215</v>
      </c>
      <c r="K108" s="102" t="s">
        <v>1790</v>
      </c>
      <c r="L108" s="101" t="str">
        <f>IF($G108&lt;&gt;"",VLOOKUP($G108,'WPS '!C$5:M$209,8,FALSE),"")</f>
        <v>ER70S-6</v>
      </c>
      <c r="M108" s="103" t="s">
        <v>1791</v>
      </c>
      <c r="N108" s="104">
        <v>45956</v>
      </c>
      <c r="O108" s="104">
        <v>45957</v>
      </c>
      <c r="P108" s="104">
        <f t="shared" si="3"/>
        <v>46139</v>
      </c>
      <c r="Q108" s="165" t="str">
        <f>IF($G108&lt;&gt;"",VLOOKUP($G108,'WPS '!C$5:M$209,11,FALSE),"")</f>
        <v>ASME IX</v>
      </c>
      <c r="R108" s="147" t="str">
        <f>IF($G108&lt;&gt;"",VLOOKUP($G108,'WPS '!$C$5:$M$209,2,FALSE),"")</f>
        <v>OSR-WPS-ASME-GM-018</v>
      </c>
      <c r="S108" s="30" t="s">
        <v>356</v>
      </c>
      <c r="T108" s="30"/>
      <c r="U108" s="30"/>
      <c r="V108" s="30"/>
      <c r="W108" s="62"/>
      <c r="X108" s="30"/>
      <c r="Y108" s="31"/>
      <c r="Z108" s="31"/>
      <c r="AA108" s="31"/>
      <c r="AB108" s="62"/>
      <c r="AC108" s="62"/>
      <c r="AD108" s="62"/>
      <c r="AE108" s="146"/>
      <c r="AF108" s="146"/>
      <c r="AG108" s="67">
        <v>1</v>
      </c>
      <c r="AH108" s="18"/>
    </row>
    <row r="109" spans="1:34" ht="45" customHeight="1">
      <c r="A109" s="293">
        <f t="shared" si="4"/>
        <v>102</v>
      </c>
      <c r="B109" s="159" t="s">
        <v>1795</v>
      </c>
      <c r="C109" s="295" t="s">
        <v>1635</v>
      </c>
      <c r="D109" s="56">
        <f>IF(F109="","",SUBTOTAL(3,$F$6:F272))</f>
        <v>266</v>
      </c>
      <c r="E109" s="158" t="s">
        <v>1789</v>
      </c>
      <c r="F109" s="157" t="s">
        <v>1788</v>
      </c>
      <c r="G109" s="105" t="s">
        <v>1650</v>
      </c>
      <c r="H109" s="98" t="str">
        <f>IF($G109&lt;&gt;"",VLOOKUP($G109,'WPS '!C$5:M$209,3,FALSE),"")</f>
        <v>GMAW
FCAW</v>
      </c>
      <c r="I109" s="101" t="s">
        <v>854</v>
      </c>
      <c r="J109" s="101" t="s">
        <v>1472</v>
      </c>
      <c r="K109" s="102" t="s">
        <v>1790</v>
      </c>
      <c r="L109" s="101" t="str">
        <f>IF($G109&lt;&gt;"",VLOOKUP($G109,'WPS '!C$5:M$209,8,FALSE),"")</f>
        <v>ER70S-6
E71T-1C</v>
      </c>
      <c r="M109" s="103" t="s">
        <v>1836</v>
      </c>
      <c r="N109" s="104">
        <v>45961</v>
      </c>
      <c r="O109" s="104">
        <v>45967</v>
      </c>
      <c r="P109" s="104">
        <f t="shared" si="3"/>
        <v>46148</v>
      </c>
      <c r="Q109" s="165" t="str">
        <f>IF($G109&lt;&gt;"",VLOOKUP($G109,'WPS '!C$5:M$209,11,FALSE),"")</f>
        <v>ASME IX</v>
      </c>
      <c r="R109" s="147" t="str">
        <f>IF($G109&lt;&gt;"",VLOOKUP($G109,'WPS '!$C$5:$M$209,2,FALSE),"")</f>
        <v>OSR-WPS-ASME-GM/FC-023</v>
      </c>
      <c r="S109" s="30" t="s">
        <v>356</v>
      </c>
      <c r="T109" s="30"/>
      <c r="U109" s="30"/>
      <c r="V109" s="30"/>
      <c r="W109" s="62"/>
      <c r="X109" s="30"/>
      <c r="Y109" s="31"/>
      <c r="Z109" s="31"/>
      <c r="AA109" s="31"/>
      <c r="AB109" s="62"/>
      <c r="AC109" s="62"/>
      <c r="AD109" s="62"/>
      <c r="AE109" s="146"/>
      <c r="AF109" s="146"/>
      <c r="AG109" s="67">
        <v>1</v>
      </c>
      <c r="AH109" s="18"/>
    </row>
    <row r="110" spans="1:34" ht="45" customHeight="1">
      <c r="A110" s="293">
        <f t="shared" si="4"/>
        <v>103</v>
      </c>
      <c r="B110" s="28" t="s">
        <v>1648</v>
      </c>
      <c r="C110" s="295" t="s">
        <v>1635</v>
      </c>
      <c r="D110" s="56">
        <f>IF(F110="","",SUBTOTAL(3,$F$6:F110))</f>
        <v>104</v>
      </c>
      <c r="E110" s="34" t="s">
        <v>1631</v>
      </c>
      <c r="F110" s="108" t="s">
        <v>1694</v>
      </c>
      <c r="G110" s="40" t="s">
        <v>1168</v>
      </c>
      <c r="H110" s="83" t="str">
        <f>IF($G110&lt;&gt;"",VLOOKUP($G110,'WPS '!C$5:M$209,3,FALSE),"")</f>
        <v>FCAW</v>
      </c>
      <c r="I110" s="22" t="s">
        <v>1206</v>
      </c>
      <c r="J110" s="77" t="s">
        <v>1214</v>
      </c>
      <c r="K110" s="69" t="s">
        <v>1290</v>
      </c>
      <c r="L110" s="22" t="str">
        <f>IF($G110&lt;&gt;"",VLOOKUP($G110,'WPS '!C$5:M$209,8,FALSE),"")</f>
        <v>E71T-1C</v>
      </c>
      <c r="M110" s="76" t="s">
        <v>1204</v>
      </c>
      <c r="N110" s="21">
        <v>45900</v>
      </c>
      <c r="O110" s="21">
        <v>45906</v>
      </c>
      <c r="P110" s="21">
        <f t="shared" si="3"/>
        <v>46271</v>
      </c>
      <c r="Q110" s="164" t="str">
        <f>IF($G110&lt;&gt;"",VLOOKUP($G110,'WPS '!C$5:M$209,11,FALSE),"")</f>
        <v>AWS D1.1</v>
      </c>
      <c r="R110" s="147" t="str">
        <f>IF($G110&lt;&gt;"",VLOOKUP($G110,'WPS '!$C$5:$M$209,2,FALSE),"")</f>
        <v>OSR-WPS-D1.1-FC-098</v>
      </c>
      <c r="S110" s="30"/>
      <c r="T110" s="30"/>
      <c r="U110" s="30"/>
      <c r="V110" s="30"/>
      <c r="W110" s="30"/>
      <c r="X110" s="30"/>
      <c r="Y110" s="30"/>
      <c r="Z110" s="30"/>
      <c r="AA110" s="30"/>
      <c r="AB110" s="30"/>
      <c r="AC110" s="30" t="s">
        <v>95</v>
      </c>
      <c r="AD110" s="30" t="s">
        <v>356</v>
      </c>
      <c r="AE110" s="54"/>
      <c r="AF110" s="54"/>
      <c r="AG110" s="153">
        <v>2</v>
      </c>
    </row>
    <row r="111" spans="1:34" ht="45" customHeight="1">
      <c r="A111" s="293">
        <f t="shared" si="4"/>
        <v>104</v>
      </c>
      <c r="B111" s="28" t="s">
        <v>326</v>
      </c>
      <c r="C111" s="295" t="s">
        <v>1635</v>
      </c>
      <c r="D111" s="56">
        <f>IF(F111="","",SUBTOTAL(3,$F$6:F111))</f>
        <v>105</v>
      </c>
      <c r="E111" s="36" t="s">
        <v>977</v>
      </c>
      <c r="F111" s="106" t="s">
        <v>1738</v>
      </c>
      <c r="G111" s="39" t="s">
        <v>1237</v>
      </c>
      <c r="H111" s="83">
        <f>IF($G111&lt;&gt;"",VLOOKUP($G111,'WPS '!C$5:M$209,3,FALSE),"")</f>
        <v>136</v>
      </c>
      <c r="I111" s="22" t="s">
        <v>1251</v>
      </c>
      <c r="J111" s="22" t="s">
        <v>931</v>
      </c>
      <c r="K111" s="69" t="s">
        <v>884</v>
      </c>
      <c r="L111" s="22" t="str">
        <f>IF($G111&lt;&gt;"",VLOOKUP($G111,'WPS '!C$5:M$209,8,FALSE),"")</f>
        <v>E71T-1C</v>
      </c>
      <c r="M111" s="76" t="s">
        <v>1261</v>
      </c>
      <c r="N111" s="21">
        <v>45906</v>
      </c>
      <c r="O111" s="21">
        <v>45909</v>
      </c>
      <c r="P111" s="21">
        <f t="shared" si="3"/>
        <v>46274</v>
      </c>
      <c r="Q111" s="164" t="s">
        <v>1811</v>
      </c>
      <c r="R111" s="147" t="str">
        <f>IF($G111&lt;&gt;"",VLOOKUP($G111,'WPS '!$C$5:$M$209,2,FALSE),"")</f>
        <v>OSR-WPS-ISO-PF-077</v>
      </c>
      <c r="S111" s="30"/>
      <c r="T111" s="30"/>
      <c r="U111" s="30"/>
      <c r="V111" s="30"/>
      <c r="W111" s="62"/>
      <c r="X111" s="30"/>
      <c r="Y111" s="31"/>
      <c r="Z111" s="53" t="s">
        <v>95</v>
      </c>
      <c r="AA111" s="53"/>
      <c r="AB111" s="62"/>
      <c r="AC111" s="62"/>
      <c r="AD111" s="62"/>
      <c r="AE111" s="146"/>
      <c r="AF111" s="146"/>
      <c r="AG111" s="67">
        <v>2</v>
      </c>
      <c r="AH111" s="18"/>
    </row>
    <row r="112" spans="1:34" ht="45" customHeight="1">
      <c r="A112" s="293">
        <f t="shared" si="4"/>
        <v>105</v>
      </c>
      <c r="B112" s="28" t="s">
        <v>326</v>
      </c>
      <c r="C112" s="295" t="s">
        <v>1635</v>
      </c>
      <c r="D112" s="56">
        <f>IF(F112="","",SUBTOTAL(3,$F$6:F112))</f>
        <v>106</v>
      </c>
      <c r="E112" s="36" t="s">
        <v>977</v>
      </c>
      <c r="F112" s="106" t="s">
        <v>1738</v>
      </c>
      <c r="G112" s="39" t="s">
        <v>719</v>
      </c>
      <c r="H112" s="83" t="str">
        <f>IF($G112&lt;&gt;"",VLOOKUP($G112,'WPS '!C$5:M$209,3,FALSE),"")</f>
        <v>FCAW</v>
      </c>
      <c r="I112" s="22" t="s">
        <v>968</v>
      </c>
      <c r="J112" s="22" t="s">
        <v>107</v>
      </c>
      <c r="K112" s="69" t="s">
        <v>964</v>
      </c>
      <c r="L112" s="22" t="str">
        <f>IF($G112&lt;&gt;"",VLOOKUP($G112,'WPS '!C$5:M$209,8,FALSE),"")</f>
        <v>E71T-1C</v>
      </c>
      <c r="M112" s="76" t="s">
        <v>970</v>
      </c>
      <c r="N112" s="21">
        <v>45875</v>
      </c>
      <c r="O112" s="21">
        <v>45877</v>
      </c>
      <c r="P112" s="21">
        <f t="shared" si="3"/>
        <v>46242</v>
      </c>
      <c r="Q112" s="164" t="str">
        <f>IF($G112&lt;&gt;"",VLOOKUP($G112,'WPS '!C$5:M$209,11,FALSE),"")</f>
        <v>ASME IX</v>
      </c>
      <c r="R112" s="147" t="str">
        <f>IF($G112&lt;&gt;"",VLOOKUP($G112,'WPS '!$C$5:$M$209,2,FALSE),"")</f>
        <v>OSR-WPS-ASME-FC-002</v>
      </c>
      <c r="S112" s="30"/>
      <c r="T112" s="30"/>
      <c r="U112" s="30"/>
      <c r="V112" s="30"/>
      <c r="W112" s="62"/>
      <c r="X112" s="30"/>
      <c r="Y112" s="31"/>
      <c r="Z112" s="31"/>
      <c r="AA112" s="31"/>
      <c r="AB112" s="62"/>
      <c r="AC112" s="62"/>
      <c r="AD112" s="62"/>
      <c r="AE112" s="146"/>
      <c r="AF112" s="146"/>
      <c r="AG112" s="67">
        <v>2</v>
      </c>
      <c r="AH112" s="18"/>
    </row>
    <row r="113" spans="1:34" ht="45" customHeight="1">
      <c r="A113" s="293">
        <f t="shared" si="4"/>
        <v>106</v>
      </c>
      <c r="B113" s="5" t="s">
        <v>246</v>
      </c>
      <c r="C113" s="5" t="s">
        <v>328</v>
      </c>
      <c r="D113" s="56">
        <f>IF(F113="","",SUBTOTAL(3,$F$6:F113))</f>
        <v>107</v>
      </c>
      <c r="E113" s="35" t="s">
        <v>966</v>
      </c>
      <c r="F113" s="106" t="s">
        <v>1749</v>
      </c>
      <c r="G113" s="39" t="s">
        <v>719</v>
      </c>
      <c r="H113" s="83" t="str">
        <f>IF($G113&lt;&gt;"",VLOOKUP($G113,'WPS '!C$5:M$209,3,FALSE),"")</f>
        <v>FCAW</v>
      </c>
      <c r="I113" s="22" t="s">
        <v>849</v>
      </c>
      <c r="J113" s="22" t="s">
        <v>1215</v>
      </c>
      <c r="K113" s="69" t="s">
        <v>964</v>
      </c>
      <c r="L113" s="22" t="str">
        <f>IF($G113&lt;&gt;"",VLOOKUP($G113,'WPS '!C$5:M$209,8,FALSE),"")</f>
        <v>E71T-1C</v>
      </c>
      <c r="M113" s="76" t="s">
        <v>971</v>
      </c>
      <c r="N113" s="21">
        <v>45881</v>
      </c>
      <c r="O113" s="21">
        <v>45884</v>
      </c>
      <c r="P113" s="21">
        <f t="shared" si="3"/>
        <v>46249</v>
      </c>
      <c r="Q113" s="164" t="str">
        <f>IF($G113&lt;&gt;"",VLOOKUP($G113,'WPS '!C$5:M$209,11,FALSE),"")</f>
        <v>ASME IX</v>
      </c>
      <c r="R113" s="147" t="str">
        <f>IF($G113&lt;&gt;"",VLOOKUP($G113,'WPS '!$C$5:$M$209,2,FALSE),"")</f>
        <v>OSR-WPS-ASME-FC-002</v>
      </c>
      <c r="S113" s="30" t="s">
        <v>356</v>
      </c>
      <c r="T113" s="30"/>
      <c r="U113" s="30"/>
      <c r="V113" s="30"/>
      <c r="W113" s="30"/>
      <c r="X113" s="30"/>
      <c r="Y113" s="30"/>
      <c r="Z113" s="30"/>
      <c r="AA113" s="30"/>
      <c r="AB113" s="30"/>
      <c r="AC113" s="30"/>
      <c r="AD113" s="30"/>
      <c r="AE113" s="54"/>
      <c r="AF113" s="54"/>
      <c r="AG113" s="66">
        <v>2</v>
      </c>
      <c r="AH113" s="115"/>
    </row>
    <row r="114" spans="1:34" ht="45" customHeight="1">
      <c r="A114" s="293">
        <f t="shared" si="4"/>
        <v>107</v>
      </c>
      <c r="B114" s="5" t="s">
        <v>246</v>
      </c>
      <c r="C114" s="5" t="s">
        <v>328</v>
      </c>
      <c r="D114" s="56">
        <f>IF(F114="","",SUBTOTAL(3,$F$6:F114))</f>
        <v>108</v>
      </c>
      <c r="E114" s="35" t="s">
        <v>966</v>
      </c>
      <c r="F114" s="106" t="s">
        <v>1749</v>
      </c>
      <c r="G114" s="39" t="s">
        <v>725</v>
      </c>
      <c r="H114" s="83" t="str">
        <f>IF($G114&lt;&gt;"",VLOOKUP($G114,'WPS '!C$5:M$209,3,FALSE),"")</f>
        <v>SMAW</v>
      </c>
      <c r="I114" s="22" t="s">
        <v>853</v>
      </c>
      <c r="J114" s="22" t="s">
        <v>1472</v>
      </c>
      <c r="K114" s="69" t="s">
        <v>105</v>
      </c>
      <c r="L114" s="22" t="str">
        <f>IF($G114&lt;&gt;"",VLOOKUP($G114,'WPS '!C$5:M$209,8,FALSE),"")</f>
        <v>ERNiCr 3</v>
      </c>
      <c r="M114" s="76" t="s">
        <v>1575</v>
      </c>
      <c r="N114" s="21">
        <v>45881</v>
      </c>
      <c r="O114" s="21">
        <v>45883</v>
      </c>
      <c r="P114" s="21">
        <f t="shared" si="3"/>
        <v>46248</v>
      </c>
      <c r="Q114" s="164" t="str">
        <f>IF($G114&lt;&gt;"",VLOOKUP($G114,'WPS '!C$5:M$209,11,FALSE),"")</f>
        <v>ASME IX</v>
      </c>
      <c r="R114" s="147" t="str">
        <f>IF($G114&lt;&gt;"",VLOOKUP($G114,'WPS '!$C$5:$M$209,2,FALSE),"")</f>
        <v>OSR-WPS-ASME-FC-008</v>
      </c>
      <c r="S114" s="30" t="s">
        <v>356</v>
      </c>
      <c r="T114" s="30"/>
      <c r="U114" s="30"/>
      <c r="V114" s="30"/>
      <c r="W114" s="30"/>
      <c r="X114" s="30"/>
      <c r="Y114" s="30"/>
      <c r="Z114" s="30"/>
      <c r="AA114" s="30"/>
      <c r="AB114" s="30"/>
      <c r="AC114" s="30"/>
      <c r="AD114" s="30"/>
      <c r="AE114" s="54"/>
      <c r="AF114" s="54"/>
      <c r="AG114" s="66">
        <v>2</v>
      </c>
      <c r="AH114" s="115"/>
    </row>
    <row r="115" spans="1:34" ht="45" customHeight="1">
      <c r="A115" s="293">
        <f t="shared" si="4"/>
        <v>108</v>
      </c>
      <c r="B115" s="5" t="s">
        <v>1634</v>
      </c>
      <c r="C115" s="5" t="s">
        <v>328</v>
      </c>
      <c r="D115" s="56">
        <f>IF(F115="","",SUBTOTAL(3,$F$6:F115))</f>
        <v>109</v>
      </c>
      <c r="E115" s="35" t="s">
        <v>204</v>
      </c>
      <c r="F115" s="106" t="s">
        <v>1747</v>
      </c>
      <c r="G115" s="40" t="s">
        <v>701</v>
      </c>
      <c r="H115" s="83">
        <f>IF($G115&lt;&gt;"",VLOOKUP($G115,'WPS '!C$5:M$209,3,FALSE),"")</f>
        <v>136</v>
      </c>
      <c r="I115" s="22" t="s">
        <v>1250</v>
      </c>
      <c r="J115" s="22" t="s">
        <v>257</v>
      </c>
      <c r="K115" s="69" t="s">
        <v>884</v>
      </c>
      <c r="L115" s="22" t="str">
        <f>IF($G115&lt;&gt;"",VLOOKUP($G115,'WPS '!C$5:M$209,8,FALSE),"")</f>
        <v>E81T1-W2C</v>
      </c>
      <c r="M115" s="76" t="s">
        <v>205</v>
      </c>
      <c r="N115" s="21">
        <v>45821</v>
      </c>
      <c r="O115" s="21">
        <v>45825</v>
      </c>
      <c r="P115" s="21">
        <f t="shared" si="3"/>
        <v>46190</v>
      </c>
      <c r="Q115" s="164" t="s">
        <v>1811</v>
      </c>
      <c r="R115" s="147" t="str">
        <f>IF($G115&lt;&gt;"",VLOOKUP($G115,'WPS '!$C$5:$M$209,2,FALSE),"")</f>
        <v>OSR-WPS-ISO-PC-046</v>
      </c>
      <c r="S115" s="30"/>
      <c r="T115" s="30"/>
      <c r="U115" s="30"/>
      <c r="V115" s="30"/>
      <c r="W115" s="30"/>
      <c r="X115" s="30" t="s">
        <v>95</v>
      </c>
      <c r="Y115" s="30"/>
      <c r="Z115" s="30"/>
      <c r="AA115" s="30"/>
      <c r="AB115" s="30"/>
      <c r="AC115" s="30"/>
      <c r="AD115" s="30"/>
      <c r="AE115" s="54"/>
      <c r="AF115" s="54"/>
      <c r="AG115" s="66">
        <v>2</v>
      </c>
      <c r="AH115" s="115"/>
    </row>
    <row r="116" spans="1:34" ht="45" customHeight="1">
      <c r="A116" s="293">
        <f t="shared" si="4"/>
        <v>109</v>
      </c>
      <c r="B116" s="5" t="s">
        <v>246</v>
      </c>
      <c r="C116" s="5" t="s">
        <v>328</v>
      </c>
      <c r="D116" s="56">
        <f>IF(F116="","",SUBTOTAL(3,$F$6:F116))</f>
        <v>110</v>
      </c>
      <c r="E116" s="35" t="s">
        <v>1526</v>
      </c>
      <c r="F116" s="106" t="s">
        <v>1690</v>
      </c>
      <c r="G116" s="40" t="s">
        <v>719</v>
      </c>
      <c r="H116" s="83" t="str">
        <f>IF($G116&lt;&gt;"",VLOOKUP($G116,'WPS '!C$5:M$209,3,FALSE),"")</f>
        <v>FCAW</v>
      </c>
      <c r="I116" s="22" t="s">
        <v>849</v>
      </c>
      <c r="J116" s="22" t="s">
        <v>1215</v>
      </c>
      <c r="K116" s="69" t="s">
        <v>105</v>
      </c>
      <c r="L116" s="22" t="str">
        <f>IF($G116&lt;&gt;"",VLOOKUP($G116,'WPS '!C$5:M$209,8,FALSE),"")</f>
        <v>E71T-1C</v>
      </c>
      <c r="M116" s="76" t="s">
        <v>1528</v>
      </c>
      <c r="N116" s="21">
        <v>45923</v>
      </c>
      <c r="O116" s="21">
        <v>45925</v>
      </c>
      <c r="P116" s="21">
        <f t="shared" si="3"/>
        <v>46290</v>
      </c>
      <c r="Q116" s="164" t="str">
        <f>IF($G116&lt;&gt;"",VLOOKUP($G116,'WPS '!C$5:M$209,11,FALSE),"")</f>
        <v>ASME IX</v>
      </c>
      <c r="R116" s="147" t="str">
        <f>IF($G116&lt;&gt;"",VLOOKUP($G116,'WPS '!$C$5:$M$209,2,FALSE),"")</f>
        <v>OSR-WPS-ASME-FC-002</v>
      </c>
      <c r="S116" s="30" t="s">
        <v>356</v>
      </c>
      <c r="T116" s="30"/>
      <c r="U116" s="30"/>
      <c r="V116" s="30"/>
      <c r="W116" s="30"/>
      <c r="X116" s="30"/>
      <c r="Y116" s="30"/>
      <c r="Z116" s="30"/>
      <c r="AA116" s="30"/>
      <c r="AB116" s="30"/>
      <c r="AC116" s="30"/>
      <c r="AD116" s="30"/>
      <c r="AE116" s="54"/>
      <c r="AF116" s="54"/>
      <c r="AG116" s="66">
        <v>2</v>
      </c>
      <c r="AH116" s="115"/>
    </row>
    <row r="117" spans="1:34" s="2" customFormat="1" ht="45" customHeight="1">
      <c r="A117" s="293">
        <f t="shared" si="4"/>
        <v>110</v>
      </c>
      <c r="B117" s="28" t="s">
        <v>327</v>
      </c>
      <c r="C117" s="296" t="s">
        <v>1635</v>
      </c>
      <c r="D117" s="56">
        <f>IF(F117="","",SUBTOTAL(3,$F$6:F117))</f>
        <v>111</v>
      </c>
      <c r="E117" s="35" t="s">
        <v>821</v>
      </c>
      <c r="F117" s="106" t="s">
        <v>1717</v>
      </c>
      <c r="G117" s="40" t="s">
        <v>735</v>
      </c>
      <c r="H117" s="83" t="str">
        <f>IF($G117&lt;&gt;"",VLOOKUP($G117,'WPS '!C$5:M$209,3,FALSE),"")</f>
        <v>FCAW</v>
      </c>
      <c r="I117" s="22" t="s">
        <v>1499</v>
      </c>
      <c r="J117" s="77" t="s">
        <v>1215</v>
      </c>
      <c r="K117" s="69" t="s">
        <v>1480</v>
      </c>
      <c r="L117" s="22" t="str">
        <f>IF($G117&lt;&gt;"",VLOOKUP($G117,'WPS '!C$5:M$209,8,FALSE),"")</f>
        <v>E71T-1C</v>
      </c>
      <c r="M117" s="76" t="s">
        <v>1067</v>
      </c>
      <c r="N117" s="21">
        <v>44393</v>
      </c>
      <c r="O117" s="21">
        <v>44400</v>
      </c>
      <c r="P117" s="21">
        <f t="shared" si="3"/>
        <v>46045</v>
      </c>
      <c r="Q117" s="164" t="str">
        <f>IF($G117&lt;&gt;"",VLOOKUP($G117,'WPS '!C$5:M$209,11,FALSE),"")</f>
        <v>AWS D1.1</v>
      </c>
      <c r="R117" s="147" t="str">
        <f>IF($G117&lt;&gt;"",VLOOKUP($G117,'WPS '!$C$5:$M$209,2,FALSE),"")</f>
        <v>OSR-WPS-D1.1-FC-007</v>
      </c>
      <c r="S117" s="30"/>
      <c r="T117" s="30" t="s">
        <v>356</v>
      </c>
      <c r="U117" s="30" t="s">
        <v>356</v>
      </c>
      <c r="V117" s="30" t="s">
        <v>356</v>
      </c>
      <c r="W117" s="30"/>
      <c r="X117" s="30"/>
      <c r="Y117" s="30"/>
      <c r="Z117" s="30"/>
      <c r="AA117" s="30"/>
      <c r="AB117" s="30"/>
      <c r="AC117" s="30" t="s">
        <v>356</v>
      </c>
      <c r="AD117" s="30" t="s">
        <v>356</v>
      </c>
      <c r="AE117" s="54"/>
      <c r="AF117" s="54"/>
      <c r="AG117" s="153">
        <v>9</v>
      </c>
    </row>
    <row r="118" spans="1:34" s="2" customFormat="1" ht="45" customHeight="1">
      <c r="A118" s="293">
        <f t="shared" si="4"/>
        <v>111</v>
      </c>
      <c r="B118" s="28" t="s">
        <v>327</v>
      </c>
      <c r="C118" s="296" t="s">
        <v>1635</v>
      </c>
      <c r="D118" s="56">
        <f>IF(F118="","",SUBTOTAL(3,$F$6:F118))</f>
        <v>112</v>
      </c>
      <c r="E118" s="34" t="s">
        <v>821</v>
      </c>
      <c r="F118" s="108" t="s">
        <v>1717</v>
      </c>
      <c r="G118" s="40" t="s">
        <v>772</v>
      </c>
      <c r="H118" s="83" t="str">
        <f>IF($G118&lt;&gt;"",VLOOKUP($G118,'WPS '!C$5:M$209,3,FALSE),"")</f>
        <v>FCAW</v>
      </c>
      <c r="I118" s="22" t="s">
        <v>1506</v>
      </c>
      <c r="J118" s="77" t="s">
        <v>1407</v>
      </c>
      <c r="K118" s="69" t="s">
        <v>1413</v>
      </c>
      <c r="L118" s="22" t="str">
        <f>IF($G118&lt;&gt;"",VLOOKUP($G118,'WPS '!C$5:M$209,8,FALSE),"")</f>
        <v>E71T-1C</v>
      </c>
      <c r="M118" s="76" t="s">
        <v>1096</v>
      </c>
      <c r="N118" s="21">
        <v>44393</v>
      </c>
      <c r="O118" s="21">
        <v>44400</v>
      </c>
      <c r="P118" s="21">
        <f t="shared" si="3"/>
        <v>46045</v>
      </c>
      <c r="Q118" s="164" t="str">
        <f>IF($G118&lt;&gt;"",VLOOKUP($G118,'WPS '!C$5:M$209,11,FALSE),"")</f>
        <v>AWS D1.1</v>
      </c>
      <c r="R118" s="147" t="str">
        <f>IF($G118&lt;&gt;"",VLOOKUP($G118,'WPS '!$C$5:$M$209,2,FALSE),"")</f>
        <v>OSR-WPS-D1.1-FC-044</v>
      </c>
      <c r="S118" s="30"/>
      <c r="T118" s="30" t="s">
        <v>356</v>
      </c>
      <c r="U118" s="30"/>
      <c r="V118" s="30"/>
      <c r="W118" s="30"/>
      <c r="X118" s="30"/>
      <c r="Y118" s="30"/>
      <c r="Z118" s="30"/>
      <c r="AA118" s="30"/>
      <c r="AB118" s="30"/>
      <c r="AC118" s="30"/>
      <c r="AD118" s="30"/>
      <c r="AE118" s="54" t="s">
        <v>356</v>
      </c>
      <c r="AF118" s="54"/>
      <c r="AG118" s="153">
        <v>9</v>
      </c>
    </row>
    <row r="119" spans="1:34" s="2" customFormat="1" ht="45" customHeight="1">
      <c r="A119" s="293">
        <f t="shared" si="4"/>
        <v>112</v>
      </c>
      <c r="B119" s="28" t="s">
        <v>327</v>
      </c>
      <c r="C119" s="296" t="s">
        <v>1635</v>
      </c>
      <c r="D119" s="56">
        <f>IF(F119="","",SUBTOTAL(3,$F$6:F119))</f>
        <v>113</v>
      </c>
      <c r="E119" s="34" t="s">
        <v>821</v>
      </c>
      <c r="F119" s="107" t="s">
        <v>1717</v>
      </c>
      <c r="G119" s="40" t="s">
        <v>795</v>
      </c>
      <c r="H119" s="83" t="str">
        <f>IF($G119&lt;&gt;"",VLOOKUP($G119,'WPS '!C$5:M$209,3,FALSE),"")</f>
        <v>FCAW</v>
      </c>
      <c r="I119" s="22" t="s">
        <v>1383</v>
      </c>
      <c r="J119" s="77" t="s">
        <v>1215</v>
      </c>
      <c r="K119" s="69" t="s">
        <v>1480</v>
      </c>
      <c r="L119" s="22" t="str">
        <f>IF($G119&lt;&gt;"",VLOOKUP($G119,'WPS '!C$5:M$209,8,FALSE),"")</f>
        <v>E71T-1C</v>
      </c>
      <c r="M119" s="76" t="s">
        <v>1035</v>
      </c>
      <c r="N119" s="21">
        <v>44958</v>
      </c>
      <c r="O119" s="21">
        <v>44961</v>
      </c>
      <c r="P119" s="21">
        <f t="shared" si="3"/>
        <v>46057</v>
      </c>
      <c r="Q119" s="164" t="str">
        <f>IF($G119&lt;&gt;"",VLOOKUP($G119,'WPS '!C$5:M$209,11,FALSE),"")</f>
        <v>AWS D1.1</v>
      </c>
      <c r="R119" s="147" t="str">
        <f>IF($G119&lt;&gt;"",VLOOKUP($G119,'WPS '!$C$5:$M$209,2,FALSE),"")</f>
        <v>OSR-WPS-D1.1-FC-067</v>
      </c>
      <c r="S119" s="30"/>
      <c r="T119" s="30"/>
      <c r="U119" s="30"/>
      <c r="V119" s="30"/>
      <c r="W119" s="30"/>
      <c r="X119" s="30"/>
      <c r="Y119" s="30"/>
      <c r="Z119" s="30"/>
      <c r="AA119" s="30"/>
      <c r="AB119" s="30"/>
      <c r="AC119" s="30"/>
      <c r="AD119" s="30"/>
      <c r="AE119" s="54"/>
      <c r="AF119" s="54"/>
      <c r="AG119" s="153">
        <v>6</v>
      </c>
    </row>
    <row r="120" spans="1:34" ht="45" customHeight="1">
      <c r="A120" s="293">
        <f t="shared" si="4"/>
        <v>113</v>
      </c>
      <c r="B120" s="28" t="s">
        <v>965</v>
      </c>
      <c r="C120" s="5" t="s">
        <v>328</v>
      </c>
      <c r="D120" s="56">
        <f>IF(F120="","",SUBTOTAL(3,$F$6:F120))</f>
        <v>114</v>
      </c>
      <c r="E120" s="34" t="s">
        <v>962</v>
      </c>
      <c r="F120" s="107" t="s">
        <v>1714</v>
      </c>
      <c r="G120" s="39" t="s">
        <v>719</v>
      </c>
      <c r="H120" s="83" t="str">
        <f>IF($G120&lt;&gt;"",VLOOKUP($G120,'WPS '!C$5:M$209,3,FALSE),"")</f>
        <v>FCAW</v>
      </c>
      <c r="I120" s="22" t="s">
        <v>849</v>
      </c>
      <c r="J120" s="22" t="s">
        <v>1215</v>
      </c>
      <c r="K120" s="69" t="s">
        <v>964</v>
      </c>
      <c r="L120" s="22" t="str">
        <f>IF($G120&lt;&gt;"",VLOOKUP($G120,'WPS '!C$5:M$209,8,FALSE),"")</f>
        <v>E71T-1C</v>
      </c>
      <c r="M120" s="76" t="s">
        <v>963</v>
      </c>
      <c r="N120" s="21">
        <v>45881</v>
      </c>
      <c r="O120" s="21">
        <v>45884</v>
      </c>
      <c r="P120" s="21">
        <f t="shared" si="3"/>
        <v>46249</v>
      </c>
      <c r="Q120" s="164" t="str">
        <f>IF($G120&lt;&gt;"",VLOOKUP($G120,'WPS '!C$5:M$209,11,FALSE),"")</f>
        <v>ASME IX</v>
      </c>
      <c r="R120" s="147" t="str">
        <f>IF($G120&lt;&gt;"",VLOOKUP($G120,'WPS '!$C$5:$M$209,2,FALSE),"")</f>
        <v>OSR-WPS-ASME-FC-002</v>
      </c>
      <c r="S120" s="30" t="s">
        <v>356</v>
      </c>
      <c r="T120" s="30"/>
      <c r="U120" s="30"/>
      <c r="V120" s="30"/>
      <c r="W120" s="62"/>
      <c r="X120" s="30"/>
      <c r="Y120" s="32"/>
      <c r="Z120" s="32"/>
      <c r="AA120" s="32"/>
      <c r="AB120" s="62"/>
      <c r="AC120" s="62"/>
      <c r="AD120" s="62"/>
      <c r="AE120" s="146"/>
      <c r="AF120" s="146"/>
      <c r="AG120" s="67">
        <v>2</v>
      </c>
      <c r="AH120" s="18"/>
    </row>
    <row r="121" spans="1:34" ht="45" customHeight="1">
      <c r="A121" s="293">
        <f t="shared" si="4"/>
        <v>114</v>
      </c>
      <c r="B121" s="28" t="s">
        <v>965</v>
      </c>
      <c r="C121" s="5" t="s">
        <v>328</v>
      </c>
      <c r="D121" s="56">
        <f>IF(F121="","",SUBTOTAL(3,$F$6:F121))</f>
        <v>115</v>
      </c>
      <c r="E121" s="34" t="s">
        <v>962</v>
      </c>
      <c r="F121" s="107" t="s">
        <v>1714</v>
      </c>
      <c r="G121" s="39" t="s">
        <v>725</v>
      </c>
      <c r="H121" s="83" t="str">
        <f>IF($G121&lt;&gt;"",VLOOKUP($G121,'WPS '!C$5:M$209,3,FALSE),"")</f>
        <v>SMAW</v>
      </c>
      <c r="I121" s="22" t="s">
        <v>853</v>
      </c>
      <c r="J121" s="22" t="s">
        <v>1472</v>
      </c>
      <c r="K121" s="69" t="s">
        <v>105</v>
      </c>
      <c r="L121" s="22" t="str">
        <f>IF($G121&lt;&gt;"",VLOOKUP($G121,'WPS '!C$5:M$209,8,FALSE),"")</f>
        <v>ERNiCr 3</v>
      </c>
      <c r="M121" s="76" t="s">
        <v>1576</v>
      </c>
      <c r="N121" s="21">
        <v>45881</v>
      </c>
      <c r="O121" s="21">
        <v>45883</v>
      </c>
      <c r="P121" s="21">
        <f t="shared" si="3"/>
        <v>46248</v>
      </c>
      <c r="Q121" s="164" t="str">
        <f>IF($G121&lt;&gt;"",VLOOKUP($G121,'WPS '!C$5:M$209,11,FALSE),"")</f>
        <v>ASME IX</v>
      </c>
      <c r="R121" s="147" t="str">
        <f>IF($G121&lt;&gt;"",VLOOKUP($G121,'WPS '!$C$5:$M$209,2,FALSE),"")</f>
        <v>OSR-WPS-ASME-FC-008</v>
      </c>
      <c r="S121" s="30" t="s">
        <v>356</v>
      </c>
      <c r="T121" s="30"/>
      <c r="U121" s="30"/>
      <c r="V121" s="30"/>
      <c r="W121" s="62"/>
      <c r="X121" s="30"/>
      <c r="Y121" s="32"/>
      <c r="Z121" s="32"/>
      <c r="AA121" s="32"/>
      <c r="AB121" s="62"/>
      <c r="AC121" s="62"/>
      <c r="AD121" s="62"/>
      <c r="AE121" s="146"/>
      <c r="AF121" s="146"/>
      <c r="AG121" s="67">
        <v>2</v>
      </c>
      <c r="AH121" s="18"/>
    </row>
    <row r="122" spans="1:34" ht="45" customHeight="1">
      <c r="A122" s="293">
        <f t="shared" si="4"/>
        <v>115</v>
      </c>
      <c r="B122" s="28" t="s">
        <v>965</v>
      </c>
      <c r="C122" s="5" t="s">
        <v>328</v>
      </c>
      <c r="D122" s="56">
        <f>IF(F122="","",SUBTOTAL(3,$F$6:F122))</f>
        <v>116</v>
      </c>
      <c r="E122" s="34" t="s">
        <v>962</v>
      </c>
      <c r="F122" s="107" t="s">
        <v>1714</v>
      </c>
      <c r="G122" s="39" t="s">
        <v>1608</v>
      </c>
      <c r="H122" s="83" t="str">
        <f>IF($G122&lt;&gt;"",VLOOKUP($G122,'WPS '!C$5:M$209,3,FALSE),"")</f>
        <v>FCAW</v>
      </c>
      <c r="I122" s="22" t="s">
        <v>1626</v>
      </c>
      <c r="J122" s="22" t="s">
        <v>1390</v>
      </c>
      <c r="K122" s="69" t="s">
        <v>1624</v>
      </c>
      <c r="L122" s="22" t="str">
        <f>IF($G122&lt;&gt;"",VLOOKUP($G122,'WPS '!C$5:M$209,8,FALSE),"")</f>
        <v>E71T-1C</v>
      </c>
      <c r="M122" s="76" t="s">
        <v>1628</v>
      </c>
      <c r="N122" s="21">
        <v>45945</v>
      </c>
      <c r="O122" s="21">
        <v>45945</v>
      </c>
      <c r="P122" s="21">
        <f t="shared" si="3"/>
        <v>46310</v>
      </c>
      <c r="Q122" s="164" t="str">
        <f>IF($G122&lt;&gt;"",VLOOKUP($G122,'WPS '!C$5:M$209,11,FALSE),"")</f>
        <v>ASME IX</v>
      </c>
      <c r="R122" s="147" t="str">
        <f>IF($G122&lt;&gt;"",VLOOKUP($G122,'WPS '!$C$5:$M$209,2,FALSE),"")</f>
        <v>OSR-WPS-ASME-FC-022</v>
      </c>
      <c r="S122" s="30" t="s">
        <v>356</v>
      </c>
      <c r="T122" s="30"/>
      <c r="U122" s="30"/>
      <c r="V122" s="30"/>
      <c r="W122" s="62"/>
      <c r="X122" s="30"/>
      <c r="Y122" s="32"/>
      <c r="Z122" s="32"/>
      <c r="AA122" s="32"/>
      <c r="AB122" s="62"/>
      <c r="AC122" s="62"/>
      <c r="AD122" s="62"/>
      <c r="AE122" s="146"/>
      <c r="AF122" s="146"/>
      <c r="AG122" s="67">
        <v>2</v>
      </c>
      <c r="AH122" s="18"/>
    </row>
    <row r="123" spans="1:34" ht="45" customHeight="1">
      <c r="A123" s="293">
        <f t="shared" si="4"/>
        <v>116</v>
      </c>
      <c r="B123" s="5" t="s">
        <v>1634</v>
      </c>
      <c r="C123" s="5" t="s">
        <v>328</v>
      </c>
      <c r="D123" s="56">
        <f>IF(F123="","",SUBTOTAL(3,$F$6:F123))</f>
        <v>117</v>
      </c>
      <c r="E123" s="35" t="s">
        <v>200</v>
      </c>
      <c r="F123" s="106" t="s">
        <v>1722</v>
      </c>
      <c r="G123" s="40" t="s">
        <v>701</v>
      </c>
      <c r="H123" s="83">
        <f>IF($G123&lt;&gt;"",VLOOKUP($G123,'WPS '!C$5:M$209,3,FALSE),"")</f>
        <v>136</v>
      </c>
      <c r="I123" s="22" t="s">
        <v>1250</v>
      </c>
      <c r="J123" s="22" t="s">
        <v>257</v>
      </c>
      <c r="K123" s="69" t="s">
        <v>884</v>
      </c>
      <c r="L123" s="22" t="str">
        <f>IF($G123&lt;&gt;"",VLOOKUP($G123,'WPS '!C$5:M$209,8,FALSE),"")</f>
        <v>E81T1-W2C</v>
      </c>
      <c r="M123" s="76" t="s">
        <v>201</v>
      </c>
      <c r="N123" s="21">
        <v>45821</v>
      </c>
      <c r="O123" s="21">
        <v>45825</v>
      </c>
      <c r="P123" s="21">
        <f t="shared" si="3"/>
        <v>46190</v>
      </c>
      <c r="Q123" s="164" t="s">
        <v>1811</v>
      </c>
      <c r="R123" s="147" t="str">
        <f>IF($G123&lt;&gt;"",VLOOKUP($G123,'WPS '!$C$5:$M$209,2,FALSE),"")</f>
        <v>OSR-WPS-ISO-PC-046</v>
      </c>
      <c r="S123" s="30"/>
      <c r="T123" s="30"/>
      <c r="U123" s="30"/>
      <c r="V123" s="30"/>
      <c r="W123" s="30"/>
      <c r="X123" s="30" t="s">
        <v>95</v>
      </c>
      <c r="Y123" s="30"/>
      <c r="Z123" s="30"/>
      <c r="AA123" s="30"/>
      <c r="AB123" s="30"/>
      <c r="AC123" s="30"/>
      <c r="AD123" s="30"/>
      <c r="AE123" s="54"/>
      <c r="AF123" s="54"/>
      <c r="AG123" s="66">
        <v>2</v>
      </c>
      <c r="AH123" s="115"/>
    </row>
    <row r="124" spans="1:34" ht="45" customHeight="1">
      <c r="A124" s="293">
        <f t="shared" si="4"/>
        <v>117</v>
      </c>
      <c r="B124" s="5" t="s">
        <v>1636</v>
      </c>
      <c r="C124" s="296" t="s">
        <v>1635</v>
      </c>
      <c r="D124" s="56">
        <f>IF(F124="","",SUBTOTAL(3,$F$6:F124))</f>
        <v>118</v>
      </c>
      <c r="E124" s="35" t="s">
        <v>189</v>
      </c>
      <c r="F124" s="106" t="s">
        <v>1764</v>
      </c>
      <c r="G124" s="40" t="s">
        <v>701</v>
      </c>
      <c r="H124" s="83">
        <f>IF($G124&lt;&gt;"",VLOOKUP($G124,'WPS '!C$5:M$209,3,FALSE),"")</f>
        <v>136</v>
      </c>
      <c r="I124" s="22" t="s">
        <v>1250</v>
      </c>
      <c r="J124" s="22" t="s">
        <v>257</v>
      </c>
      <c r="K124" s="69" t="s">
        <v>884</v>
      </c>
      <c r="L124" s="22" t="str">
        <f>IF($G124&lt;&gt;"",VLOOKUP($G124,'WPS '!C$5:M$209,8,FALSE),"")</f>
        <v>E81T1-W2C</v>
      </c>
      <c r="M124" s="76" t="s">
        <v>190</v>
      </c>
      <c r="N124" s="21">
        <v>45724</v>
      </c>
      <c r="O124" s="21">
        <v>45731</v>
      </c>
      <c r="P124" s="21">
        <f t="shared" si="3"/>
        <v>46096</v>
      </c>
      <c r="Q124" s="164" t="s">
        <v>1811</v>
      </c>
      <c r="R124" s="147" t="str">
        <f>IF($G124&lt;&gt;"",VLOOKUP($G124,'WPS '!$C$5:$M$209,2,FALSE),"")</f>
        <v>OSR-WPS-ISO-PC-046</v>
      </c>
      <c r="S124" s="30"/>
      <c r="T124" s="30"/>
      <c r="U124" s="30"/>
      <c r="V124" s="30"/>
      <c r="W124" s="30"/>
      <c r="X124" s="30" t="s">
        <v>95</v>
      </c>
      <c r="Y124" s="30"/>
      <c r="Z124" s="30"/>
      <c r="AA124" s="30"/>
      <c r="AB124" s="30"/>
      <c r="AC124" s="30"/>
      <c r="AD124" s="30"/>
      <c r="AE124" s="54"/>
      <c r="AF124" s="54"/>
      <c r="AG124" s="66">
        <v>2</v>
      </c>
      <c r="AH124" s="115"/>
    </row>
    <row r="125" spans="1:34" s="2" customFormat="1" ht="45" customHeight="1">
      <c r="A125" s="293">
        <f t="shared" si="4"/>
        <v>118</v>
      </c>
      <c r="B125" s="28" t="s">
        <v>1636</v>
      </c>
      <c r="C125" s="295" t="s">
        <v>1635</v>
      </c>
      <c r="D125" s="56">
        <f>IF(F125="","",SUBTOTAL(3,$F$6:F125))</f>
        <v>119</v>
      </c>
      <c r="E125" s="34" t="s">
        <v>189</v>
      </c>
      <c r="F125" s="107" t="s">
        <v>1764</v>
      </c>
      <c r="G125" s="39" t="s">
        <v>718</v>
      </c>
      <c r="H125" s="83" t="str">
        <f>IF($G125&lt;&gt;"",VLOOKUP($G125,'WPS '!C$5:M$209,3,FALSE),"")</f>
        <v>FCAW</v>
      </c>
      <c r="I125" s="22" t="s">
        <v>849</v>
      </c>
      <c r="J125" s="22" t="s">
        <v>1390</v>
      </c>
      <c r="K125" s="69" t="s">
        <v>247</v>
      </c>
      <c r="L125" s="22" t="str">
        <f>IF($G125&lt;&gt;"",VLOOKUP($G125,'WPS '!C$5:M$209,8,FALSE),"")</f>
        <v>E71T-1C</v>
      </c>
      <c r="M125" s="76" t="s">
        <v>269</v>
      </c>
      <c r="N125" s="21">
        <v>45863</v>
      </c>
      <c r="O125" s="21">
        <v>45865</v>
      </c>
      <c r="P125" s="21">
        <f t="shared" si="3"/>
        <v>46230</v>
      </c>
      <c r="Q125" s="164" t="str">
        <f>IF($G125&lt;&gt;"",VLOOKUP($G125,'WPS '!C$5:M$209,11,FALSE),"")</f>
        <v>ASME IX</v>
      </c>
      <c r="R125" s="147" t="str">
        <f>IF($G125&lt;&gt;"",VLOOKUP($G125,'WPS '!$C$5:$M$209,2,FALSE),"")</f>
        <v>OSR-WPS-ASME-FC-001</v>
      </c>
      <c r="S125" s="30" t="s">
        <v>356</v>
      </c>
      <c r="T125" s="30"/>
      <c r="U125" s="30"/>
      <c r="V125" s="30"/>
      <c r="W125" s="62"/>
      <c r="X125" s="30"/>
      <c r="Y125" s="31"/>
      <c r="Z125" s="31"/>
      <c r="AA125" s="31"/>
      <c r="AB125" s="62"/>
      <c r="AC125" s="62"/>
      <c r="AD125" s="62"/>
      <c r="AE125" s="146"/>
      <c r="AF125" s="146"/>
      <c r="AG125" s="67">
        <v>2</v>
      </c>
      <c r="AH125" s="18"/>
    </row>
    <row r="126" spans="1:34" s="2" customFormat="1" ht="45" customHeight="1">
      <c r="A126" s="293">
        <f t="shared" si="4"/>
        <v>119</v>
      </c>
      <c r="B126" s="28" t="s">
        <v>1636</v>
      </c>
      <c r="C126" s="295" t="s">
        <v>1635</v>
      </c>
      <c r="D126" s="56">
        <f>IF(F126="","",SUBTOTAL(3,$F$6:F126))</f>
        <v>120</v>
      </c>
      <c r="E126" s="34" t="s">
        <v>189</v>
      </c>
      <c r="F126" s="107" t="s">
        <v>1764</v>
      </c>
      <c r="G126" s="39" t="s">
        <v>719</v>
      </c>
      <c r="H126" s="83" t="str">
        <f>IF($G126&lt;&gt;"",VLOOKUP($G126,'WPS '!C$5:M$209,3,FALSE),"")</f>
        <v>FCAW</v>
      </c>
      <c r="I126" s="22" t="s">
        <v>849</v>
      </c>
      <c r="J126" s="22" t="s">
        <v>1215</v>
      </c>
      <c r="K126" s="69" t="s">
        <v>964</v>
      </c>
      <c r="L126" s="22" t="str">
        <f>IF($G126&lt;&gt;"",VLOOKUP($G126,'WPS '!C$5:M$209,8,FALSE),"")</f>
        <v>E71T-1C</v>
      </c>
      <c r="M126" s="76" t="s">
        <v>836</v>
      </c>
      <c r="N126" s="21">
        <v>45871</v>
      </c>
      <c r="O126" s="21">
        <v>45873</v>
      </c>
      <c r="P126" s="21">
        <f t="shared" si="3"/>
        <v>46238</v>
      </c>
      <c r="Q126" s="164" t="str">
        <f>IF($G126&lt;&gt;"",VLOOKUP($G126,'WPS '!C$5:M$209,11,FALSE),"")</f>
        <v>ASME IX</v>
      </c>
      <c r="R126" s="147" t="str">
        <f>IF($G126&lt;&gt;"",VLOOKUP($G126,'WPS '!$C$5:$M$209,2,FALSE),"")</f>
        <v>OSR-WPS-ASME-FC-002</v>
      </c>
      <c r="S126" s="30" t="s">
        <v>356</v>
      </c>
      <c r="T126" s="30"/>
      <c r="U126" s="30"/>
      <c r="V126" s="30"/>
      <c r="W126" s="62"/>
      <c r="X126" s="30"/>
      <c r="Y126" s="31"/>
      <c r="Z126" s="31"/>
      <c r="AA126" s="31"/>
      <c r="AB126" s="62"/>
      <c r="AC126" s="62"/>
      <c r="AD126" s="62"/>
      <c r="AE126" s="146"/>
      <c r="AF126" s="146"/>
      <c r="AG126" s="67">
        <v>2</v>
      </c>
      <c r="AH126" s="18"/>
    </row>
    <row r="127" spans="1:34" s="2" customFormat="1" ht="45" customHeight="1">
      <c r="A127" s="293">
        <f t="shared" si="4"/>
        <v>120</v>
      </c>
      <c r="B127" s="28" t="s">
        <v>1636</v>
      </c>
      <c r="C127" s="295" t="s">
        <v>1635</v>
      </c>
      <c r="D127" s="56">
        <f>IF(F127="","",SUBTOTAL(3,$F$6:F127))</f>
        <v>121</v>
      </c>
      <c r="E127" s="34" t="s">
        <v>189</v>
      </c>
      <c r="F127" s="107" t="s">
        <v>1764</v>
      </c>
      <c r="G127" s="39" t="s">
        <v>728</v>
      </c>
      <c r="H127" s="83" t="str">
        <f>IF($G127&lt;&gt;"",VLOOKUP($G127,'WPS '!C$5:M$209,3,FALSE),"")</f>
        <v>GMAW</v>
      </c>
      <c r="I127" s="22" t="s">
        <v>849</v>
      </c>
      <c r="J127" s="22" t="s">
        <v>1472</v>
      </c>
      <c r="K127" s="69" t="s">
        <v>105</v>
      </c>
      <c r="L127" s="22" t="str">
        <f>IF($G127&lt;&gt;"",VLOOKUP($G127,'WPS '!C$5:M$209,8,FALSE),"")</f>
        <v>ER309</v>
      </c>
      <c r="M127" s="76" t="s">
        <v>270</v>
      </c>
      <c r="N127" s="21">
        <v>45863</v>
      </c>
      <c r="O127" s="21">
        <v>45865</v>
      </c>
      <c r="P127" s="21">
        <f t="shared" si="3"/>
        <v>46230</v>
      </c>
      <c r="Q127" s="164" t="str">
        <f>IF($G127&lt;&gt;"",VLOOKUP($G127,'WPS '!C$5:M$209,11,FALSE),"")</f>
        <v>ASME IX</v>
      </c>
      <c r="R127" s="147" t="str">
        <f>IF($G127&lt;&gt;"",VLOOKUP($G127,'WPS '!$C$5:$M$209,2,FALSE),"")</f>
        <v>OSR-WPS-ASME-GM-011</v>
      </c>
      <c r="S127" s="30" t="s">
        <v>356</v>
      </c>
      <c r="T127" s="30"/>
      <c r="U127" s="30"/>
      <c r="V127" s="30"/>
      <c r="W127" s="62"/>
      <c r="X127" s="30"/>
      <c r="Y127" s="31"/>
      <c r="Z127" s="31"/>
      <c r="AA127" s="31"/>
      <c r="AB127" s="62"/>
      <c r="AC127" s="62"/>
      <c r="AD127" s="62"/>
      <c r="AE127" s="146"/>
      <c r="AF127" s="146"/>
      <c r="AG127" s="67">
        <v>2</v>
      </c>
      <c r="AH127" s="28" t="s">
        <v>1533</v>
      </c>
    </row>
    <row r="128" spans="1:34" s="2" customFormat="1" ht="45" customHeight="1">
      <c r="A128" s="293">
        <f t="shared" si="4"/>
        <v>121</v>
      </c>
      <c r="B128" s="5" t="s">
        <v>326</v>
      </c>
      <c r="C128" s="296" t="s">
        <v>1635</v>
      </c>
      <c r="D128" s="56">
        <f>IF(F128="","",SUBTOTAL(3,$F$6:F128))</f>
        <v>122</v>
      </c>
      <c r="E128" s="34" t="s">
        <v>11</v>
      </c>
      <c r="F128" s="107" t="s">
        <v>1731</v>
      </c>
      <c r="G128" s="40" t="s">
        <v>660</v>
      </c>
      <c r="H128" s="83">
        <f>IF($G128&lt;&gt;"",VLOOKUP($G128,'WPS '!C$5:M$209,3,FALSE),"")</f>
        <v>136</v>
      </c>
      <c r="I128" s="22" t="s">
        <v>46</v>
      </c>
      <c r="J128" s="22" t="s">
        <v>243</v>
      </c>
      <c r="K128" s="69" t="s">
        <v>884</v>
      </c>
      <c r="L128" s="22" t="str">
        <f>IF($G128&lt;&gt;"",VLOOKUP($G128,'WPS '!C$5:M$209,8,FALSE),"")</f>
        <v>E71T-1C</v>
      </c>
      <c r="M128" s="76" t="s">
        <v>12</v>
      </c>
      <c r="N128" s="21">
        <v>44912</v>
      </c>
      <c r="O128" s="21">
        <v>44913</v>
      </c>
      <c r="P128" s="21">
        <f t="shared" si="3"/>
        <v>46009</v>
      </c>
      <c r="Q128" s="164" t="s">
        <v>1811</v>
      </c>
      <c r="R128" s="147" t="str">
        <f>IF($G128&lt;&gt;"",VLOOKUP($G128,'WPS '!$C$5:$M$209,2,FALSE),"")</f>
        <v>OSR-WPS-ISO-004</v>
      </c>
      <c r="S128" s="30"/>
      <c r="T128" s="30"/>
      <c r="U128" s="30"/>
      <c r="V128" s="30"/>
      <c r="W128" s="30"/>
      <c r="X128" s="30"/>
      <c r="Y128" s="30"/>
      <c r="Z128" s="30"/>
      <c r="AA128" s="30"/>
      <c r="AB128" s="30"/>
      <c r="AC128" s="30"/>
      <c r="AD128" s="30"/>
      <c r="AE128" s="54"/>
      <c r="AF128" s="54"/>
      <c r="AG128" s="66">
        <v>6</v>
      </c>
      <c r="AH128" s="115"/>
    </row>
    <row r="129" spans="1:34" s="2" customFormat="1" ht="45" customHeight="1">
      <c r="A129" s="293">
        <f t="shared" si="4"/>
        <v>122</v>
      </c>
      <c r="B129" s="5" t="s">
        <v>326</v>
      </c>
      <c r="C129" s="296" t="s">
        <v>1635</v>
      </c>
      <c r="D129" s="56">
        <f>IF(F129="","",SUBTOTAL(3,$F$6:F129))</f>
        <v>123</v>
      </c>
      <c r="E129" s="34" t="s">
        <v>11</v>
      </c>
      <c r="F129" s="107" t="s">
        <v>1731</v>
      </c>
      <c r="G129" s="40" t="s">
        <v>679</v>
      </c>
      <c r="H129" s="83">
        <f>IF($G129&lt;&gt;"",VLOOKUP($G129,'WPS '!C$5:M$209,3,FALSE),"")</f>
        <v>136</v>
      </c>
      <c r="I129" s="22" t="s">
        <v>46</v>
      </c>
      <c r="J129" s="22" t="s">
        <v>242</v>
      </c>
      <c r="K129" s="69" t="s">
        <v>884</v>
      </c>
      <c r="L129" s="22" t="str">
        <f>IF($G129&lt;&gt;"",VLOOKUP($G129,'WPS '!C$5:M$209,8,FALSE),"")</f>
        <v>E81T1-Ni1J-C</v>
      </c>
      <c r="M129" s="76" t="s">
        <v>69</v>
      </c>
      <c r="N129" s="21">
        <v>45482</v>
      </c>
      <c r="O129" s="21">
        <v>45486</v>
      </c>
      <c r="P129" s="21">
        <f t="shared" si="3"/>
        <v>46035</v>
      </c>
      <c r="Q129" s="164" t="s">
        <v>1811</v>
      </c>
      <c r="R129" s="147" t="str">
        <f>IF($G129&lt;&gt;"",VLOOKUP($G129,'WPS '!$C$5:$M$209,2,FALSE),"")</f>
        <v>OSR-WPS-ISO-PF-024</v>
      </c>
      <c r="S129" s="30"/>
      <c r="T129" s="30"/>
      <c r="U129" s="30"/>
      <c r="V129" s="30"/>
      <c r="W129" s="30"/>
      <c r="X129" s="30"/>
      <c r="Y129" s="30"/>
      <c r="Z129" s="30"/>
      <c r="AA129" s="30"/>
      <c r="AB129" s="30"/>
      <c r="AC129" s="30"/>
      <c r="AD129" s="30"/>
      <c r="AE129" s="54"/>
      <c r="AF129" s="54"/>
      <c r="AG129" s="67">
        <v>3</v>
      </c>
      <c r="AH129" s="115"/>
    </row>
    <row r="130" spans="1:34" s="2" customFormat="1" ht="45" customHeight="1">
      <c r="A130" s="293">
        <f t="shared" si="4"/>
        <v>123</v>
      </c>
      <c r="B130" s="5" t="s">
        <v>326</v>
      </c>
      <c r="C130" s="296" t="s">
        <v>1635</v>
      </c>
      <c r="D130" s="56">
        <f>IF(F130="","",SUBTOTAL(3,$F$6:F130))</f>
        <v>124</v>
      </c>
      <c r="E130" s="34" t="s">
        <v>11</v>
      </c>
      <c r="F130" s="107" t="s">
        <v>1731</v>
      </c>
      <c r="G130" s="40" t="s">
        <v>708</v>
      </c>
      <c r="H130" s="83">
        <f>IF($G130&lt;&gt;"",VLOOKUP($G130,'WPS '!C$5:M$209,3,FALSE),"")</f>
        <v>136</v>
      </c>
      <c r="I130" s="22" t="s">
        <v>217</v>
      </c>
      <c r="J130" s="22" t="s">
        <v>242</v>
      </c>
      <c r="K130" s="69" t="s">
        <v>884</v>
      </c>
      <c r="L130" s="22" t="str">
        <f>IF($G130&lt;&gt;"",VLOOKUP($G130,'WPS '!C$5:M$209,8,FALSE),"")</f>
        <v>E71T-1C</v>
      </c>
      <c r="M130" s="76" t="s">
        <v>91</v>
      </c>
      <c r="N130" s="21">
        <v>45796</v>
      </c>
      <c r="O130" s="21">
        <v>45799</v>
      </c>
      <c r="P130" s="21">
        <f t="shared" ref="P130:P192" si="5">EDATE(O130,6*AG130)</f>
        <v>46164</v>
      </c>
      <c r="Q130" s="164" t="s">
        <v>1811</v>
      </c>
      <c r="R130" s="147" t="str">
        <f>IF($G130&lt;&gt;"",VLOOKUP($G130,'WPS '!$C$5:$M$209,2,FALSE),"")</f>
        <v>OSR-WPS-ISO-PF-053</v>
      </c>
      <c r="S130" s="30"/>
      <c r="T130" s="30"/>
      <c r="U130" s="30"/>
      <c r="V130" s="30"/>
      <c r="W130" s="30"/>
      <c r="X130" s="30"/>
      <c r="Y130" s="30" t="s">
        <v>95</v>
      </c>
      <c r="Z130" s="30"/>
      <c r="AA130" s="30"/>
      <c r="AB130" s="30"/>
      <c r="AC130" s="30"/>
      <c r="AD130" s="30"/>
      <c r="AE130" s="54"/>
      <c r="AF130" s="54"/>
      <c r="AG130" s="66">
        <v>2</v>
      </c>
      <c r="AH130" s="115"/>
    </row>
    <row r="131" spans="1:34" s="2" customFormat="1" ht="45" customHeight="1">
      <c r="A131" s="293">
        <f t="shared" si="4"/>
        <v>124</v>
      </c>
      <c r="B131" s="5" t="s">
        <v>326</v>
      </c>
      <c r="C131" s="296" t="s">
        <v>1635</v>
      </c>
      <c r="D131" s="56">
        <f>IF(F131="","",SUBTOTAL(3,$F$6:F131))</f>
        <v>125</v>
      </c>
      <c r="E131" s="34" t="s">
        <v>11</v>
      </c>
      <c r="F131" s="107" t="s">
        <v>1731</v>
      </c>
      <c r="G131" s="40" t="s">
        <v>713</v>
      </c>
      <c r="H131" s="83">
        <f>IF($G131&lt;&gt;"",VLOOKUP($G131,'WPS '!C$5:M$209,3,FALSE),"")</f>
        <v>136</v>
      </c>
      <c r="I131" s="22" t="s">
        <v>217</v>
      </c>
      <c r="J131" s="22" t="s">
        <v>889</v>
      </c>
      <c r="K131" s="69" t="s">
        <v>884</v>
      </c>
      <c r="L131" s="22" t="str">
        <f>IF($G131&lt;&gt;"",VLOOKUP($G131,'WPS '!C$5:M$209,8,FALSE),"")</f>
        <v>E71T-1C</v>
      </c>
      <c r="M131" s="76" t="s">
        <v>896</v>
      </c>
      <c r="N131" s="21">
        <v>45808</v>
      </c>
      <c r="O131" s="21">
        <v>45814</v>
      </c>
      <c r="P131" s="21">
        <f t="shared" si="5"/>
        <v>46179</v>
      </c>
      <c r="Q131" s="164" t="s">
        <v>1811</v>
      </c>
      <c r="R131" s="147" t="str">
        <f>IF($G131&lt;&gt;"",VLOOKUP($G131,'WPS '!$C$5:$M$209,2,FALSE),"")</f>
        <v>OSR-WPS-ISO-PF-058</v>
      </c>
      <c r="S131" s="30"/>
      <c r="T131" s="30"/>
      <c r="U131" s="30"/>
      <c r="V131" s="30"/>
      <c r="W131" s="30"/>
      <c r="X131" s="30"/>
      <c r="Y131" s="30" t="s">
        <v>95</v>
      </c>
      <c r="Z131" s="30"/>
      <c r="AA131" s="30"/>
      <c r="AB131" s="30"/>
      <c r="AC131" s="30"/>
      <c r="AD131" s="30"/>
      <c r="AE131" s="54"/>
      <c r="AF131" s="54"/>
      <c r="AG131" s="66">
        <v>2</v>
      </c>
      <c r="AH131" s="115"/>
    </row>
    <row r="132" spans="1:34" s="2" customFormat="1" ht="45" customHeight="1">
      <c r="A132" s="293">
        <f t="shared" si="4"/>
        <v>125</v>
      </c>
      <c r="B132" s="5" t="s">
        <v>326</v>
      </c>
      <c r="C132" s="296" t="s">
        <v>1635</v>
      </c>
      <c r="D132" s="56">
        <f>IF(F132="","",SUBTOTAL(3,$F$6:F132))</f>
        <v>126</v>
      </c>
      <c r="E132" s="34" t="s">
        <v>11</v>
      </c>
      <c r="F132" s="107" t="s">
        <v>1731</v>
      </c>
      <c r="G132" s="40" t="s">
        <v>1234</v>
      </c>
      <c r="H132" s="83">
        <f>IF($G132&lt;&gt;"",VLOOKUP($G132,'WPS '!C$5:M$209,3,FALSE),"")</f>
        <v>136</v>
      </c>
      <c r="I132" s="22" t="s">
        <v>217</v>
      </c>
      <c r="J132" s="22" t="s">
        <v>243</v>
      </c>
      <c r="K132" s="69" t="s">
        <v>874</v>
      </c>
      <c r="L132" s="22" t="str">
        <f>IF($G132&lt;&gt;"",VLOOKUP($G132,'WPS '!C$5:M$209,8,FALSE),"")</f>
        <v>E71T-1C</v>
      </c>
      <c r="M132" s="76" t="s">
        <v>1258</v>
      </c>
      <c r="N132" s="21">
        <v>45903</v>
      </c>
      <c r="O132" s="21">
        <v>45909</v>
      </c>
      <c r="P132" s="21">
        <f t="shared" si="5"/>
        <v>46274</v>
      </c>
      <c r="Q132" s="164" t="s">
        <v>1811</v>
      </c>
      <c r="R132" s="147" t="str">
        <f>IF($G132&lt;&gt;"",VLOOKUP($G132,'WPS '!$C$5:$M$209,2,FALSE),"")</f>
        <v>OSR-WPS-ISO-PB-075</v>
      </c>
      <c r="S132" s="30"/>
      <c r="T132" s="30"/>
      <c r="U132" s="30"/>
      <c r="V132" s="30"/>
      <c r="W132" s="30"/>
      <c r="X132" s="30"/>
      <c r="Y132" s="30"/>
      <c r="Z132" s="30" t="s">
        <v>356</v>
      </c>
      <c r="AA132" s="30"/>
      <c r="AB132" s="30"/>
      <c r="AC132" s="30"/>
      <c r="AD132" s="30"/>
      <c r="AE132" s="54"/>
      <c r="AF132" s="54"/>
      <c r="AG132" s="66">
        <v>2</v>
      </c>
      <c r="AH132" s="115"/>
    </row>
    <row r="133" spans="1:34" s="2" customFormat="1" ht="45" customHeight="1">
      <c r="A133" s="293">
        <f t="shared" si="4"/>
        <v>126</v>
      </c>
      <c r="B133" s="5" t="s">
        <v>326</v>
      </c>
      <c r="C133" s="296" t="s">
        <v>1635</v>
      </c>
      <c r="D133" s="56">
        <f>IF(F133="","",SUBTOTAL(3,$F$6:F133))</f>
        <v>127</v>
      </c>
      <c r="E133" s="34" t="s">
        <v>11</v>
      </c>
      <c r="F133" s="107" t="s">
        <v>1731</v>
      </c>
      <c r="G133" s="40" t="s">
        <v>1451</v>
      </c>
      <c r="H133" s="83">
        <f>IF($G133&lt;&gt;"",VLOOKUP($G133,'WPS '!C$5:M$209,3,FALSE),"")</f>
        <v>136</v>
      </c>
      <c r="I133" s="22" t="s">
        <v>1460</v>
      </c>
      <c r="J133" s="22" t="s">
        <v>240</v>
      </c>
      <c r="K133" s="69" t="s">
        <v>874</v>
      </c>
      <c r="L133" s="22" t="str">
        <f>IF($G133&lt;&gt;"",VLOOKUP($G133,'WPS '!C$5:M$209,8,FALSE),"")</f>
        <v>E71T-1C</v>
      </c>
      <c r="M133" s="76" t="s">
        <v>1461</v>
      </c>
      <c r="N133" s="21">
        <v>45913</v>
      </c>
      <c r="O133" s="21">
        <v>45916</v>
      </c>
      <c r="P133" s="21">
        <f t="shared" si="5"/>
        <v>46281</v>
      </c>
      <c r="Q133" s="164" t="s">
        <v>1811</v>
      </c>
      <c r="R133" s="147" t="str">
        <f>IF($G133&lt;&gt;"",VLOOKUP($G133,'WPS '!$C$5:$M$209,2,FALSE),"")</f>
        <v>OSR-WPS-ISO-PC-080</v>
      </c>
      <c r="S133" s="30"/>
      <c r="T133" s="30"/>
      <c r="U133" s="30"/>
      <c r="V133" s="30"/>
      <c r="W133" s="30"/>
      <c r="X133" s="30"/>
      <c r="Y133" s="30"/>
      <c r="Z133" s="30" t="s">
        <v>356</v>
      </c>
      <c r="AA133" s="30"/>
      <c r="AB133" s="30"/>
      <c r="AC133" s="30"/>
      <c r="AD133" s="30"/>
      <c r="AE133" s="54"/>
      <c r="AF133" s="54"/>
      <c r="AG133" s="66">
        <v>2</v>
      </c>
      <c r="AH133" s="115"/>
    </row>
    <row r="134" spans="1:34" s="2" customFormat="1" ht="45" customHeight="1">
      <c r="A134" s="293">
        <f t="shared" si="4"/>
        <v>127</v>
      </c>
      <c r="B134" s="5" t="s">
        <v>326</v>
      </c>
      <c r="C134" s="296" t="s">
        <v>1635</v>
      </c>
      <c r="D134" s="56">
        <f>IF(F134="","",SUBTOTAL(3,$F$6:F134))</f>
        <v>128</v>
      </c>
      <c r="E134" s="34" t="s">
        <v>11</v>
      </c>
      <c r="F134" s="107" t="s">
        <v>1731</v>
      </c>
      <c r="G134" s="40" t="s">
        <v>1614</v>
      </c>
      <c r="H134" s="83">
        <f>IF($G134&lt;&gt;"",VLOOKUP($G134,'WPS '!C$5:M$209,3,FALSE),"")</f>
        <v>121</v>
      </c>
      <c r="I134" s="22" t="s">
        <v>1250</v>
      </c>
      <c r="J134" s="22" t="s">
        <v>368</v>
      </c>
      <c r="K134" s="69" t="s">
        <v>1619</v>
      </c>
      <c r="L134" s="22" t="str">
        <f>IF($G134&lt;&gt;"",VLOOKUP($G134,'WPS '!C$5:M$209,8,FALSE),"")</f>
        <v>EM12K</v>
      </c>
      <c r="M134" s="76" t="s">
        <v>1620</v>
      </c>
      <c r="N134" s="21">
        <v>45954</v>
      </c>
      <c r="O134" s="21">
        <v>45960</v>
      </c>
      <c r="P134" s="21">
        <f t="shared" si="5"/>
        <v>46325</v>
      </c>
      <c r="Q134" s="164" t="s">
        <v>1811</v>
      </c>
      <c r="R134" s="147" t="str">
        <f>IF($G134&lt;&gt;"",VLOOKUP($G134,'WPS '!$C$5:$M$209,2,FALSE),"")</f>
        <v>OSR-WPS-ISO-PA-082</v>
      </c>
      <c r="S134" s="30"/>
      <c r="T134" s="30"/>
      <c r="U134" s="30"/>
      <c r="V134" s="30"/>
      <c r="W134" s="30" t="s">
        <v>356</v>
      </c>
      <c r="X134" s="30"/>
      <c r="Y134" s="30"/>
      <c r="Z134" s="30"/>
      <c r="AA134" s="30"/>
      <c r="AB134" s="30" t="s">
        <v>356</v>
      </c>
      <c r="AC134" s="30"/>
      <c r="AD134" s="30"/>
      <c r="AE134" s="54"/>
      <c r="AF134" s="54"/>
      <c r="AG134" s="66">
        <v>2</v>
      </c>
      <c r="AH134" s="115"/>
    </row>
    <row r="135" spans="1:34" s="2" customFormat="1" ht="45" customHeight="1">
      <c r="A135" s="293">
        <f t="shared" si="4"/>
        <v>128</v>
      </c>
      <c r="B135" s="5" t="s">
        <v>326</v>
      </c>
      <c r="C135" s="296" t="s">
        <v>1635</v>
      </c>
      <c r="D135" s="97">
        <f>IF(F135="","",SUBTOTAL(3,$F$6:F135))</f>
        <v>129</v>
      </c>
      <c r="E135" s="98" t="s">
        <v>11</v>
      </c>
      <c r="F135" s="111" t="s">
        <v>1731</v>
      </c>
      <c r="G135" s="99" t="s">
        <v>1797</v>
      </c>
      <c r="H135" s="100">
        <f>IF($G135&lt;&gt;"",VLOOKUP($G135,'WPS '!C$5:M$209,3,FALSE),"")</f>
        <v>141</v>
      </c>
      <c r="I135" s="101" t="s">
        <v>1815</v>
      </c>
      <c r="J135" s="101" t="s">
        <v>368</v>
      </c>
      <c r="K135" s="102" t="s">
        <v>1813</v>
      </c>
      <c r="L135" s="101" t="str">
        <f>IF($G135&lt;&gt;"",VLOOKUP($G135,'WPS '!C$5:M$209,8,FALSE),"")</f>
        <v>ERNiCr-3</v>
      </c>
      <c r="M135" s="103" t="s">
        <v>1814</v>
      </c>
      <c r="N135" s="104">
        <v>45646</v>
      </c>
      <c r="O135" s="104">
        <v>45652</v>
      </c>
      <c r="P135" s="104">
        <f t="shared" si="5"/>
        <v>46017</v>
      </c>
      <c r="Q135" s="165" t="s">
        <v>1811</v>
      </c>
      <c r="R135" s="147" t="str">
        <f>IF($G135&lt;&gt;"",VLOOKUP($G135,'WPS '!$C$5:$M$209,2,FALSE),"")</f>
        <v>OSR-WPS-ISO-PA-085</v>
      </c>
      <c r="S135" s="30"/>
      <c r="T135" s="30"/>
      <c r="U135" s="30"/>
      <c r="V135" s="30"/>
      <c r="W135" s="30"/>
      <c r="X135" s="30"/>
      <c r="Y135" s="30"/>
      <c r="Z135" s="30"/>
      <c r="AA135" s="30"/>
      <c r="AB135" s="30" t="s">
        <v>356</v>
      </c>
      <c r="AC135" s="30"/>
      <c r="AD135" s="30"/>
      <c r="AE135" s="54"/>
      <c r="AF135" s="54"/>
      <c r="AG135" s="66">
        <v>2</v>
      </c>
      <c r="AH135" s="28" t="s">
        <v>1533</v>
      </c>
    </row>
    <row r="136" spans="1:34" s="2" customFormat="1" ht="45" customHeight="1">
      <c r="A136" s="293">
        <f t="shared" ref="A136:A199" si="6">A135+1</f>
        <v>129</v>
      </c>
      <c r="B136" s="28" t="s">
        <v>326</v>
      </c>
      <c r="C136" s="295" t="s">
        <v>1635</v>
      </c>
      <c r="D136" s="56">
        <f>IF(F136="","",SUBTOTAL(3,$F$6:F136))</f>
        <v>130</v>
      </c>
      <c r="E136" s="34" t="s">
        <v>11</v>
      </c>
      <c r="F136" s="107" t="s">
        <v>1731</v>
      </c>
      <c r="G136" s="39" t="s">
        <v>719</v>
      </c>
      <c r="H136" s="83" t="str">
        <f>IF($G136&lt;&gt;"",VLOOKUP($G136,'WPS '!C$5:M$209,3,FALSE),"")</f>
        <v>FCAW</v>
      </c>
      <c r="I136" s="22" t="s">
        <v>850</v>
      </c>
      <c r="J136" s="22" t="s">
        <v>1215</v>
      </c>
      <c r="K136" s="69" t="s">
        <v>964</v>
      </c>
      <c r="L136" s="22" t="str">
        <f>IF($G136&lt;&gt;"",VLOOKUP($G136,'WPS '!C$5:M$209,8,FALSE),"")</f>
        <v>E71T-1C</v>
      </c>
      <c r="M136" s="76" t="s">
        <v>286</v>
      </c>
      <c r="N136" s="21">
        <v>45586</v>
      </c>
      <c r="O136" s="21">
        <v>45590</v>
      </c>
      <c r="P136" s="21">
        <f t="shared" si="5"/>
        <v>46137</v>
      </c>
      <c r="Q136" s="164" t="str">
        <f>IF($G136&lt;&gt;"",VLOOKUP($G136,'WPS '!C$5:M$209,11,FALSE),"")</f>
        <v>ASME IX</v>
      </c>
      <c r="R136" s="147" t="str">
        <f>IF($G136&lt;&gt;"",VLOOKUP($G136,'WPS '!$C$5:$M$209,2,FALSE),"")</f>
        <v>OSR-WPS-ASME-FC-002</v>
      </c>
      <c r="S136" s="30" t="s">
        <v>356</v>
      </c>
      <c r="T136" s="30"/>
      <c r="U136" s="30"/>
      <c r="V136" s="30"/>
      <c r="W136" s="62"/>
      <c r="X136" s="30"/>
      <c r="Y136" s="32"/>
      <c r="Z136" s="32"/>
      <c r="AA136" s="32"/>
      <c r="AB136" s="62"/>
      <c r="AC136" s="62"/>
      <c r="AD136" s="62"/>
      <c r="AE136" s="146"/>
      <c r="AF136" s="146"/>
      <c r="AG136" s="67">
        <v>3</v>
      </c>
      <c r="AH136" s="18"/>
    </row>
    <row r="137" spans="1:34" s="2" customFormat="1" ht="45" customHeight="1">
      <c r="A137" s="293">
        <f t="shared" si="6"/>
        <v>130</v>
      </c>
      <c r="B137" s="28" t="s">
        <v>326</v>
      </c>
      <c r="C137" s="295" t="s">
        <v>1635</v>
      </c>
      <c r="D137" s="56">
        <f>IF(F137="","",SUBTOTAL(3,$F$6:F137))</f>
        <v>131</v>
      </c>
      <c r="E137" s="34" t="s">
        <v>11</v>
      </c>
      <c r="F137" s="108" t="s">
        <v>1731</v>
      </c>
      <c r="G137" s="40" t="s">
        <v>722</v>
      </c>
      <c r="H137" s="83" t="str">
        <f>IF($G137&lt;&gt;"",VLOOKUP($G137,'WPS '!C$5:M$209,3,FALSE),"")</f>
        <v>GTAW</v>
      </c>
      <c r="I137" s="22" t="s">
        <v>853</v>
      </c>
      <c r="J137" s="22" t="s">
        <v>1472</v>
      </c>
      <c r="K137" s="69" t="s">
        <v>105</v>
      </c>
      <c r="L137" s="22" t="str">
        <f>IF($G137&lt;&gt;"",VLOOKUP($G137,'WPS '!C$5:M$209,8,FALSE),"")</f>
        <v>ERNiCr 3</v>
      </c>
      <c r="M137" s="76" t="s">
        <v>287</v>
      </c>
      <c r="N137" s="21">
        <v>45706</v>
      </c>
      <c r="O137" s="21">
        <v>45714</v>
      </c>
      <c r="P137" s="21">
        <f t="shared" si="5"/>
        <v>46079</v>
      </c>
      <c r="Q137" s="164" t="str">
        <f>IF($G137&lt;&gt;"",VLOOKUP($G137,'WPS '!C$5:M$209,11,FALSE),"")</f>
        <v>ASME IX</v>
      </c>
      <c r="R137" s="147" t="str">
        <f>IF($G137&lt;&gt;"",VLOOKUP($G137,'WPS '!$C$5:$M$209,2,FALSE),"")</f>
        <v>OSR-WPS-ASME-GT-005</v>
      </c>
      <c r="S137" s="30" t="s">
        <v>95</v>
      </c>
      <c r="T137" s="30"/>
      <c r="U137" s="30"/>
      <c r="V137" s="30"/>
      <c r="W137" s="62"/>
      <c r="X137" s="30"/>
      <c r="Y137" s="31"/>
      <c r="Z137" s="31"/>
      <c r="AA137" s="31"/>
      <c r="AB137" s="62"/>
      <c r="AC137" s="62"/>
      <c r="AD137" s="62"/>
      <c r="AE137" s="146"/>
      <c r="AF137" s="146"/>
      <c r="AG137" s="66">
        <v>2</v>
      </c>
      <c r="AH137" s="28" t="s">
        <v>1533</v>
      </c>
    </row>
    <row r="138" spans="1:34" s="2" customFormat="1" ht="45" customHeight="1">
      <c r="A138" s="293">
        <f t="shared" si="6"/>
        <v>131</v>
      </c>
      <c r="B138" s="28" t="s">
        <v>326</v>
      </c>
      <c r="C138" s="295" t="s">
        <v>1635</v>
      </c>
      <c r="D138" s="56">
        <f>IF(F138="","",SUBTOTAL(3,$F$6:F138))</f>
        <v>132</v>
      </c>
      <c r="E138" s="34" t="s">
        <v>11</v>
      </c>
      <c r="F138" s="108" t="s">
        <v>1731</v>
      </c>
      <c r="G138" s="40" t="s">
        <v>726</v>
      </c>
      <c r="H138" s="83" t="str">
        <f>IF($G138&lt;&gt;"",VLOOKUP($G138,'WPS '!C$5:M$209,3,FALSE),"")</f>
        <v>GTAW</v>
      </c>
      <c r="I138" s="22" t="s">
        <v>853</v>
      </c>
      <c r="J138" s="22" t="s">
        <v>1472</v>
      </c>
      <c r="K138" s="69" t="s">
        <v>105</v>
      </c>
      <c r="L138" s="22" t="str">
        <f>IF($G138&lt;&gt;"",VLOOKUP($G138,'WPS '!C$5:M$209,8,FALSE),"")</f>
        <v>ER70S-3</v>
      </c>
      <c r="M138" s="76" t="s">
        <v>288</v>
      </c>
      <c r="N138" s="21">
        <v>45720</v>
      </c>
      <c r="O138" s="21">
        <v>45724</v>
      </c>
      <c r="P138" s="21">
        <f t="shared" si="5"/>
        <v>46089</v>
      </c>
      <c r="Q138" s="164" t="str">
        <f>IF($G138&lt;&gt;"",VLOOKUP($G138,'WPS '!C$5:M$209,11,FALSE),"")</f>
        <v>ASME IX</v>
      </c>
      <c r="R138" s="147" t="str">
        <f>IF($G138&lt;&gt;"",VLOOKUP($G138,'WPS '!$C$5:$M$209,2,FALSE),"")</f>
        <v>OSR-WPS-ASME-FC-009</v>
      </c>
      <c r="S138" s="30"/>
      <c r="T138" s="30"/>
      <c r="U138" s="30"/>
      <c r="V138" s="30"/>
      <c r="W138" s="62"/>
      <c r="X138" s="30"/>
      <c r="Y138" s="31"/>
      <c r="Z138" s="31"/>
      <c r="AA138" s="31"/>
      <c r="AB138" s="62"/>
      <c r="AC138" s="62"/>
      <c r="AD138" s="62"/>
      <c r="AE138" s="146"/>
      <c r="AF138" s="146"/>
      <c r="AG138" s="66">
        <v>2</v>
      </c>
      <c r="AH138" s="18"/>
    </row>
    <row r="139" spans="1:34" s="2" customFormat="1" ht="45" customHeight="1">
      <c r="A139" s="293">
        <f t="shared" si="6"/>
        <v>132</v>
      </c>
      <c r="B139" s="28" t="s">
        <v>326</v>
      </c>
      <c r="C139" s="295" t="s">
        <v>1635</v>
      </c>
      <c r="D139" s="56">
        <f>IF(F139="","",SUBTOTAL(3,$F$6:F139))</f>
        <v>133</v>
      </c>
      <c r="E139" s="98" t="s">
        <v>11</v>
      </c>
      <c r="F139" s="110" t="s">
        <v>1731</v>
      </c>
      <c r="G139" s="99" t="s">
        <v>1537</v>
      </c>
      <c r="H139" s="100" t="str">
        <f>IF($G139&lt;&gt;"",VLOOKUP($G139,'WPS '!C$5:M$209,3,FALSE),"")</f>
        <v>SAW</v>
      </c>
      <c r="I139" s="101" t="s">
        <v>1778</v>
      </c>
      <c r="J139" s="101" t="s">
        <v>1472</v>
      </c>
      <c r="K139" s="102" t="s">
        <v>1779</v>
      </c>
      <c r="L139" s="101" t="str">
        <f>IF($G139&lt;&gt;"",VLOOKUP($G139,'WPS '!C$5:M$209,8,FALSE),"")</f>
        <v>M-12K</v>
      </c>
      <c r="M139" s="103" t="s">
        <v>1781</v>
      </c>
      <c r="N139" s="104">
        <v>45894</v>
      </c>
      <c r="O139" s="104">
        <v>45959</v>
      </c>
      <c r="P139" s="104">
        <f t="shared" si="5"/>
        <v>46324</v>
      </c>
      <c r="Q139" s="165" t="str">
        <f>IF($G139&lt;&gt;"",VLOOKUP($G139,'WPS '!C$5:M$209,11,FALSE),"")</f>
        <v>ASME IX</v>
      </c>
      <c r="R139" s="147" t="str">
        <f>IF($G139&lt;&gt;"",VLOOKUP($G139,'WPS '!$C$5:$M$209,2,FALSE),"")</f>
        <v>OSR-WPS-ASME-SAW-013</v>
      </c>
      <c r="S139" s="30" t="s">
        <v>356</v>
      </c>
      <c r="T139" s="30"/>
      <c r="U139" s="30"/>
      <c r="V139" s="30"/>
      <c r="W139" s="62"/>
      <c r="X139" s="30"/>
      <c r="Y139" s="31"/>
      <c r="Z139" s="31"/>
      <c r="AA139" s="31"/>
      <c r="AB139" s="62"/>
      <c r="AC139" s="62"/>
      <c r="AD139" s="62"/>
      <c r="AE139" s="146"/>
      <c r="AF139" s="146"/>
      <c r="AG139" s="66">
        <v>2</v>
      </c>
      <c r="AH139" s="18"/>
    </row>
    <row r="140" spans="1:34" s="2" customFormat="1" ht="45" customHeight="1">
      <c r="A140" s="293">
        <f t="shared" si="6"/>
        <v>133</v>
      </c>
      <c r="B140" s="28" t="s">
        <v>326</v>
      </c>
      <c r="C140" s="295" t="s">
        <v>1635</v>
      </c>
      <c r="D140" s="56">
        <f>IF(F140="","",SUBTOTAL(3,$F$6:F140))</f>
        <v>134</v>
      </c>
      <c r="E140" s="34" t="s">
        <v>11</v>
      </c>
      <c r="F140" s="108" t="s">
        <v>1731</v>
      </c>
      <c r="G140" s="40" t="s">
        <v>1541</v>
      </c>
      <c r="H140" s="83" t="str">
        <f>IF($G140&lt;&gt;"",VLOOKUP($G140,'WPS '!C$5:M$209,3,FALSE),"")</f>
        <v>GTAW</v>
      </c>
      <c r="I140" s="22" t="s">
        <v>1549</v>
      </c>
      <c r="J140" s="22" t="s">
        <v>1472</v>
      </c>
      <c r="K140" s="69" t="s">
        <v>1550</v>
      </c>
      <c r="L140" s="22" t="str">
        <f>IF($G140&lt;&gt;"",VLOOKUP($G140,'WPS '!C$5:M$209,8,FALSE),"")</f>
        <v>ER308L</v>
      </c>
      <c r="M140" s="76" t="s">
        <v>1552</v>
      </c>
      <c r="N140" s="21">
        <v>45929</v>
      </c>
      <c r="O140" s="21">
        <v>45931</v>
      </c>
      <c r="P140" s="21">
        <f t="shared" si="5"/>
        <v>46296</v>
      </c>
      <c r="Q140" s="164" t="str">
        <f>IF($G140&lt;&gt;"",VLOOKUP($G140,'WPS '!C$5:M$209,11,FALSE),"")</f>
        <v>ASME IX</v>
      </c>
      <c r="R140" s="147" t="str">
        <f>IF($G140&lt;&gt;"",VLOOKUP($G140,'WPS '!$C$5:$M$209,2,FALSE),"")</f>
        <v>OSR-WPS-ASME-GT-014</v>
      </c>
      <c r="S140" s="30"/>
      <c r="T140" s="30"/>
      <c r="U140" s="30"/>
      <c r="V140" s="30"/>
      <c r="W140" s="62"/>
      <c r="X140" s="30"/>
      <c r="Y140" s="31"/>
      <c r="Z140" s="31"/>
      <c r="AA140" s="31"/>
      <c r="AB140" s="62"/>
      <c r="AC140" s="62" t="s">
        <v>364</v>
      </c>
      <c r="AD140" s="62" t="s">
        <v>364</v>
      </c>
      <c r="AE140" s="146"/>
      <c r="AF140" s="146"/>
      <c r="AG140" s="66">
        <v>2</v>
      </c>
      <c r="AH140" s="18"/>
    </row>
    <row r="141" spans="1:34" s="2" customFormat="1" ht="45" customHeight="1">
      <c r="A141" s="293">
        <f t="shared" si="6"/>
        <v>134</v>
      </c>
      <c r="B141" s="28" t="s">
        <v>326</v>
      </c>
      <c r="C141" s="296" t="s">
        <v>1635</v>
      </c>
      <c r="D141" s="56">
        <f>IF(F141="","",SUBTOTAL(3,$F$6:F141))</f>
        <v>135</v>
      </c>
      <c r="E141" s="34" t="s">
        <v>11</v>
      </c>
      <c r="F141" s="107" t="s">
        <v>1731</v>
      </c>
      <c r="G141" s="40" t="s">
        <v>732</v>
      </c>
      <c r="H141" s="83" t="str">
        <f>IF($G141&lt;&gt;"",VLOOKUP($G141,'WPS '!C$5:M$209,3,FALSE),"")</f>
        <v>FCAW</v>
      </c>
      <c r="I141" s="22" t="s">
        <v>1499</v>
      </c>
      <c r="J141" s="77" t="s">
        <v>1390</v>
      </c>
      <c r="K141" s="69" t="s">
        <v>1478</v>
      </c>
      <c r="L141" s="22" t="str">
        <f>IF($G141&lt;&gt;"",VLOOKUP($G141,'WPS '!C$5:M$209,8,FALSE),"")</f>
        <v>E71T-1C</v>
      </c>
      <c r="M141" s="76" t="s">
        <v>1059</v>
      </c>
      <c r="N141" s="21">
        <v>44212</v>
      </c>
      <c r="O141" s="21">
        <v>44400</v>
      </c>
      <c r="P141" s="21">
        <f t="shared" si="5"/>
        <v>46045</v>
      </c>
      <c r="Q141" s="164" t="str">
        <f>IF($G141&lt;&gt;"",VLOOKUP($G141,'WPS '!C$5:M$209,11,FALSE),"")</f>
        <v>AWS D1.1</v>
      </c>
      <c r="R141" s="147" t="str">
        <f>IF($G141&lt;&gt;"",VLOOKUP($G141,'WPS '!$C$5:$M$209,2,FALSE),"")</f>
        <v>OSR-WPS-D1.1-FC-003</v>
      </c>
      <c r="S141" s="30"/>
      <c r="T141" s="30" t="s">
        <v>356</v>
      </c>
      <c r="U141" s="30"/>
      <c r="V141" s="30" t="s">
        <v>356</v>
      </c>
      <c r="W141" s="30"/>
      <c r="X141" s="30"/>
      <c r="Y141" s="30"/>
      <c r="Z141" s="30"/>
      <c r="AA141" s="30"/>
      <c r="AB141" s="30"/>
      <c r="AC141" s="30"/>
      <c r="AD141" s="30"/>
      <c r="AE141" s="54" t="s">
        <v>356</v>
      </c>
      <c r="AF141" s="54" t="s">
        <v>356</v>
      </c>
      <c r="AG141" s="153">
        <v>9</v>
      </c>
      <c r="AH141" s="163"/>
    </row>
    <row r="142" spans="1:34" ht="45" customHeight="1">
      <c r="A142" s="293">
        <f t="shared" si="6"/>
        <v>135</v>
      </c>
      <c r="B142" s="28" t="s">
        <v>326</v>
      </c>
      <c r="C142" s="296" t="s">
        <v>1635</v>
      </c>
      <c r="D142" s="56">
        <f>IF(F142="","",SUBTOTAL(3,$F$6:F142))</f>
        <v>136</v>
      </c>
      <c r="E142" s="34" t="s">
        <v>11</v>
      </c>
      <c r="F142" s="107" t="s">
        <v>1731</v>
      </c>
      <c r="G142" s="40" t="s">
        <v>741</v>
      </c>
      <c r="H142" s="83" t="str">
        <f>IF($G142&lt;&gt;"",VLOOKUP($G142,'WPS '!C$5:M$209,3,FALSE),"")</f>
        <v>GTAW</v>
      </c>
      <c r="I142" s="22" t="s">
        <v>1509</v>
      </c>
      <c r="J142" s="77" t="s">
        <v>1189</v>
      </c>
      <c r="K142" s="69" t="s">
        <v>364</v>
      </c>
      <c r="L142" s="22" t="str">
        <f>IF($G142&lt;&gt;"",VLOOKUP($G142,'WPS '!C$5:M$209,8,FALSE),"")</f>
        <v>ER 308</v>
      </c>
      <c r="M142" s="76" t="s">
        <v>1078</v>
      </c>
      <c r="N142" s="21">
        <v>44393</v>
      </c>
      <c r="O142" s="21">
        <v>44400</v>
      </c>
      <c r="P142" s="21">
        <f t="shared" si="5"/>
        <v>46045</v>
      </c>
      <c r="Q142" s="164" t="str">
        <f>IF($G142&lt;&gt;"",VLOOKUP($G142,'WPS '!C$5:M$209,11,FALSE),"")</f>
        <v>AWS D9.1</v>
      </c>
      <c r="R142" s="147" t="str">
        <f>IF($G142&lt;&gt;"",VLOOKUP($G142,'WPS '!$C$5:$M$209,2,FALSE),"")</f>
        <v>OSR-WPS-D9.1-GT-013</v>
      </c>
      <c r="S142" s="30"/>
      <c r="T142" s="30"/>
      <c r="U142" s="30"/>
      <c r="V142" s="30"/>
      <c r="W142" s="30"/>
      <c r="X142" s="30"/>
      <c r="Y142" s="30"/>
      <c r="Z142" s="30"/>
      <c r="AA142" s="30"/>
      <c r="AB142" s="30"/>
      <c r="AC142" s="30" t="s">
        <v>356</v>
      </c>
      <c r="AD142" s="30" t="s">
        <v>356</v>
      </c>
      <c r="AE142" s="54"/>
      <c r="AF142" s="54"/>
      <c r="AG142" s="153">
        <v>9</v>
      </c>
    </row>
    <row r="143" spans="1:34" s="2" customFormat="1" ht="45" customHeight="1">
      <c r="A143" s="293">
        <f t="shared" si="6"/>
        <v>136</v>
      </c>
      <c r="B143" s="28" t="s">
        <v>326</v>
      </c>
      <c r="C143" s="296" t="s">
        <v>1635</v>
      </c>
      <c r="D143" s="56">
        <f>IF(F143="","",SUBTOTAL(3,$F$6:F143))</f>
        <v>137</v>
      </c>
      <c r="E143" s="34" t="s">
        <v>11</v>
      </c>
      <c r="F143" s="107" t="s">
        <v>1731</v>
      </c>
      <c r="G143" s="39" t="s">
        <v>747</v>
      </c>
      <c r="H143" s="83" t="str">
        <f>IF($G143&lt;&gt;"",VLOOKUP($G143,'WPS '!C$5:M$209,3,FALSE),"")</f>
        <v>GTAW</v>
      </c>
      <c r="I143" s="22" t="s">
        <v>364</v>
      </c>
      <c r="J143" s="77" t="s">
        <v>1189</v>
      </c>
      <c r="K143" s="69" t="s">
        <v>364</v>
      </c>
      <c r="L143" s="22" t="str">
        <f>IF($G143&lt;&gt;"",VLOOKUP($G143,'WPS '!C$5:M$209,8,FALSE),"")</f>
        <v>ER309</v>
      </c>
      <c r="M143" s="76" t="s">
        <v>1045</v>
      </c>
      <c r="N143" s="21">
        <v>42240</v>
      </c>
      <c r="O143" s="21">
        <v>42250</v>
      </c>
      <c r="P143" s="21">
        <f t="shared" si="5"/>
        <v>46084</v>
      </c>
      <c r="Q143" s="164" t="str">
        <f>IF($G143&lt;&gt;"",VLOOKUP($G143,'WPS '!C$5:M$209,11,FALSE),"")</f>
        <v>AWS D9.1</v>
      </c>
      <c r="R143" s="147" t="str">
        <f>IF($G143&lt;&gt;"",VLOOKUP($G143,'WPS '!$C$5:$M$209,2,FALSE),"")</f>
        <v>OSR-WPS-D9.1-GT-019</v>
      </c>
      <c r="S143" s="30"/>
      <c r="T143" s="30"/>
      <c r="U143" s="30"/>
      <c r="V143" s="32"/>
      <c r="W143" s="32"/>
      <c r="X143" s="32"/>
      <c r="Y143" s="32"/>
      <c r="Z143" s="32"/>
      <c r="AA143" s="32"/>
      <c r="AB143" s="32"/>
      <c r="AC143" s="62"/>
      <c r="AD143" s="62"/>
      <c r="AE143" s="146"/>
      <c r="AF143" s="146"/>
      <c r="AG143" s="153">
        <v>21</v>
      </c>
    </row>
    <row r="144" spans="1:34" s="2" customFormat="1" ht="45" customHeight="1">
      <c r="A144" s="293">
        <f t="shared" si="6"/>
        <v>137</v>
      </c>
      <c r="B144" s="28" t="s">
        <v>326</v>
      </c>
      <c r="C144" s="296" t="s">
        <v>1635</v>
      </c>
      <c r="D144" s="56">
        <f>IF(F144="","",SUBTOTAL(3,$F$6:F144))</f>
        <v>138</v>
      </c>
      <c r="E144" s="34" t="s">
        <v>11</v>
      </c>
      <c r="F144" s="107" t="s">
        <v>1731</v>
      </c>
      <c r="G144" s="40" t="s">
        <v>747</v>
      </c>
      <c r="H144" s="83" t="str">
        <f>IF($G144&lt;&gt;"",VLOOKUP($G144,'WPS '!C$5:M$209,3,FALSE),"")</f>
        <v>GTAW</v>
      </c>
      <c r="I144" s="22" t="s">
        <v>1049</v>
      </c>
      <c r="J144" s="77" t="s">
        <v>544</v>
      </c>
      <c r="K144" s="69" t="s">
        <v>959</v>
      </c>
      <c r="L144" s="22" t="str">
        <f>IF($G144&lt;&gt;"",VLOOKUP($G144,'WPS '!C$5:M$209,8,FALSE),"")</f>
        <v>ER309</v>
      </c>
      <c r="M144" s="76" t="s">
        <v>1050</v>
      </c>
      <c r="N144" s="21">
        <v>42955</v>
      </c>
      <c r="O144" s="21">
        <v>42961</v>
      </c>
      <c r="P144" s="21">
        <f t="shared" si="5"/>
        <v>46067</v>
      </c>
      <c r="Q144" s="164" t="str">
        <f>IF($G144&lt;&gt;"",VLOOKUP($G144,'WPS '!C$5:M$209,11,FALSE),"")</f>
        <v>AWS D9.1</v>
      </c>
      <c r="R144" s="147" t="str">
        <f>IF($G144&lt;&gt;"",VLOOKUP($G144,'WPS '!$C$5:$M$209,2,FALSE),"")</f>
        <v>OSR-WPS-D9.1-GT-019</v>
      </c>
      <c r="S144" s="30"/>
      <c r="T144" s="30"/>
      <c r="U144" s="30"/>
      <c r="V144" s="30"/>
      <c r="W144" s="30"/>
      <c r="X144" s="30"/>
      <c r="Y144" s="30"/>
      <c r="Z144" s="30"/>
      <c r="AA144" s="30"/>
      <c r="AB144" s="30"/>
      <c r="AC144" s="30"/>
      <c r="AD144" s="30"/>
      <c r="AE144" s="54"/>
      <c r="AF144" s="54"/>
      <c r="AG144" s="153">
        <v>17</v>
      </c>
    </row>
    <row r="145" spans="1:34" s="2" customFormat="1" ht="45" customHeight="1">
      <c r="A145" s="293">
        <f t="shared" si="6"/>
        <v>138</v>
      </c>
      <c r="B145" s="28" t="s">
        <v>326</v>
      </c>
      <c r="C145" s="296" t="s">
        <v>1635</v>
      </c>
      <c r="D145" s="56">
        <f>IF(F145="","",SUBTOTAL(3,$F$6:F145))</f>
        <v>139</v>
      </c>
      <c r="E145" s="34" t="s">
        <v>11</v>
      </c>
      <c r="F145" s="107" t="s">
        <v>1731</v>
      </c>
      <c r="G145" s="39" t="s">
        <v>748</v>
      </c>
      <c r="H145" s="83" t="str">
        <f>IF($G145&lt;&gt;"",VLOOKUP($G145,'WPS '!C$5:M$209,3,FALSE),"")</f>
        <v>GTAW</v>
      </c>
      <c r="I145" s="22" t="s">
        <v>1510</v>
      </c>
      <c r="J145" s="77" t="s">
        <v>1189</v>
      </c>
      <c r="K145" s="69" t="s">
        <v>364</v>
      </c>
      <c r="L145" s="22" t="str">
        <f>IF($G145&lt;&gt;"",VLOOKUP($G145,'WPS '!C$5:M$209,8,FALSE),"")</f>
        <v>ER 309</v>
      </c>
      <c r="M145" s="76" t="s">
        <v>1396</v>
      </c>
      <c r="N145" s="21">
        <v>42240</v>
      </c>
      <c r="O145" s="21">
        <v>42250</v>
      </c>
      <c r="P145" s="21">
        <f t="shared" si="5"/>
        <v>46084</v>
      </c>
      <c r="Q145" s="164" t="str">
        <f>IF($G145&lt;&gt;"",VLOOKUP($G145,'WPS '!C$5:M$209,11,FALSE),"")</f>
        <v>AWS D9.1</v>
      </c>
      <c r="R145" s="147" t="str">
        <f>IF($G145&lt;&gt;"",VLOOKUP($G145,'WPS '!$C$5:$M$209,2,FALSE),"")</f>
        <v>OSR-WPS-D9.1-GT-020</v>
      </c>
      <c r="S145" s="30"/>
      <c r="T145" s="30"/>
      <c r="U145" s="30"/>
      <c r="V145" s="32"/>
      <c r="W145" s="32"/>
      <c r="X145" s="32"/>
      <c r="Y145" s="32"/>
      <c r="Z145" s="32"/>
      <c r="AA145" s="32"/>
      <c r="AB145" s="32"/>
      <c r="AC145" s="62" t="s">
        <v>95</v>
      </c>
      <c r="AD145" s="62" t="s">
        <v>356</v>
      </c>
      <c r="AE145" s="146"/>
      <c r="AF145" s="146"/>
      <c r="AG145" s="153">
        <v>21</v>
      </c>
    </row>
    <row r="146" spans="1:34" s="2" customFormat="1" ht="45" customHeight="1">
      <c r="A146" s="293">
        <f t="shared" si="6"/>
        <v>139</v>
      </c>
      <c r="B146" s="28" t="s">
        <v>326</v>
      </c>
      <c r="C146" s="296" t="s">
        <v>1635</v>
      </c>
      <c r="D146" s="56">
        <f>IF(F146="","",SUBTOTAL(3,$F$6:F146))</f>
        <v>140</v>
      </c>
      <c r="E146" s="34" t="s">
        <v>11</v>
      </c>
      <c r="F146" s="107" t="s">
        <v>1731</v>
      </c>
      <c r="G146" s="39" t="s">
        <v>756</v>
      </c>
      <c r="H146" s="83" t="str">
        <f>IF($G146&lt;&gt;"",VLOOKUP($G146,'WPS '!C$5:M$209,3,FALSE),"")</f>
        <v>GTAW</v>
      </c>
      <c r="I146" s="22" t="s">
        <v>1509</v>
      </c>
      <c r="J146" s="77" t="s">
        <v>104</v>
      </c>
      <c r="K146" s="69" t="s">
        <v>364</v>
      </c>
      <c r="L146" s="22" t="str">
        <f>IF($G146&lt;&gt;"",VLOOKUP($G146,'WPS '!C$5:M$209,8,FALSE),"")</f>
        <v>ER309L</v>
      </c>
      <c r="M146" s="76" t="s">
        <v>1085</v>
      </c>
      <c r="N146" s="21">
        <v>44393</v>
      </c>
      <c r="O146" s="21">
        <v>44400</v>
      </c>
      <c r="P146" s="21">
        <f t="shared" si="5"/>
        <v>46045</v>
      </c>
      <c r="Q146" s="164" t="str">
        <f>IF($G146&lt;&gt;"",VLOOKUP($G146,'WPS '!C$5:M$209,11,FALSE),"")</f>
        <v>AWS D9.1</v>
      </c>
      <c r="R146" s="147" t="str">
        <f>IF($G146&lt;&gt;"",VLOOKUP($G146,'WPS '!$C$5:$M$209,2,FALSE),"")</f>
        <v>OSR-WPS-D9.1-GT-028</v>
      </c>
      <c r="S146" s="30"/>
      <c r="T146" s="30"/>
      <c r="U146" s="30"/>
      <c r="V146" s="32"/>
      <c r="W146" s="32"/>
      <c r="X146" s="32"/>
      <c r="Y146" s="32"/>
      <c r="Z146" s="32"/>
      <c r="AA146" s="32"/>
      <c r="AB146" s="32"/>
      <c r="AC146" s="62"/>
      <c r="AD146" s="62"/>
      <c r="AE146" s="146"/>
      <c r="AF146" s="146"/>
      <c r="AG146" s="153">
        <v>9</v>
      </c>
    </row>
    <row r="147" spans="1:34" s="2" customFormat="1" ht="45" customHeight="1">
      <c r="A147" s="293">
        <f t="shared" si="6"/>
        <v>140</v>
      </c>
      <c r="B147" s="28" t="s">
        <v>326</v>
      </c>
      <c r="C147" s="296" t="s">
        <v>1635</v>
      </c>
      <c r="D147" s="56">
        <f>IF(F147="","",SUBTOTAL(3,$F$6:F147))</f>
        <v>141</v>
      </c>
      <c r="E147" s="34" t="s">
        <v>11</v>
      </c>
      <c r="F147" s="107" t="s">
        <v>1731</v>
      </c>
      <c r="G147" s="40" t="s">
        <v>789</v>
      </c>
      <c r="H147" s="83" t="str">
        <f>IF($G147&lt;&gt;"",VLOOKUP($G147,'WPS '!C$5:M$209,3,FALSE),"")</f>
        <v>FCAW</v>
      </c>
      <c r="I147" s="22" t="s">
        <v>1507</v>
      </c>
      <c r="J147" s="77" t="s">
        <v>1407</v>
      </c>
      <c r="K147" s="69" t="s">
        <v>1412</v>
      </c>
      <c r="L147" s="22" t="str">
        <f>IF($G147&lt;&gt;"",VLOOKUP($G147,'WPS '!C$5:M$209,8,FALSE),"")</f>
        <v>E71T-1C</v>
      </c>
      <c r="M147" s="76" t="s">
        <v>1022</v>
      </c>
      <c r="N147" s="21">
        <v>44911</v>
      </c>
      <c r="O147" s="21">
        <v>44921</v>
      </c>
      <c r="P147" s="21">
        <f t="shared" si="5"/>
        <v>46017</v>
      </c>
      <c r="Q147" s="164" t="str">
        <f>IF($G147&lt;&gt;"",VLOOKUP($G147,'WPS '!C$5:M$209,11,FALSE),"")</f>
        <v>AWS D1.1</v>
      </c>
      <c r="R147" s="147" t="str">
        <f>IF($G147&lt;&gt;"",VLOOKUP($G147,'WPS '!$C$5:$M$209,2,FALSE),"")</f>
        <v>OSR-WPS-D1.1-FC-061</v>
      </c>
      <c r="S147" s="30"/>
      <c r="T147" s="30"/>
      <c r="U147" s="30"/>
      <c r="V147" s="30"/>
      <c r="W147" s="30"/>
      <c r="X147" s="30"/>
      <c r="Y147" s="30"/>
      <c r="Z147" s="30"/>
      <c r="AA147" s="30"/>
      <c r="AB147" s="30"/>
      <c r="AC147" s="30"/>
      <c r="AD147" s="30"/>
      <c r="AE147" s="54"/>
      <c r="AF147" s="54"/>
      <c r="AG147" s="153">
        <v>6</v>
      </c>
    </row>
    <row r="148" spans="1:34" s="2" customFormat="1" ht="45" customHeight="1">
      <c r="A148" s="293">
        <f t="shared" si="6"/>
        <v>141</v>
      </c>
      <c r="B148" s="28" t="s">
        <v>326</v>
      </c>
      <c r="C148" s="296" t="s">
        <v>1635</v>
      </c>
      <c r="D148" s="56">
        <f>IF(F148="","",SUBTOTAL(3,$F$6:F148))</f>
        <v>142</v>
      </c>
      <c r="E148" s="34" t="s">
        <v>11</v>
      </c>
      <c r="F148" s="107" t="s">
        <v>1731</v>
      </c>
      <c r="G148" s="40" t="s">
        <v>820</v>
      </c>
      <c r="H148" s="83" t="str">
        <f>IF($G148&lt;&gt;"",VLOOKUP($G148,'WPS '!C$5:M$209,3,FALSE),"")</f>
        <v>FCAW</v>
      </c>
      <c r="I148" s="22" t="s">
        <v>1383</v>
      </c>
      <c r="J148" s="77" t="s">
        <v>1390</v>
      </c>
      <c r="K148" s="69" t="s">
        <v>1480</v>
      </c>
      <c r="L148" s="22" t="str">
        <f>IF($G148&lt;&gt;"",VLOOKUP($G148,'WPS '!C$5:M$209,8,FALSE),"")</f>
        <v>E71T-1C</v>
      </c>
      <c r="M148" s="76" t="s">
        <v>1392</v>
      </c>
      <c r="N148" s="21">
        <v>45684</v>
      </c>
      <c r="O148" s="21">
        <v>45686</v>
      </c>
      <c r="P148" s="21">
        <f t="shared" si="5"/>
        <v>46051</v>
      </c>
      <c r="Q148" s="164" t="str">
        <f>IF($G148&lt;&gt;"",VLOOKUP($G148,'WPS '!C$5:M$209,11,FALSE),"")</f>
        <v>AWS D1.1</v>
      </c>
      <c r="R148" s="147" t="str">
        <f>IF($G148&lt;&gt;"",VLOOKUP($G148,'WPS '!$C$5:$M$209,2,FALSE),"")</f>
        <v>OSR-WPS-D1.1-FC-092</v>
      </c>
      <c r="S148" s="30"/>
      <c r="T148" s="30"/>
      <c r="U148" s="30"/>
      <c r="V148" s="30"/>
      <c r="W148" s="30"/>
      <c r="X148" s="30"/>
      <c r="Y148" s="30"/>
      <c r="Z148" s="30"/>
      <c r="AA148" s="30"/>
      <c r="AB148" s="30"/>
      <c r="AC148" s="30" t="s">
        <v>95</v>
      </c>
      <c r="AD148" s="30" t="s">
        <v>356</v>
      </c>
      <c r="AE148" s="54"/>
      <c r="AF148" s="54" t="s">
        <v>356</v>
      </c>
      <c r="AG148" s="153">
        <v>2</v>
      </c>
    </row>
    <row r="149" spans="1:34" s="2" customFormat="1" ht="45" customHeight="1">
      <c r="A149" s="293">
        <f t="shared" si="6"/>
        <v>142</v>
      </c>
      <c r="B149" s="28" t="s">
        <v>326</v>
      </c>
      <c r="C149" s="296" t="s">
        <v>1635</v>
      </c>
      <c r="D149" s="56">
        <f>IF(F149="","",SUBTOTAL(3,$F$6:F149))</f>
        <v>143</v>
      </c>
      <c r="E149" s="34" t="s">
        <v>11</v>
      </c>
      <c r="F149" s="107" t="s">
        <v>1731</v>
      </c>
      <c r="G149" s="40" t="s">
        <v>1153</v>
      </c>
      <c r="H149" s="83" t="str">
        <f>IF($G149&lt;&gt;"",VLOOKUP($G149,'WPS '!C$5:M$209,3,FALSE),"")</f>
        <v>FCAW</v>
      </c>
      <c r="I149" s="22" t="s">
        <v>1403</v>
      </c>
      <c r="J149" s="77" t="s">
        <v>1214</v>
      </c>
      <c r="K149" s="69" t="s">
        <v>1290</v>
      </c>
      <c r="L149" s="22" t="str">
        <f>IF($G149&lt;&gt;"",VLOOKUP($G149,'WPS '!C$5:M$209,8,FALSE),"")</f>
        <v>E71T-1C</v>
      </c>
      <c r="M149" s="76" t="s">
        <v>1184</v>
      </c>
      <c r="N149" s="21">
        <v>45900</v>
      </c>
      <c r="O149" s="21">
        <v>45906</v>
      </c>
      <c r="P149" s="21">
        <f t="shared" si="5"/>
        <v>46271</v>
      </c>
      <c r="Q149" s="164" t="str">
        <f>IF($G149&lt;&gt;"",VLOOKUP($G149,'WPS '!C$5:M$209,11,FALSE),"")</f>
        <v>AWS D1.1</v>
      </c>
      <c r="R149" s="147" t="str">
        <f>IF($G149&lt;&gt;"",VLOOKUP($G149,'WPS '!$C$5:$M$209,2,FALSE),"")</f>
        <v>OSR-WPS-D1.1-FC-094</v>
      </c>
      <c r="S149" s="30"/>
      <c r="T149" s="30"/>
      <c r="U149" s="30"/>
      <c r="V149" s="30"/>
      <c r="W149" s="30"/>
      <c r="X149" s="30"/>
      <c r="Y149" s="30"/>
      <c r="Z149" s="30"/>
      <c r="AA149" s="30"/>
      <c r="AB149" s="30"/>
      <c r="AC149" s="30" t="s">
        <v>95</v>
      </c>
      <c r="AD149" s="30" t="s">
        <v>356</v>
      </c>
      <c r="AE149" s="54"/>
      <c r="AF149" s="54" t="s">
        <v>356</v>
      </c>
      <c r="AG149" s="153">
        <v>2</v>
      </c>
    </row>
    <row r="150" spans="1:34" ht="45" customHeight="1">
      <c r="A150" s="293">
        <f t="shared" si="6"/>
        <v>143</v>
      </c>
      <c r="B150" s="28" t="s">
        <v>326</v>
      </c>
      <c r="C150" s="296" t="s">
        <v>1635</v>
      </c>
      <c r="D150" s="56">
        <f>IF(F150="","",SUBTOTAL(3,$F$6:F150))</f>
        <v>144</v>
      </c>
      <c r="E150" s="34" t="s">
        <v>11</v>
      </c>
      <c r="F150" s="107" t="s">
        <v>1731</v>
      </c>
      <c r="G150" s="40" t="s">
        <v>1517</v>
      </c>
      <c r="H150" s="83" t="str">
        <f>IF($G150&lt;&gt;"",VLOOKUP($G150,'WPS '!C$5:M$209,3,FALSE),"")</f>
        <v>GTAW
FCAW</v>
      </c>
      <c r="I150" s="22" t="s">
        <v>1383</v>
      </c>
      <c r="J150" s="77" t="s">
        <v>1390</v>
      </c>
      <c r="K150" s="69" t="s">
        <v>1829</v>
      </c>
      <c r="L150" s="22" t="str">
        <f>IF($G150&lt;&gt;"",VLOOKUP($G150,'WPS '!C$5:M$209,8,FALSE),"")</f>
        <v>E70S-G
E71T-1C</v>
      </c>
      <c r="M150" s="76" t="s">
        <v>1523</v>
      </c>
      <c r="N150" s="21">
        <v>45919</v>
      </c>
      <c r="O150" s="21">
        <v>45921</v>
      </c>
      <c r="P150" s="21">
        <f t="shared" si="5"/>
        <v>46286</v>
      </c>
      <c r="Q150" s="164" t="str">
        <f>IF($G150&lt;&gt;"",VLOOKUP($G150,'WPS '!C$5:M$209,11,FALSE),"")</f>
        <v>AWS D1.1</v>
      </c>
      <c r="R150" s="147" t="str">
        <f>IF($G150&lt;&gt;"",VLOOKUP($G150,'WPS '!$C$5:$M$209,2,FALSE),"")</f>
        <v>OSR-WPS-D1.1-GT+FC-109</v>
      </c>
      <c r="S150" s="30"/>
      <c r="T150" s="30"/>
      <c r="U150" s="30"/>
      <c r="V150" s="30"/>
      <c r="W150" s="30"/>
      <c r="X150" s="30"/>
      <c r="Y150" s="30"/>
      <c r="Z150" s="30"/>
      <c r="AA150" s="30"/>
      <c r="AB150" s="30"/>
      <c r="AC150" s="30" t="s">
        <v>356</v>
      </c>
      <c r="AD150" s="30" t="s">
        <v>356</v>
      </c>
      <c r="AE150" s="54"/>
      <c r="AF150" s="54" t="s">
        <v>356</v>
      </c>
      <c r="AG150" s="153">
        <v>2</v>
      </c>
    </row>
    <row r="151" spans="1:34" ht="45" customHeight="1">
      <c r="A151" s="293">
        <f t="shared" si="6"/>
        <v>144</v>
      </c>
      <c r="B151" s="5" t="s">
        <v>1636</v>
      </c>
      <c r="C151" s="296" t="s">
        <v>1635</v>
      </c>
      <c r="D151" s="56">
        <f>IF(F151="","",SUBTOTAL(3,$F$6:F151))</f>
        <v>145</v>
      </c>
      <c r="E151" s="35" t="s">
        <v>208</v>
      </c>
      <c r="F151" s="106" t="s">
        <v>1713</v>
      </c>
      <c r="G151" s="40" t="s">
        <v>701</v>
      </c>
      <c r="H151" s="83">
        <f>IF($G151&lt;&gt;"",VLOOKUP($G151,'WPS '!C$5:M$209,3,FALSE),"")</f>
        <v>136</v>
      </c>
      <c r="I151" s="22" t="s">
        <v>1250</v>
      </c>
      <c r="J151" s="22" t="s">
        <v>257</v>
      </c>
      <c r="K151" s="69" t="s">
        <v>884</v>
      </c>
      <c r="L151" s="22" t="str">
        <f>IF($G151&lt;&gt;"",VLOOKUP($G151,'WPS '!C$5:M$209,8,FALSE),"")</f>
        <v>E81T1-W2C</v>
      </c>
      <c r="M151" s="76" t="s">
        <v>209</v>
      </c>
      <c r="N151" s="21">
        <v>45824</v>
      </c>
      <c r="O151" s="21">
        <v>45827</v>
      </c>
      <c r="P151" s="21">
        <f t="shared" si="5"/>
        <v>46192</v>
      </c>
      <c r="Q151" s="164" t="s">
        <v>1811</v>
      </c>
      <c r="R151" s="147" t="str">
        <f>IF($G151&lt;&gt;"",VLOOKUP($G151,'WPS '!$C$5:$M$209,2,FALSE),"")</f>
        <v>OSR-WPS-ISO-PC-046</v>
      </c>
      <c r="S151" s="30"/>
      <c r="T151" s="30"/>
      <c r="U151" s="30"/>
      <c r="V151" s="30"/>
      <c r="W151" s="30"/>
      <c r="X151" s="30" t="s">
        <v>95</v>
      </c>
      <c r="Y151" s="30"/>
      <c r="Z151" s="30"/>
      <c r="AA151" s="30"/>
      <c r="AB151" s="30"/>
      <c r="AC151" s="30"/>
      <c r="AD151" s="30"/>
      <c r="AE151" s="54"/>
      <c r="AF151" s="54"/>
      <c r="AG151" s="66">
        <v>2</v>
      </c>
      <c r="AH151" s="115"/>
    </row>
    <row r="152" spans="1:34" s="2" customFormat="1" ht="45" customHeight="1">
      <c r="A152" s="293">
        <f t="shared" si="6"/>
        <v>145</v>
      </c>
      <c r="B152" s="28" t="s">
        <v>1636</v>
      </c>
      <c r="C152" s="295" t="s">
        <v>1635</v>
      </c>
      <c r="D152" s="56">
        <f>IF(F152="","",SUBTOTAL(3,$F$6:F152))</f>
        <v>146</v>
      </c>
      <c r="E152" s="34" t="s">
        <v>208</v>
      </c>
      <c r="F152" s="107" t="s">
        <v>1713</v>
      </c>
      <c r="G152" s="39" t="s">
        <v>718</v>
      </c>
      <c r="H152" s="83" t="str">
        <f>IF($G152&lt;&gt;"",VLOOKUP($G152,'WPS '!C$5:M$209,3,FALSE),"")</f>
        <v>FCAW</v>
      </c>
      <c r="I152" s="22" t="s">
        <v>849</v>
      </c>
      <c r="J152" s="22" t="s">
        <v>1390</v>
      </c>
      <c r="K152" s="69" t="s">
        <v>247</v>
      </c>
      <c r="L152" s="22" t="str">
        <f>IF($G152&lt;&gt;"",VLOOKUP($G152,'WPS '!C$5:M$209,8,FALSE),"")</f>
        <v>E71T-1C</v>
      </c>
      <c r="M152" s="76" t="s">
        <v>267</v>
      </c>
      <c r="N152" s="21">
        <v>45863</v>
      </c>
      <c r="O152" s="21">
        <v>45865</v>
      </c>
      <c r="P152" s="21">
        <f t="shared" si="5"/>
        <v>46230</v>
      </c>
      <c r="Q152" s="164" t="str">
        <f>IF($G152&lt;&gt;"",VLOOKUP($G152,'WPS '!C$5:M$209,11,FALSE),"")</f>
        <v>ASME IX</v>
      </c>
      <c r="R152" s="147" t="str">
        <f>IF($G152&lt;&gt;"",VLOOKUP($G152,'WPS '!$C$5:$M$209,2,FALSE),"")</f>
        <v>OSR-WPS-ASME-FC-001</v>
      </c>
      <c r="S152" s="30" t="s">
        <v>356</v>
      </c>
      <c r="T152" s="30"/>
      <c r="U152" s="30"/>
      <c r="V152" s="30"/>
      <c r="W152" s="62"/>
      <c r="X152" s="30"/>
      <c r="Y152" s="31"/>
      <c r="Z152" s="31"/>
      <c r="AA152" s="31"/>
      <c r="AB152" s="62"/>
      <c r="AC152" s="62"/>
      <c r="AD152" s="62"/>
      <c r="AE152" s="146"/>
      <c r="AF152" s="146"/>
      <c r="AG152" s="67">
        <v>2</v>
      </c>
      <c r="AH152" s="18"/>
    </row>
    <row r="153" spans="1:34" s="2" customFormat="1" ht="45" customHeight="1">
      <c r="A153" s="293">
        <f t="shared" si="6"/>
        <v>146</v>
      </c>
      <c r="B153" s="28" t="s">
        <v>1636</v>
      </c>
      <c r="C153" s="295" t="s">
        <v>1635</v>
      </c>
      <c r="D153" s="56">
        <f>IF(F153="","",SUBTOTAL(3,$F$6:F153))</f>
        <v>147</v>
      </c>
      <c r="E153" s="34" t="s">
        <v>208</v>
      </c>
      <c r="F153" s="107" t="s">
        <v>1713</v>
      </c>
      <c r="G153" s="39" t="s">
        <v>719</v>
      </c>
      <c r="H153" s="83" t="str">
        <f>IF($G153&lt;&gt;"",VLOOKUP($G153,'WPS '!C$5:M$209,3,FALSE),"")</f>
        <v>FCAW</v>
      </c>
      <c r="I153" s="22" t="s">
        <v>849</v>
      </c>
      <c r="J153" s="22" t="s">
        <v>1215</v>
      </c>
      <c r="K153" s="69" t="s">
        <v>964</v>
      </c>
      <c r="L153" s="22" t="str">
        <f>IF($G153&lt;&gt;"",VLOOKUP($G153,'WPS '!C$5:M$209,8,FALSE),"")</f>
        <v>E71T-1C</v>
      </c>
      <c r="M153" s="76" t="s">
        <v>837</v>
      </c>
      <c r="N153" s="21">
        <v>45871</v>
      </c>
      <c r="O153" s="21">
        <v>45873</v>
      </c>
      <c r="P153" s="21">
        <f t="shared" si="5"/>
        <v>46238</v>
      </c>
      <c r="Q153" s="164" t="str">
        <f>IF($G153&lt;&gt;"",VLOOKUP($G153,'WPS '!C$5:M$209,11,FALSE),"")</f>
        <v>ASME IX</v>
      </c>
      <c r="R153" s="147" t="str">
        <f>IF($G153&lt;&gt;"",VLOOKUP($G153,'WPS '!$C$5:$M$209,2,FALSE),"")</f>
        <v>OSR-WPS-ASME-FC-002</v>
      </c>
      <c r="S153" s="30" t="s">
        <v>356</v>
      </c>
      <c r="T153" s="30"/>
      <c r="U153" s="30"/>
      <c r="V153" s="30"/>
      <c r="W153" s="62"/>
      <c r="X153" s="30"/>
      <c r="Y153" s="31"/>
      <c r="Z153" s="31"/>
      <c r="AA153" s="31"/>
      <c r="AB153" s="62"/>
      <c r="AC153" s="62"/>
      <c r="AD153" s="62"/>
      <c r="AE153" s="146"/>
      <c r="AF153" s="146"/>
      <c r="AG153" s="67">
        <v>2</v>
      </c>
      <c r="AH153" s="18"/>
    </row>
    <row r="154" spans="1:34" s="2" customFormat="1" ht="45" customHeight="1">
      <c r="A154" s="293">
        <f t="shared" si="6"/>
        <v>147</v>
      </c>
      <c r="B154" s="28" t="s">
        <v>1636</v>
      </c>
      <c r="C154" s="295" t="s">
        <v>1635</v>
      </c>
      <c r="D154" s="56">
        <f>IF(F154="","",SUBTOTAL(3,$F$6:F154))</f>
        <v>148</v>
      </c>
      <c r="E154" s="34" t="s">
        <v>208</v>
      </c>
      <c r="F154" s="107" t="s">
        <v>1713</v>
      </c>
      <c r="G154" s="39" t="s">
        <v>727</v>
      </c>
      <c r="H154" s="83" t="str">
        <f>IF($G154&lt;&gt;"",VLOOKUP($G154,'WPS '!C$5:M$209,3,FALSE),"")</f>
        <v>GMAW</v>
      </c>
      <c r="I154" s="22" t="s">
        <v>849</v>
      </c>
      <c r="J154" s="22" t="s">
        <v>1472</v>
      </c>
      <c r="K154" s="69" t="s">
        <v>105</v>
      </c>
      <c r="L154" s="22" t="str">
        <f>IF($G154&lt;&gt;"",VLOOKUP($G154,'WPS '!C$5:M$209,8,FALSE),"")</f>
        <v>ER309</v>
      </c>
      <c r="M154" s="76" t="s">
        <v>268</v>
      </c>
      <c r="N154" s="21">
        <v>45863</v>
      </c>
      <c r="O154" s="21">
        <v>45865</v>
      </c>
      <c r="P154" s="21">
        <f t="shared" si="5"/>
        <v>46230</v>
      </c>
      <c r="Q154" s="164" t="str">
        <f>IF($G154&lt;&gt;"",VLOOKUP($G154,'WPS '!C$5:M$209,11,FALSE),"")</f>
        <v>ASME IX</v>
      </c>
      <c r="R154" s="147" t="str">
        <f>IF($G154&lt;&gt;"",VLOOKUP($G154,'WPS '!$C$5:$M$209,2,FALSE),"")</f>
        <v>OSR-WPS-ASME-GM-010</v>
      </c>
      <c r="S154" s="30" t="s">
        <v>356</v>
      </c>
      <c r="T154" s="30"/>
      <c r="U154" s="30"/>
      <c r="V154" s="30"/>
      <c r="W154" s="62"/>
      <c r="X154" s="30"/>
      <c r="Y154" s="31"/>
      <c r="Z154" s="31"/>
      <c r="AA154" s="31"/>
      <c r="AB154" s="62"/>
      <c r="AC154" s="62"/>
      <c r="AD154" s="62"/>
      <c r="AE154" s="146"/>
      <c r="AF154" s="146"/>
      <c r="AG154" s="67">
        <v>2</v>
      </c>
      <c r="AH154" s="28" t="s">
        <v>1533</v>
      </c>
    </row>
    <row r="155" spans="1:34" s="2" customFormat="1" ht="45" customHeight="1">
      <c r="A155" s="293">
        <f t="shared" si="6"/>
        <v>148</v>
      </c>
      <c r="B155" s="5" t="s">
        <v>1634</v>
      </c>
      <c r="C155" s="5" t="s">
        <v>328</v>
      </c>
      <c r="D155" s="56">
        <f>IF(F155="","",SUBTOTAL(3,$F$6:F155))</f>
        <v>149</v>
      </c>
      <c r="E155" s="35" t="s">
        <v>194</v>
      </c>
      <c r="F155" s="112" t="s">
        <v>1704</v>
      </c>
      <c r="G155" s="40" t="s">
        <v>700</v>
      </c>
      <c r="H155" s="83">
        <f>IF($G155&lt;&gt;"",VLOOKUP($G155,'WPS '!C$5:M$209,3,FALSE),"")</f>
        <v>136</v>
      </c>
      <c r="I155" s="22" t="s">
        <v>1250</v>
      </c>
      <c r="J155" s="22" t="s">
        <v>242</v>
      </c>
      <c r="K155" s="69" t="s">
        <v>884</v>
      </c>
      <c r="L155" s="22" t="str">
        <f>IF($G155&lt;&gt;"",VLOOKUP($G155,'WPS '!C$5:M$209,8,FALSE),"")</f>
        <v>E81T1-W2C</v>
      </c>
      <c r="M155" s="76" t="s">
        <v>195</v>
      </c>
      <c r="N155" s="21">
        <v>45804</v>
      </c>
      <c r="O155" s="21">
        <v>45807</v>
      </c>
      <c r="P155" s="21">
        <f t="shared" si="5"/>
        <v>46172</v>
      </c>
      <c r="Q155" s="164" t="s">
        <v>1811</v>
      </c>
      <c r="R155" s="147" t="str">
        <f>IF($G155&lt;&gt;"",VLOOKUP($G155,'WPS '!$C$5:$M$209,2,FALSE),"")</f>
        <v>OSR-WPS-ISO-PF-045</v>
      </c>
      <c r="S155" s="30"/>
      <c r="T155" s="30"/>
      <c r="U155" s="30"/>
      <c r="V155" s="30"/>
      <c r="W155" s="30"/>
      <c r="X155" s="30" t="s">
        <v>95</v>
      </c>
      <c r="Y155" s="30"/>
      <c r="Z155" s="30"/>
      <c r="AA155" s="30"/>
      <c r="AB155" s="30"/>
      <c r="AC155" s="30"/>
      <c r="AD155" s="30"/>
      <c r="AE155" s="54"/>
      <c r="AF155" s="54"/>
      <c r="AG155" s="66">
        <v>2</v>
      </c>
      <c r="AH155" s="115"/>
    </row>
    <row r="156" spans="1:34" s="2" customFormat="1" ht="45" customHeight="1">
      <c r="A156" s="293">
        <f t="shared" si="6"/>
        <v>149</v>
      </c>
      <c r="B156" s="5" t="s">
        <v>1634</v>
      </c>
      <c r="C156" s="5" t="s">
        <v>328</v>
      </c>
      <c r="D156" s="56">
        <f>IF(F156="","",SUBTOTAL(3,$F$6:F156))</f>
        <v>150</v>
      </c>
      <c r="E156" s="35" t="s">
        <v>198</v>
      </c>
      <c r="F156" s="106" t="s">
        <v>1700</v>
      </c>
      <c r="G156" s="40" t="s">
        <v>701</v>
      </c>
      <c r="H156" s="83">
        <f>IF($G156&lt;&gt;"",VLOOKUP($G156,'WPS '!C$5:M$209,3,FALSE),"")</f>
        <v>136</v>
      </c>
      <c r="I156" s="22" t="s">
        <v>1250</v>
      </c>
      <c r="J156" s="22" t="s">
        <v>257</v>
      </c>
      <c r="K156" s="69" t="s">
        <v>884</v>
      </c>
      <c r="L156" s="22" t="str">
        <f>IF($G156&lt;&gt;"",VLOOKUP($G156,'WPS '!C$5:M$209,8,FALSE),"")</f>
        <v>E81T1-W2C</v>
      </c>
      <c r="M156" s="76" t="s">
        <v>199</v>
      </c>
      <c r="N156" s="21">
        <v>45808</v>
      </c>
      <c r="O156" s="21">
        <v>45812</v>
      </c>
      <c r="P156" s="21">
        <f t="shared" si="5"/>
        <v>46177</v>
      </c>
      <c r="Q156" s="164" t="s">
        <v>1811</v>
      </c>
      <c r="R156" s="147" t="str">
        <f>IF($G156&lt;&gt;"",VLOOKUP($G156,'WPS '!$C$5:$M$209,2,FALSE),"")</f>
        <v>OSR-WPS-ISO-PC-046</v>
      </c>
      <c r="S156" s="30"/>
      <c r="T156" s="30"/>
      <c r="U156" s="30"/>
      <c r="V156" s="30"/>
      <c r="W156" s="30"/>
      <c r="X156" s="30" t="s">
        <v>95</v>
      </c>
      <c r="Y156" s="30"/>
      <c r="Z156" s="30"/>
      <c r="AA156" s="30"/>
      <c r="AB156" s="30"/>
      <c r="AC156" s="30"/>
      <c r="AD156" s="30"/>
      <c r="AE156" s="54"/>
      <c r="AF156" s="54"/>
      <c r="AG156" s="66">
        <v>2</v>
      </c>
      <c r="AH156" s="115"/>
    </row>
    <row r="157" spans="1:34" s="2" customFormat="1" ht="45" customHeight="1">
      <c r="A157" s="293">
        <f t="shared" si="6"/>
        <v>150</v>
      </c>
      <c r="B157" s="28" t="s">
        <v>246</v>
      </c>
      <c r="C157" s="28" t="s">
        <v>328</v>
      </c>
      <c r="D157" s="56">
        <f>IF(F157="","",SUBTOTAL(3,$F$6:F157))</f>
        <v>151</v>
      </c>
      <c r="E157" s="34" t="s">
        <v>234</v>
      </c>
      <c r="F157" s="107" t="s">
        <v>1760</v>
      </c>
      <c r="G157" s="39" t="s">
        <v>718</v>
      </c>
      <c r="H157" s="83" t="str">
        <f>IF($G157&lt;&gt;"",VLOOKUP($G157,'WPS '!C$5:M$209,3,FALSE),"")</f>
        <v>FCAW</v>
      </c>
      <c r="I157" s="22" t="s">
        <v>851</v>
      </c>
      <c r="J157" s="22" t="s">
        <v>1390</v>
      </c>
      <c r="K157" s="69" t="s">
        <v>116</v>
      </c>
      <c r="L157" s="22" t="str">
        <f>IF($G157&lt;&gt;"",VLOOKUP($G157,'WPS '!C$5:M$209,8,FALSE),"")</f>
        <v>E71T-1C</v>
      </c>
      <c r="M157" s="76" t="s">
        <v>295</v>
      </c>
      <c r="N157" s="21">
        <v>45852</v>
      </c>
      <c r="O157" s="21">
        <v>45857</v>
      </c>
      <c r="P157" s="21">
        <f t="shared" si="5"/>
        <v>46222</v>
      </c>
      <c r="Q157" s="164" t="str">
        <f>IF($G157&lt;&gt;"",VLOOKUP($G157,'WPS '!C$5:M$209,11,FALSE),"")</f>
        <v>ASME IX</v>
      </c>
      <c r="R157" s="147" t="str">
        <f>IF($G157&lt;&gt;"",VLOOKUP($G157,'WPS '!$C$5:$M$209,2,FALSE),"")</f>
        <v>OSR-WPS-ASME-FC-001</v>
      </c>
      <c r="S157" s="30" t="s">
        <v>356</v>
      </c>
      <c r="T157" s="30"/>
      <c r="U157" s="30"/>
      <c r="V157" s="30"/>
      <c r="W157" s="62"/>
      <c r="X157" s="30"/>
      <c r="Y157" s="31"/>
      <c r="Z157" s="31"/>
      <c r="AA157" s="31"/>
      <c r="AB157" s="62"/>
      <c r="AC157" s="62"/>
      <c r="AD157" s="62"/>
      <c r="AE157" s="146"/>
      <c r="AF157" s="146"/>
      <c r="AG157" s="67">
        <v>2</v>
      </c>
      <c r="AH157" s="18"/>
    </row>
    <row r="158" spans="1:34" s="2" customFormat="1" ht="45" customHeight="1">
      <c r="A158" s="293">
        <f t="shared" si="6"/>
        <v>151</v>
      </c>
      <c r="B158" s="28" t="s">
        <v>246</v>
      </c>
      <c r="C158" s="28" t="s">
        <v>328</v>
      </c>
      <c r="D158" s="56">
        <f>IF(F158="","",SUBTOTAL(3,$F$6:F158))</f>
        <v>152</v>
      </c>
      <c r="E158" s="34" t="s">
        <v>234</v>
      </c>
      <c r="F158" s="107" t="s">
        <v>1760</v>
      </c>
      <c r="G158" s="39" t="s">
        <v>724</v>
      </c>
      <c r="H158" s="83" t="str">
        <f>IF($G158&lt;&gt;"",VLOOKUP($G158,'WPS '!C$5:M$209,3,FALSE),"")</f>
        <v>SMAW</v>
      </c>
      <c r="I158" s="22" t="s">
        <v>853</v>
      </c>
      <c r="J158" s="22" t="s">
        <v>1472</v>
      </c>
      <c r="K158" s="69" t="s">
        <v>1570</v>
      </c>
      <c r="L158" s="22" t="str">
        <f>IF($G158&lt;&gt;"",VLOOKUP($G158,'WPS '!C$5:M$209,8,FALSE),"")</f>
        <v>ERNiCr 3</v>
      </c>
      <c r="M158" s="76" t="s">
        <v>1574</v>
      </c>
      <c r="N158" s="21">
        <v>45852</v>
      </c>
      <c r="O158" s="21">
        <v>45854</v>
      </c>
      <c r="P158" s="21">
        <f t="shared" si="5"/>
        <v>46219</v>
      </c>
      <c r="Q158" s="164" t="str">
        <f>IF($G158&lt;&gt;"",VLOOKUP($G158,'WPS '!C$5:M$209,11,FALSE),"")</f>
        <v>ASME IX</v>
      </c>
      <c r="R158" s="147" t="str">
        <f>IF($G158&lt;&gt;"",VLOOKUP($G158,'WPS '!$C$5:$M$209,2,FALSE),"")</f>
        <v>OSR-WPS-ASME-SM-007</v>
      </c>
      <c r="S158" s="30" t="s">
        <v>356</v>
      </c>
      <c r="T158" s="30"/>
      <c r="U158" s="30"/>
      <c r="V158" s="30"/>
      <c r="W158" s="62"/>
      <c r="X158" s="30"/>
      <c r="Y158" s="31"/>
      <c r="Z158" s="31"/>
      <c r="AA158" s="31"/>
      <c r="AB158" s="62"/>
      <c r="AC158" s="62"/>
      <c r="AD158" s="62"/>
      <c r="AE158" s="146"/>
      <c r="AF158" s="146"/>
      <c r="AG158" s="67">
        <v>2</v>
      </c>
      <c r="AH158" s="18"/>
    </row>
    <row r="159" spans="1:34" s="2" customFormat="1" ht="45" customHeight="1">
      <c r="A159" s="293">
        <f t="shared" si="6"/>
        <v>152</v>
      </c>
      <c r="B159" s="5" t="s">
        <v>246</v>
      </c>
      <c r="C159" s="28" t="s">
        <v>328</v>
      </c>
      <c r="D159" s="56">
        <f>IF(F159="","",SUBTOTAL(3,$F$6:F159))</f>
        <v>153</v>
      </c>
      <c r="E159" s="35" t="s">
        <v>1530</v>
      </c>
      <c r="F159" s="106" t="s">
        <v>1742</v>
      </c>
      <c r="G159" s="40" t="s">
        <v>718</v>
      </c>
      <c r="H159" s="83" t="str">
        <f>IF($G159&lt;&gt;"",VLOOKUP($G159,'WPS '!C$5:M$209,3,FALSE),"")</f>
        <v>FCAW</v>
      </c>
      <c r="I159" s="22" t="s">
        <v>849</v>
      </c>
      <c r="J159" s="22" t="s">
        <v>1390</v>
      </c>
      <c r="K159" s="69" t="s">
        <v>105</v>
      </c>
      <c r="L159" s="22" t="str">
        <f>IF($G159&lt;&gt;"",VLOOKUP($G159,'WPS '!C$5:M$209,8,FALSE),"")</f>
        <v>E71T-1C</v>
      </c>
      <c r="M159" s="76" t="s">
        <v>1531</v>
      </c>
      <c r="N159" s="21">
        <v>45923</v>
      </c>
      <c r="O159" s="21">
        <v>45925</v>
      </c>
      <c r="P159" s="21">
        <f t="shared" si="5"/>
        <v>46290</v>
      </c>
      <c r="Q159" s="164" t="str">
        <f>IF($G159&lt;&gt;"",VLOOKUP($G159,'WPS '!C$5:M$209,11,FALSE),"")</f>
        <v>ASME IX</v>
      </c>
      <c r="R159" s="147" t="str">
        <f>IF($G159&lt;&gt;"",VLOOKUP($G159,'WPS '!$C$5:$M$209,2,FALSE),"")</f>
        <v>OSR-WPS-ASME-FC-001</v>
      </c>
      <c r="S159" s="30" t="s">
        <v>356</v>
      </c>
      <c r="T159" s="30"/>
      <c r="U159" s="30"/>
      <c r="V159" s="30"/>
      <c r="W159" s="30"/>
      <c r="X159" s="30"/>
      <c r="Y159" s="30"/>
      <c r="Z159" s="30"/>
      <c r="AA159" s="30"/>
      <c r="AB159" s="30"/>
      <c r="AC159" s="30"/>
      <c r="AD159" s="30"/>
      <c r="AE159" s="54"/>
      <c r="AF159" s="54"/>
      <c r="AG159" s="66">
        <v>2</v>
      </c>
      <c r="AH159" s="115"/>
    </row>
    <row r="160" spans="1:34" s="2" customFormat="1" ht="45" customHeight="1">
      <c r="A160" s="293">
        <f t="shared" si="6"/>
        <v>153</v>
      </c>
      <c r="B160" s="5" t="s">
        <v>1634</v>
      </c>
      <c r="C160" s="5" t="s">
        <v>328</v>
      </c>
      <c r="D160" s="56">
        <f>IF(F160="","",SUBTOTAL(3,$F$6:F160))</f>
        <v>154</v>
      </c>
      <c r="E160" s="36" t="s">
        <v>183</v>
      </c>
      <c r="F160" s="106" t="s">
        <v>1753</v>
      </c>
      <c r="G160" s="40" t="s">
        <v>700</v>
      </c>
      <c r="H160" s="83">
        <f>IF($G160&lt;&gt;"",VLOOKUP($G160,'WPS '!C$5:M$209,3,FALSE),"")</f>
        <v>136</v>
      </c>
      <c r="I160" s="22" t="s">
        <v>1250</v>
      </c>
      <c r="J160" s="22" t="s">
        <v>242</v>
      </c>
      <c r="K160" s="69" t="s">
        <v>884</v>
      </c>
      <c r="L160" s="22" t="str">
        <f>IF($G160&lt;&gt;"",VLOOKUP($G160,'WPS '!C$5:M$209,8,FALSE),"")</f>
        <v>E81T1-W2C</v>
      </c>
      <c r="M160" s="76" t="s">
        <v>184</v>
      </c>
      <c r="N160" s="21">
        <v>45785</v>
      </c>
      <c r="O160" s="21">
        <v>45787</v>
      </c>
      <c r="P160" s="21">
        <f t="shared" si="5"/>
        <v>46152</v>
      </c>
      <c r="Q160" s="164" t="s">
        <v>1811</v>
      </c>
      <c r="R160" s="147" t="str">
        <f>IF($G160&lt;&gt;"",VLOOKUP($G160,'WPS '!$C$5:$M$209,2,FALSE),"")</f>
        <v>OSR-WPS-ISO-PF-045</v>
      </c>
      <c r="S160" s="30"/>
      <c r="T160" s="30"/>
      <c r="U160" s="30"/>
      <c r="V160" s="30"/>
      <c r="W160" s="30"/>
      <c r="X160" s="30" t="s">
        <v>95</v>
      </c>
      <c r="Y160" s="30"/>
      <c r="Z160" s="30"/>
      <c r="AA160" s="30"/>
      <c r="AB160" s="30"/>
      <c r="AC160" s="30"/>
      <c r="AD160" s="30"/>
      <c r="AE160" s="54"/>
      <c r="AF160" s="54"/>
      <c r="AG160" s="66">
        <v>2</v>
      </c>
      <c r="AH160" s="115"/>
    </row>
    <row r="161" spans="1:34" s="2" customFormat="1" ht="45" customHeight="1">
      <c r="A161" s="293">
        <f t="shared" si="6"/>
        <v>154</v>
      </c>
      <c r="B161" s="28" t="s">
        <v>1634</v>
      </c>
      <c r="C161" s="28" t="s">
        <v>328</v>
      </c>
      <c r="D161" s="56">
        <f>IF(F161="","",SUBTOTAL(3,$F$6:F161))</f>
        <v>155</v>
      </c>
      <c r="E161" s="37" t="s">
        <v>215</v>
      </c>
      <c r="F161" s="109" t="s">
        <v>1776</v>
      </c>
      <c r="G161" s="40" t="s">
        <v>661</v>
      </c>
      <c r="H161" s="83">
        <f>IF($G161&lt;&gt;"",VLOOKUP($G161,'WPS '!C$5:M$209,3,FALSE),"")</f>
        <v>136</v>
      </c>
      <c r="I161" s="22" t="s">
        <v>1250</v>
      </c>
      <c r="J161" s="24" t="s">
        <v>242</v>
      </c>
      <c r="K161" s="70" t="s">
        <v>884</v>
      </c>
      <c r="L161" s="22" t="str">
        <f>IF($G161&lt;&gt;"",VLOOKUP($G161,'WPS '!C$5:M$209,8,FALSE),"")</f>
        <v>E71T-1C</v>
      </c>
      <c r="M161" s="76" t="s">
        <v>216</v>
      </c>
      <c r="N161" s="23">
        <v>45836</v>
      </c>
      <c r="O161" s="23">
        <v>45839</v>
      </c>
      <c r="P161" s="21">
        <f t="shared" si="5"/>
        <v>46204</v>
      </c>
      <c r="Q161" s="164" t="s">
        <v>1811</v>
      </c>
      <c r="R161" s="147" t="str">
        <f>IF($G161&lt;&gt;"",VLOOKUP($G161,'WPS '!$C$5:$M$209,2,FALSE),"")</f>
        <v>OSR-WPS-ISO-PC+PF-005</v>
      </c>
      <c r="S161" s="30"/>
      <c r="T161" s="30"/>
      <c r="U161" s="30"/>
      <c r="V161" s="30"/>
      <c r="W161" s="30"/>
      <c r="X161" s="30"/>
      <c r="Y161" s="30"/>
      <c r="Z161" s="30"/>
      <c r="AA161" s="30"/>
      <c r="AB161" s="30"/>
      <c r="AC161" s="30"/>
      <c r="AD161" s="30"/>
      <c r="AE161" s="54"/>
      <c r="AF161" s="54"/>
      <c r="AG161" s="66">
        <v>2</v>
      </c>
      <c r="AH161" s="115"/>
    </row>
    <row r="162" spans="1:34" s="2" customFormat="1" ht="45" customHeight="1">
      <c r="A162" s="293">
        <f t="shared" si="6"/>
        <v>155</v>
      </c>
      <c r="B162" s="28" t="s">
        <v>1634</v>
      </c>
      <c r="C162" s="28" t="s">
        <v>328</v>
      </c>
      <c r="D162" s="56">
        <f>IF(F162="","",SUBTOTAL(3,$F$6:F162))</f>
        <v>156</v>
      </c>
      <c r="E162" s="34" t="s">
        <v>215</v>
      </c>
      <c r="F162" s="107" t="s">
        <v>1776</v>
      </c>
      <c r="G162" s="39" t="s">
        <v>719</v>
      </c>
      <c r="H162" s="83" t="str">
        <f>IF($G162&lt;&gt;"",VLOOKUP($G162,'WPS '!C$5:M$209,3,FALSE),"")</f>
        <v>FCAW</v>
      </c>
      <c r="I162" s="22" t="s">
        <v>850</v>
      </c>
      <c r="J162" s="22" t="s">
        <v>107</v>
      </c>
      <c r="K162" s="69" t="s">
        <v>964</v>
      </c>
      <c r="L162" s="22" t="str">
        <f>IF($G162&lt;&gt;"",VLOOKUP($G162,'WPS '!C$5:M$209,8,FALSE),"")</f>
        <v>E71T-1C</v>
      </c>
      <c r="M162" s="76" t="s">
        <v>276</v>
      </c>
      <c r="N162" s="21">
        <v>45836</v>
      </c>
      <c r="O162" s="21">
        <v>45839</v>
      </c>
      <c r="P162" s="21">
        <f t="shared" si="5"/>
        <v>46204</v>
      </c>
      <c r="Q162" s="164" t="str">
        <f>IF($G162&lt;&gt;"",VLOOKUP($G162,'WPS '!C$5:M$209,11,FALSE),"")</f>
        <v>ASME IX</v>
      </c>
      <c r="R162" s="147" t="str">
        <f>IF($G162&lt;&gt;"",VLOOKUP($G162,'WPS '!$C$5:$M$209,2,FALSE),"")</f>
        <v>OSR-WPS-ASME-FC-002</v>
      </c>
      <c r="S162" s="30"/>
      <c r="T162" s="30"/>
      <c r="U162" s="30"/>
      <c r="V162" s="30"/>
      <c r="W162" s="62"/>
      <c r="X162" s="30"/>
      <c r="Y162" s="31"/>
      <c r="Z162" s="31"/>
      <c r="AA162" s="31"/>
      <c r="AB162" s="62"/>
      <c r="AC162" s="62"/>
      <c r="AD162" s="62"/>
      <c r="AE162" s="146"/>
      <c r="AF162" s="146"/>
      <c r="AG162" s="67">
        <v>2</v>
      </c>
      <c r="AH162" s="18"/>
    </row>
    <row r="163" spans="1:34" s="2" customFormat="1" ht="45" customHeight="1">
      <c r="A163" s="293">
        <f t="shared" si="6"/>
        <v>156</v>
      </c>
      <c r="B163" s="5" t="s">
        <v>1634</v>
      </c>
      <c r="C163" s="5" t="s">
        <v>328</v>
      </c>
      <c r="D163" s="56">
        <f>IF(F163="","",SUBTOTAL(3,$F$6:F163))</f>
        <v>157</v>
      </c>
      <c r="E163" s="36" t="s">
        <v>128</v>
      </c>
      <c r="F163" s="106" t="s">
        <v>1729</v>
      </c>
      <c r="G163" s="40" t="s">
        <v>700</v>
      </c>
      <c r="H163" s="83">
        <f>IF($G163&lt;&gt;"",VLOOKUP($G163,'WPS '!C$5:M$209,3,FALSE),"")</f>
        <v>136</v>
      </c>
      <c r="I163" s="22" t="s">
        <v>1250</v>
      </c>
      <c r="J163" s="22" t="s">
        <v>242</v>
      </c>
      <c r="K163" s="69" t="s">
        <v>884</v>
      </c>
      <c r="L163" s="22" t="str">
        <f>IF($G163&lt;&gt;"",VLOOKUP($G163,'WPS '!C$5:M$209,8,FALSE),"")</f>
        <v>E81T1-W2C</v>
      </c>
      <c r="M163" s="76" t="s">
        <v>177</v>
      </c>
      <c r="N163" s="21">
        <v>45782</v>
      </c>
      <c r="O163" s="21">
        <v>45787</v>
      </c>
      <c r="P163" s="21">
        <f t="shared" si="5"/>
        <v>46152</v>
      </c>
      <c r="Q163" s="164" t="s">
        <v>1811</v>
      </c>
      <c r="R163" s="147" t="str">
        <f>IF($G163&lt;&gt;"",VLOOKUP($G163,'WPS '!$C$5:$M$209,2,FALSE),"")</f>
        <v>OSR-WPS-ISO-PF-045</v>
      </c>
      <c r="S163" s="30"/>
      <c r="T163" s="30"/>
      <c r="U163" s="30"/>
      <c r="V163" s="30"/>
      <c r="W163" s="30"/>
      <c r="X163" s="30" t="s">
        <v>95</v>
      </c>
      <c r="Y163" s="30"/>
      <c r="Z163" s="30"/>
      <c r="AA163" s="30"/>
      <c r="AB163" s="30"/>
      <c r="AC163" s="30"/>
      <c r="AD163" s="30"/>
      <c r="AE163" s="54"/>
      <c r="AF163" s="54"/>
      <c r="AG163" s="66">
        <v>2</v>
      </c>
      <c r="AH163" s="115"/>
    </row>
    <row r="164" spans="1:34" s="2" customFormat="1" ht="45" customHeight="1">
      <c r="A164" s="293">
        <f t="shared" si="6"/>
        <v>157</v>
      </c>
      <c r="B164" s="5" t="s">
        <v>1634</v>
      </c>
      <c r="C164" s="5" t="s">
        <v>328</v>
      </c>
      <c r="D164" s="56">
        <f>IF(F164="","",SUBTOTAL(3,$F$6:F164))</f>
        <v>158</v>
      </c>
      <c r="E164" s="36" t="s">
        <v>169</v>
      </c>
      <c r="F164" s="106" t="s">
        <v>1733</v>
      </c>
      <c r="G164" s="40" t="s">
        <v>700</v>
      </c>
      <c r="H164" s="83">
        <f>IF($G164&lt;&gt;"",VLOOKUP($G164,'WPS '!C$5:M$209,3,FALSE),"")</f>
        <v>136</v>
      </c>
      <c r="I164" s="22" t="s">
        <v>1250</v>
      </c>
      <c r="J164" s="22" t="s">
        <v>242</v>
      </c>
      <c r="K164" s="69" t="s">
        <v>884</v>
      </c>
      <c r="L164" s="22" t="str">
        <f>IF($G164&lt;&gt;"",VLOOKUP($G164,'WPS '!C$5:M$209,8,FALSE),"")</f>
        <v>E81T1-W2C</v>
      </c>
      <c r="M164" s="76" t="s">
        <v>170</v>
      </c>
      <c r="N164" s="21">
        <v>45745</v>
      </c>
      <c r="O164" s="21">
        <v>45747</v>
      </c>
      <c r="P164" s="21">
        <f t="shared" si="5"/>
        <v>46112</v>
      </c>
      <c r="Q164" s="164" t="s">
        <v>1811</v>
      </c>
      <c r="R164" s="147" t="str">
        <f>IF($G164&lt;&gt;"",VLOOKUP($G164,'WPS '!$C$5:$M$209,2,FALSE),"")</f>
        <v>OSR-WPS-ISO-PF-045</v>
      </c>
      <c r="S164" s="30"/>
      <c r="T164" s="30"/>
      <c r="U164" s="30"/>
      <c r="V164" s="30"/>
      <c r="W164" s="30"/>
      <c r="X164" s="30" t="s">
        <v>95</v>
      </c>
      <c r="Y164" s="30"/>
      <c r="Z164" s="30"/>
      <c r="AA164" s="30"/>
      <c r="AB164" s="30"/>
      <c r="AC164" s="30"/>
      <c r="AD164" s="30"/>
      <c r="AE164" s="54"/>
      <c r="AF164" s="54"/>
      <c r="AG164" s="66">
        <v>2</v>
      </c>
      <c r="AH164" s="115"/>
    </row>
    <row r="165" spans="1:34" s="2" customFormat="1" ht="45" customHeight="1">
      <c r="A165" s="293">
        <f t="shared" si="6"/>
        <v>158</v>
      </c>
      <c r="B165" s="5" t="s">
        <v>1634</v>
      </c>
      <c r="C165" s="5" t="s">
        <v>328</v>
      </c>
      <c r="D165" s="56">
        <f>IF(F165="","",SUBTOTAL(3,$F$6:F165))</f>
        <v>159</v>
      </c>
      <c r="E165" s="36" t="s">
        <v>169</v>
      </c>
      <c r="F165" s="106" t="s">
        <v>1733</v>
      </c>
      <c r="G165" s="40" t="s">
        <v>662</v>
      </c>
      <c r="H165" s="83">
        <f>IF($G165&lt;&gt;"",VLOOKUP($G165,'WPS '!C$5:M$209,3,FALSE),"")</f>
        <v>136</v>
      </c>
      <c r="I165" s="22" t="s">
        <v>1250</v>
      </c>
      <c r="J165" s="22" t="s">
        <v>243</v>
      </c>
      <c r="K165" s="69" t="s">
        <v>884</v>
      </c>
      <c r="L165" s="22" t="str">
        <f>IF($G165&lt;&gt;"",VLOOKUP($G165,'WPS '!C$5:M$209,8,FALSE),"")</f>
        <v>E71T-1C</v>
      </c>
      <c r="M165" s="76" t="s">
        <v>171</v>
      </c>
      <c r="N165" s="21">
        <v>45745</v>
      </c>
      <c r="O165" s="21">
        <v>45747</v>
      </c>
      <c r="P165" s="21">
        <f t="shared" si="5"/>
        <v>46112</v>
      </c>
      <c r="Q165" s="164" t="s">
        <v>1811</v>
      </c>
      <c r="R165" s="147" t="str">
        <f>IF($G165&lt;&gt;"",VLOOKUP($G165,'WPS '!$C$5:$M$209,2,FALSE),"")</f>
        <v>OSR-WPS-ISO-PB-006</v>
      </c>
      <c r="S165" s="30"/>
      <c r="T165" s="30"/>
      <c r="U165" s="30"/>
      <c r="V165" s="30"/>
      <c r="W165" s="30"/>
      <c r="X165" s="30" t="s">
        <v>95</v>
      </c>
      <c r="Y165" s="30"/>
      <c r="Z165" s="30"/>
      <c r="AA165" s="30"/>
      <c r="AB165" s="30"/>
      <c r="AC165" s="30"/>
      <c r="AD165" s="30"/>
      <c r="AE165" s="54"/>
      <c r="AF165" s="54"/>
      <c r="AG165" s="66">
        <v>2</v>
      </c>
      <c r="AH165" s="115"/>
    </row>
    <row r="166" spans="1:34" s="2" customFormat="1" ht="45" customHeight="1">
      <c r="A166" s="293">
        <f t="shared" si="6"/>
        <v>159</v>
      </c>
      <c r="B166" s="5" t="s">
        <v>1634</v>
      </c>
      <c r="C166" s="5" t="s">
        <v>328</v>
      </c>
      <c r="D166" s="56">
        <f>IF(F166="","",SUBTOTAL(3,$F$6:F166))</f>
        <v>160</v>
      </c>
      <c r="E166" s="36" t="s">
        <v>130</v>
      </c>
      <c r="F166" s="106" t="s">
        <v>1699</v>
      </c>
      <c r="G166" s="40" t="s">
        <v>700</v>
      </c>
      <c r="H166" s="83">
        <f>IF($G166&lt;&gt;"",VLOOKUP($G166,'WPS '!C$5:M$209,3,FALSE),"")</f>
        <v>136</v>
      </c>
      <c r="I166" s="22" t="s">
        <v>1250</v>
      </c>
      <c r="J166" s="22" t="s">
        <v>242</v>
      </c>
      <c r="K166" s="69" t="s">
        <v>884</v>
      </c>
      <c r="L166" s="22" t="str">
        <f>IF($G166&lt;&gt;"",VLOOKUP($G166,'WPS '!C$5:M$209,8,FALSE),"")</f>
        <v>E81T1-W2C</v>
      </c>
      <c r="M166" s="76" t="s">
        <v>178</v>
      </c>
      <c r="N166" s="21">
        <v>45782</v>
      </c>
      <c r="O166" s="21">
        <v>45787</v>
      </c>
      <c r="P166" s="21">
        <f t="shared" si="5"/>
        <v>46152</v>
      </c>
      <c r="Q166" s="164" t="s">
        <v>1811</v>
      </c>
      <c r="R166" s="147" t="str">
        <f>IF($G166&lt;&gt;"",VLOOKUP($G166,'WPS '!$C$5:$M$209,2,FALSE),"")</f>
        <v>OSR-WPS-ISO-PF-045</v>
      </c>
      <c r="S166" s="30"/>
      <c r="T166" s="30"/>
      <c r="U166" s="30"/>
      <c r="V166" s="30"/>
      <c r="W166" s="30"/>
      <c r="X166" s="30" t="s">
        <v>95</v>
      </c>
      <c r="Y166" s="30"/>
      <c r="Z166" s="30"/>
      <c r="AA166" s="30"/>
      <c r="AB166" s="30"/>
      <c r="AC166" s="30"/>
      <c r="AD166" s="30"/>
      <c r="AE166" s="54"/>
      <c r="AF166" s="54"/>
      <c r="AG166" s="66">
        <v>2</v>
      </c>
      <c r="AH166" s="115"/>
    </row>
    <row r="167" spans="1:34" s="2" customFormat="1" ht="45" customHeight="1">
      <c r="A167" s="293">
        <f t="shared" si="6"/>
        <v>160</v>
      </c>
      <c r="B167" s="5" t="s">
        <v>1634</v>
      </c>
      <c r="C167" s="5" t="s">
        <v>328</v>
      </c>
      <c r="D167" s="56">
        <f>IF(F167="","",SUBTOTAL(3,$F$6:F167))</f>
        <v>161</v>
      </c>
      <c r="E167" s="37" t="s">
        <v>130</v>
      </c>
      <c r="F167" s="109" t="s">
        <v>1699</v>
      </c>
      <c r="G167" s="40" t="s">
        <v>663</v>
      </c>
      <c r="H167" s="83">
        <f>IF($G167&lt;&gt;"",VLOOKUP($G167,'WPS '!C$5:M$209,3,FALSE),"")</f>
        <v>136</v>
      </c>
      <c r="I167" s="22" t="s">
        <v>1250</v>
      </c>
      <c r="J167" s="22" t="s">
        <v>243</v>
      </c>
      <c r="K167" s="69" t="s">
        <v>922</v>
      </c>
      <c r="L167" s="22" t="str">
        <f>IF($G167&lt;&gt;"",VLOOKUP($G167,'WPS '!C$5:M$209,8,FALSE),"")</f>
        <v>E71T-1C</v>
      </c>
      <c r="M167" s="76" t="s">
        <v>211</v>
      </c>
      <c r="N167" s="23">
        <v>45709</v>
      </c>
      <c r="O167" s="23">
        <v>45714</v>
      </c>
      <c r="P167" s="21">
        <f t="shared" si="5"/>
        <v>46079</v>
      </c>
      <c r="Q167" s="164" t="s">
        <v>1811</v>
      </c>
      <c r="R167" s="147" t="str">
        <f>IF($G167&lt;&gt;"",VLOOKUP($G167,'WPS '!$C$5:$M$209,2,FALSE),"")</f>
        <v>OSR-WPS-ISO-PB-007</v>
      </c>
      <c r="S167" s="30"/>
      <c r="T167" s="30"/>
      <c r="U167" s="30"/>
      <c r="V167" s="30"/>
      <c r="W167" s="30"/>
      <c r="X167" s="30"/>
      <c r="Y167" s="30"/>
      <c r="Z167" s="30"/>
      <c r="AA167" s="30"/>
      <c r="AB167" s="30"/>
      <c r="AC167" s="30"/>
      <c r="AD167" s="30"/>
      <c r="AE167" s="54"/>
      <c r="AF167" s="54"/>
      <c r="AG167" s="66">
        <v>2</v>
      </c>
      <c r="AH167" s="115"/>
    </row>
    <row r="168" spans="1:34" ht="45" customHeight="1">
      <c r="A168" s="293">
        <f t="shared" si="6"/>
        <v>161</v>
      </c>
      <c r="B168" s="28" t="s">
        <v>1634</v>
      </c>
      <c r="C168" s="28" t="s">
        <v>328</v>
      </c>
      <c r="D168" s="56">
        <f>IF(F168="","",SUBTOTAL(3,$F$6:F168))</f>
        <v>162</v>
      </c>
      <c r="E168" s="34" t="s">
        <v>130</v>
      </c>
      <c r="F168" s="107" t="s">
        <v>1699</v>
      </c>
      <c r="G168" s="39" t="s">
        <v>718</v>
      </c>
      <c r="H168" s="83" t="str">
        <f>IF($G168&lt;&gt;"",VLOOKUP($G168,'WPS '!C$5:M$209,3,FALSE),"")</f>
        <v>FCAW</v>
      </c>
      <c r="I168" s="22" t="s">
        <v>853</v>
      </c>
      <c r="J168" s="22" t="s">
        <v>115</v>
      </c>
      <c r="K168" s="69" t="s">
        <v>116</v>
      </c>
      <c r="L168" s="22" t="str">
        <f>IF($G168&lt;&gt;"",VLOOKUP($G168,'WPS '!C$5:M$209,8,FALSE),"")</f>
        <v>E71T-1C</v>
      </c>
      <c r="M168" s="76" t="s">
        <v>311</v>
      </c>
      <c r="N168" s="21">
        <v>45720</v>
      </c>
      <c r="O168" s="21">
        <v>45724</v>
      </c>
      <c r="P168" s="21">
        <f t="shared" si="5"/>
        <v>46089</v>
      </c>
      <c r="Q168" s="164" t="str">
        <f>IF($G168&lt;&gt;"",VLOOKUP($G168,'WPS '!C$5:M$209,11,FALSE),"")</f>
        <v>ASME IX</v>
      </c>
      <c r="R168" s="147" t="str">
        <f>IF($G168&lt;&gt;"",VLOOKUP($G168,'WPS '!$C$5:$M$209,2,FALSE),"")</f>
        <v>OSR-WPS-ASME-FC-001</v>
      </c>
      <c r="S168" s="30"/>
      <c r="T168" s="30"/>
      <c r="U168" s="30"/>
      <c r="V168" s="30"/>
      <c r="W168" s="62"/>
      <c r="X168" s="30"/>
      <c r="Y168" s="31"/>
      <c r="Z168" s="31"/>
      <c r="AA168" s="31"/>
      <c r="AB168" s="62"/>
      <c r="AC168" s="62"/>
      <c r="AD168" s="62"/>
      <c r="AE168" s="146"/>
      <c r="AF168" s="146"/>
      <c r="AG168" s="66">
        <v>2</v>
      </c>
      <c r="AH168" s="18"/>
    </row>
    <row r="169" spans="1:34" s="2" customFormat="1" ht="45" customHeight="1">
      <c r="A169" s="293">
        <f t="shared" si="6"/>
        <v>162</v>
      </c>
      <c r="B169" s="5" t="s">
        <v>1634</v>
      </c>
      <c r="C169" s="5" t="s">
        <v>328</v>
      </c>
      <c r="D169" s="56">
        <f>IF(F169="","",SUBTOTAL(3,$F$6:F169))</f>
        <v>163</v>
      </c>
      <c r="E169" s="35" t="s">
        <v>193</v>
      </c>
      <c r="F169" s="106" t="s">
        <v>1736</v>
      </c>
      <c r="G169" s="40" t="s">
        <v>700</v>
      </c>
      <c r="H169" s="83">
        <f>IF($G169&lt;&gt;"",VLOOKUP($G169,'WPS '!C$5:M$209,3,FALSE),"")</f>
        <v>136</v>
      </c>
      <c r="I169" s="22" t="s">
        <v>1250</v>
      </c>
      <c r="J169" s="22" t="s">
        <v>242</v>
      </c>
      <c r="K169" s="69" t="s">
        <v>884</v>
      </c>
      <c r="L169" s="22" t="str">
        <f>IF($G169&lt;&gt;"",VLOOKUP($G169,'WPS '!C$5:M$209,8,FALSE),"")</f>
        <v>E81T1-W2C</v>
      </c>
      <c r="M169" s="76" t="s">
        <v>259</v>
      </c>
      <c r="N169" s="21">
        <v>45804</v>
      </c>
      <c r="O169" s="21">
        <v>45807</v>
      </c>
      <c r="P169" s="21">
        <f t="shared" si="5"/>
        <v>46172</v>
      </c>
      <c r="Q169" s="164" t="s">
        <v>1811</v>
      </c>
      <c r="R169" s="147" t="str">
        <f>IF($G169&lt;&gt;"",VLOOKUP($G169,'WPS '!$C$5:$M$209,2,FALSE),"")</f>
        <v>OSR-WPS-ISO-PF-045</v>
      </c>
      <c r="S169" s="30"/>
      <c r="T169" s="30"/>
      <c r="U169" s="30"/>
      <c r="V169" s="30"/>
      <c r="W169" s="30"/>
      <c r="X169" s="30" t="s">
        <v>95</v>
      </c>
      <c r="Y169" s="30"/>
      <c r="Z169" s="30"/>
      <c r="AA169" s="30"/>
      <c r="AB169" s="30"/>
      <c r="AC169" s="30"/>
      <c r="AD169" s="30"/>
      <c r="AE169" s="54"/>
      <c r="AF169" s="54"/>
      <c r="AG169" s="66">
        <v>2</v>
      </c>
      <c r="AH169" s="115"/>
    </row>
    <row r="170" spans="1:34" s="2" customFormat="1" ht="45" customHeight="1">
      <c r="A170" s="293">
        <f t="shared" si="6"/>
        <v>163</v>
      </c>
      <c r="B170" s="5" t="s">
        <v>1634</v>
      </c>
      <c r="C170" s="5" t="s">
        <v>328</v>
      </c>
      <c r="D170" s="56">
        <f>IF(F170="","",SUBTOTAL(3,$F$6:F170))</f>
        <v>164</v>
      </c>
      <c r="E170" s="36" t="s">
        <v>179</v>
      </c>
      <c r="F170" s="106" t="s">
        <v>1695</v>
      </c>
      <c r="G170" s="40" t="s">
        <v>700</v>
      </c>
      <c r="H170" s="83">
        <f>IF($G170&lt;&gt;"",VLOOKUP($G170,'WPS '!C$5:M$209,3,FALSE),"")</f>
        <v>136</v>
      </c>
      <c r="I170" s="22" t="s">
        <v>1250</v>
      </c>
      <c r="J170" s="22" t="s">
        <v>242</v>
      </c>
      <c r="K170" s="69" t="s">
        <v>884</v>
      </c>
      <c r="L170" s="22" t="str">
        <f>IF($G170&lt;&gt;"",VLOOKUP($G170,'WPS '!C$5:M$209,8,FALSE),"")</f>
        <v>E81T1-W2C</v>
      </c>
      <c r="M170" s="76" t="s">
        <v>180</v>
      </c>
      <c r="N170" s="21">
        <v>45782</v>
      </c>
      <c r="O170" s="21">
        <v>45787</v>
      </c>
      <c r="P170" s="21">
        <f t="shared" si="5"/>
        <v>46152</v>
      </c>
      <c r="Q170" s="164" t="s">
        <v>1811</v>
      </c>
      <c r="R170" s="147" t="str">
        <f>IF($G170&lt;&gt;"",VLOOKUP($G170,'WPS '!$C$5:$M$209,2,FALSE),"")</f>
        <v>OSR-WPS-ISO-PF-045</v>
      </c>
      <c r="S170" s="30"/>
      <c r="T170" s="30"/>
      <c r="U170" s="30"/>
      <c r="V170" s="30"/>
      <c r="W170" s="30"/>
      <c r="X170" s="30" t="s">
        <v>95</v>
      </c>
      <c r="Y170" s="30"/>
      <c r="Z170" s="30"/>
      <c r="AA170" s="30"/>
      <c r="AB170" s="30"/>
      <c r="AC170" s="30"/>
      <c r="AD170" s="30"/>
      <c r="AE170" s="54"/>
      <c r="AF170" s="54"/>
      <c r="AG170" s="66">
        <v>2</v>
      </c>
      <c r="AH170" s="115"/>
    </row>
    <row r="171" spans="1:34" s="2" customFormat="1" ht="45" customHeight="1">
      <c r="A171" s="293">
        <f t="shared" si="6"/>
        <v>164</v>
      </c>
      <c r="B171" s="28" t="s">
        <v>1634</v>
      </c>
      <c r="C171" s="28" t="s">
        <v>328</v>
      </c>
      <c r="D171" s="56">
        <f>IF(F171="","",SUBTOTAL(3,$F$6:F171))</f>
        <v>165</v>
      </c>
      <c r="E171" s="34" t="s">
        <v>232</v>
      </c>
      <c r="F171" s="107" t="s">
        <v>1745</v>
      </c>
      <c r="G171" s="39" t="s">
        <v>718</v>
      </c>
      <c r="H171" s="83" t="str">
        <f>IF($G171&lt;&gt;"",VLOOKUP($G171,'WPS '!C$5:M$209,3,FALSE),"")</f>
        <v>FCAW</v>
      </c>
      <c r="I171" s="22" t="s">
        <v>849</v>
      </c>
      <c r="J171" s="22" t="s">
        <v>1390</v>
      </c>
      <c r="K171" s="69" t="s">
        <v>116</v>
      </c>
      <c r="L171" s="22" t="str">
        <f>IF($G171&lt;&gt;"",VLOOKUP($G171,'WPS '!C$5:M$209,8,FALSE),"")</f>
        <v>E71T-1C</v>
      </c>
      <c r="M171" s="76" t="s">
        <v>307</v>
      </c>
      <c r="N171" s="21">
        <v>45857</v>
      </c>
      <c r="O171" s="21">
        <v>45858</v>
      </c>
      <c r="P171" s="21">
        <f t="shared" si="5"/>
        <v>46223</v>
      </c>
      <c r="Q171" s="164" t="str">
        <f>IF($G171&lt;&gt;"",VLOOKUP($G171,'WPS '!C$5:M$209,11,FALSE),"")</f>
        <v>ASME IX</v>
      </c>
      <c r="R171" s="147" t="str">
        <f>IF($G171&lt;&gt;"",VLOOKUP($G171,'WPS '!$C$5:$M$209,2,FALSE),"")</f>
        <v>OSR-WPS-ASME-FC-001</v>
      </c>
      <c r="S171" s="30" t="s">
        <v>356</v>
      </c>
      <c r="T171" s="30"/>
      <c r="U171" s="30"/>
      <c r="V171" s="30"/>
      <c r="W171" s="62"/>
      <c r="X171" s="30"/>
      <c r="Y171" s="31"/>
      <c r="Z171" s="31"/>
      <c r="AA171" s="31"/>
      <c r="AB171" s="62"/>
      <c r="AC171" s="62"/>
      <c r="AD171" s="62"/>
      <c r="AE171" s="146"/>
      <c r="AF171" s="146"/>
      <c r="AG171" s="67">
        <v>2</v>
      </c>
      <c r="AH171" s="18"/>
    </row>
    <row r="172" spans="1:34" s="2" customFormat="1" ht="45" customHeight="1">
      <c r="A172" s="293">
        <f t="shared" si="6"/>
        <v>165</v>
      </c>
      <c r="B172" s="28" t="s">
        <v>1634</v>
      </c>
      <c r="C172" s="28" t="s">
        <v>328</v>
      </c>
      <c r="D172" s="56">
        <f>IF(F172="","",SUBTOTAL(3,$F$6:F172))</f>
        <v>166</v>
      </c>
      <c r="E172" s="36" t="s">
        <v>969</v>
      </c>
      <c r="F172" s="106" t="s">
        <v>1746</v>
      </c>
      <c r="G172" s="39" t="s">
        <v>719</v>
      </c>
      <c r="H172" s="83" t="str">
        <f>IF($G172&lt;&gt;"",VLOOKUP($G172,'WPS '!C$5:M$209,3,FALSE),"")</f>
        <v>FCAW</v>
      </c>
      <c r="I172" s="22" t="s">
        <v>968</v>
      </c>
      <c r="J172" s="22" t="s">
        <v>1215</v>
      </c>
      <c r="K172" s="69" t="s">
        <v>964</v>
      </c>
      <c r="L172" s="22" t="str">
        <f>IF($G172&lt;&gt;"",VLOOKUP($G172,'WPS '!C$5:M$209,8,FALSE),"")</f>
        <v>E71T-1C</v>
      </c>
      <c r="M172" s="76" t="s">
        <v>972</v>
      </c>
      <c r="N172" s="21">
        <v>45875</v>
      </c>
      <c r="O172" s="21">
        <v>45877</v>
      </c>
      <c r="P172" s="21">
        <f t="shared" si="5"/>
        <v>46242</v>
      </c>
      <c r="Q172" s="164" t="str">
        <f>IF($G172&lt;&gt;"",VLOOKUP($G172,'WPS '!C$5:M$209,11,FALSE),"")</f>
        <v>ASME IX</v>
      </c>
      <c r="R172" s="147" t="str">
        <f>IF($G172&lt;&gt;"",VLOOKUP($G172,'WPS '!$C$5:$M$209,2,FALSE),"")</f>
        <v>OSR-WPS-ASME-FC-002</v>
      </c>
      <c r="S172" s="30" t="s">
        <v>356</v>
      </c>
      <c r="T172" s="30"/>
      <c r="U172" s="30"/>
      <c r="V172" s="30"/>
      <c r="W172" s="62"/>
      <c r="X172" s="30"/>
      <c r="Y172" s="31"/>
      <c r="Z172" s="31"/>
      <c r="AA172" s="31"/>
      <c r="AB172" s="62"/>
      <c r="AC172" s="62"/>
      <c r="AD172" s="62"/>
      <c r="AE172" s="146"/>
      <c r="AF172" s="146"/>
      <c r="AG172" s="67">
        <v>2</v>
      </c>
      <c r="AH172" s="18"/>
    </row>
    <row r="173" spans="1:34" s="2" customFormat="1" ht="45" customHeight="1">
      <c r="A173" s="293">
        <f t="shared" si="6"/>
        <v>166</v>
      </c>
      <c r="B173" s="28" t="s">
        <v>326</v>
      </c>
      <c r="C173" s="296" t="s">
        <v>1635</v>
      </c>
      <c r="D173" s="56">
        <f>IF(F173="","",SUBTOTAL(3,$F$6:F173))</f>
        <v>167</v>
      </c>
      <c r="E173" s="37" t="s">
        <v>822</v>
      </c>
      <c r="F173" s="109" t="s">
        <v>1715</v>
      </c>
      <c r="G173" s="40" t="s">
        <v>735</v>
      </c>
      <c r="H173" s="83" t="str">
        <f>IF($G173&lt;&gt;"",VLOOKUP($G173,'WPS '!C$5:M$209,3,FALSE),"")</f>
        <v>FCAW</v>
      </c>
      <c r="I173" s="22" t="s">
        <v>1499</v>
      </c>
      <c r="J173" s="77" t="s">
        <v>1215</v>
      </c>
      <c r="K173" s="69" t="s">
        <v>1480</v>
      </c>
      <c r="L173" s="22" t="str">
        <f>IF($G173&lt;&gt;"",VLOOKUP($G173,'WPS '!C$5:M$209,8,FALSE),"")</f>
        <v>E71T-1C</v>
      </c>
      <c r="M173" s="76" t="s">
        <v>1068</v>
      </c>
      <c r="N173" s="21">
        <v>44393</v>
      </c>
      <c r="O173" s="21">
        <v>44400</v>
      </c>
      <c r="P173" s="23">
        <f t="shared" si="5"/>
        <v>46045</v>
      </c>
      <c r="Q173" s="164" t="str">
        <f>IF($G173&lt;&gt;"",VLOOKUP($G173,'WPS '!C$5:M$209,11,FALSE),"")</f>
        <v>AWS D1.1</v>
      </c>
      <c r="R173" s="147" t="str">
        <f>IF($G173&lt;&gt;"",VLOOKUP($G173,'WPS '!$C$5:$M$209,2,FALSE),"")</f>
        <v>OSR-WPS-D1.1-FC-007</v>
      </c>
      <c r="S173" s="30"/>
      <c r="T173" s="30" t="s">
        <v>356</v>
      </c>
      <c r="U173" s="30" t="s">
        <v>356</v>
      </c>
      <c r="V173" s="30" t="s">
        <v>356</v>
      </c>
      <c r="W173" s="30"/>
      <c r="X173" s="30"/>
      <c r="Y173" s="30"/>
      <c r="Z173" s="30"/>
      <c r="AA173" s="30"/>
      <c r="AB173" s="30"/>
      <c r="AC173" s="30" t="s">
        <v>356</v>
      </c>
      <c r="AD173" s="30" t="s">
        <v>356</v>
      </c>
      <c r="AE173" s="54"/>
      <c r="AF173" s="54"/>
      <c r="AG173" s="153">
        <v>9</v>
      </c>
    </row>
    <row r="174" spans="1:34" s="2" customFormat="1" ht="45" customHeight="1">
      <c r="A174" s="293">
        <f t="shared" si="6"/>
        <v>167</v>
      </c>
      <c r="B174" s="28" t="s">
        <v>326</v>
      </c>
      <c r="C174" s="296" t="s">
        <v>1635</v>
      </c>
      <c r="D174" s="56">
        <f>IF(F174="","",SUBTOTAL(3,$F$6:F174))</f>
        <v>168</v>
      </c>
      <c r="E174" s="37" t="s">
        <v>822</v>
      </c>
      <c r="F174" s="109" t="s">
        <v>1715</v>
      </c>
      <c r="G174" s="40" t="s">
        <v>746</v>
      </c>
      <c r="H174" s="83" t="str">
        <f>IF($G174&lt;&gt;"",VLOOKUP($G174,'WPS '!C$5:M$209,3,FALSE),"")</f>
        <v>FCAW</v>
      </c>
      <c r="I174" s="22" t="s">
        <v>1398</v>
      </c>
      <c r="J174" s="77" t="s">
        <v>107</v>
      </c>
      <c r="K174" s="69" t="s">
        <v>1046</v>
      </c>
      <c r="L174" s="22" t="str">
        <f>IF($G174&lt;&gt;"",VLOOKUP($G174,'WPS '!C$5:M$209,8,FALSE),"")</f>
        <v>E71T-1C</v>
      </c>
      <c r="M174" s="76" t="s">
        <v>1052</v>
      </c>
      <c r="N174" s="21">
        <v>42955</v>
      </c>
      <c r="O174" s="21">
        <v>42961</v>
      </c>
      <c r="P174" s="23">
        <f t="shared" si="5"/>
        <v>46067</v>
      </c>
      <c r="Q174" s="164" t="str">
        <f>IF($G174&lt;&gt;"",VLOOKUP($G174,'WPS '!C$5:M$209,11,FALSE),"")</f>
        <v>AWS D1.1</v>
      </c>
      <c r="R174" s="147" t="str">
        <f>IF($G174&lt;&gt;"",VLOOKUP($G174,'WPS '!$C$5:$M$209,2,FALSE),"")</f>
        <v>OSR-WPS-D1.1-FC-018</v>
      </c>
      <c r="S174" s="30"/>
      <c r="T174" s="30" t="s">
        <v>356</v>
      </c>
      <c r="U174" s="30" t="s">
        <v>356</v>
      </c>
      <c r="V174" s="30" t="s">
        <v>356</v>
      </c>
      <c r="W174" s="30"/>
      <c r="X174" s="30"/>
      <c r="Y174" s="30"/>
      <c r="Z174" s="30"/>
      <c r="AA174" s="30"/>
      <c r="AB174" s="30"/>
      <c r="AC174" s="30"/>
      <c r="AD174" s="30"/>
      <c r="AE174" s="54"/>
      <c r="AF174" s="54"/>
      <c r="AG174" s="153">
        <v>17</v>
      </c>
    </row>
    <row r="175" spans="1:34" s="2" customFormat="1" ht="45" customHeight="1">
      <c r="A175" s="293">
        <f t="shared" si="6"/>
        <v>168</v>
      </c>
      <c r="B175" s="28" t="s">
        <v>326</v>
      </c>
      <c r="C175" s="296" t="s">
        <v>1635</v>
      </c>
      <c r="D175" s="56">
        <f>IF(F175="","",SUBTOTAL(3,$F$6:F175))</f>
        <v>169</v>
      </c>
      <c r="E175" s="34" t="s">
        <v>822</v>
      </c>
      <c r="F175" s="107" t="s">
        <v>1715</v>
      </c>
      <c r="G175" s="39" t="s">
        <v>772</v>
      </c>
      <c r="H175" s="83" t="str">
        <f>IF($G175&lt;&gt;"",VLOOKUP($G175,'WPS '!C$5:M$209,3,FALSE),"")</f>
        <v>FCAW</v>
      </c>
      <c r="I175" s="22" t="s">
        <v>1506</v>
      </c>
      <c r="J175" s="77" t="s">
        <v>1407</v>
      </c>
      <c r="K175" s="69" t="s">
        <v>1413</v>
      </c>
      <c r="L175" s="22" t="str">
        <f>IF($G175&lt;&gt;"",VLOOKUP($G175,'WPS '!C$5:M$209,8,FALSE),"")</f>
        <v>E71T-1C</v>
      </c>
      <c r="M175" s="76" t="s">
        <v>1097</v>
      </c>
      <c r="N175" s="21">
        <v>44393</v>
      </c>
      <c r="O175" s="21">
        <v>44400</v>
      </c>
      <c r="P175" s="21">
        <f t="shared" si="5"/>
        <v>46045</v>
      </c>
      <c r="Q175" s="164" t="str">
        <f>IF($G175&lt;&gt;"",VLOOKUP($G175,'WPS '!C$5:M$209,11,FALSE),"")</f>
        <v>AWS D1.1</v>
      </c>
      <c r="R175" s="147" t="str">
        <f>IF($G175&lt;&gt;"",VLOOKUP($G175,'WPS '!$C$5:$M$209,2,FALSE),"")</f>
        <v>OSR-WPS-D1.1-FC-044</v>
      </c>
      <c r="S175" s="30"/>
      <c r="T175" s="30" t="s">
        <v>356</v>
      </c>
      <c r="U175" s="30"/>
      <c r="V175" s="31"/>
      <c r="W175" s="31"/>
      <c r="X175" s="31"/>
      <c r="Y175" s="31"/>
      <c r="Z175" s="31"/>
      <c r="AA175" s="31"/>
      <c r="AB175" s="31"/>
      <c r="AC175" s="62"/>
      <c r="AD175" s="62"/>
      <c r="AE175" s="146"/>
      <c r="AF175" s="146"/>
      <c r="AG175" s="153">
        <v>9</v>
      </c>
    </row>
    <row r="176" spans="1:34" s="2" customFormat="1" ht="45" customHeight="1">
      <c r="A176" s="293">
        <f t="shared" si="6"/>
        <v>169</v>
      </c>
      <c r="B176" s="28" t="s">
        <v>326</v>
      </c>
      <c r="C176" s="296" t="s">
        <v>1635</v>
      </c>
      <c r="D176" s="56">
        <f>IF(F176="","",SUBTOTAL(3,$F$6:F176))</f>
        <v>170</v>
      </c>
      <c r="E176" s="34" t="s">
        <v>822</v>
      </c>
      <c r="F176" s="108" t="s">
        <v>1715</v>
      </c>
      <c r="G176" s="40" t="s">
        <v>780</v>
      </c>
      <c r="H176" s="83" t="str">
        <f>IF($G176&lt;&gt;"",VLOOKUP($G176,'WPS '!C$5:M$209,3,FALSE),"")</f>
        <v>FCAW</v>
      </c>
      <c r="I176" s="22" t="s">
        <v>1503</v>
      </c>
      <c r="J176" s="77" t="s">
        <v>1407</v>
      </c>
      <c r="K176" s="69" t="s">
        <v>1413</v>
      </c>
      <c r="L176" s="22" t="str">
        <f>IF($G176&lt;&gt;"",VLOOKUP($G176,'WPS '!C$5:M$209,8,FALSE),"")</f>
        <v>E71T-1C</v>
      </c>
      <c r="M176" s="76" t="s">
        <v>1109</v>
      </c>
      <c r="N176" s="21">
        <v>44393</v>
      </c>
      <c r="O176" s="21">
        <v>44400</v>
      </c>
      <c r="P176" s="21">
        <f t="shared" si="5"/>
        <v>46045</v>
      </c>
      <c r="Q176" s="164" t="str">
        <f>IF($G176&lt;&gt;"",VLOOKUP($G176,'WPS '!C$5:M$209,11,FALSE),"")</f>
        <v>AWS D1.1</v>
      </c>
      <c r="R176" s="147" t="str">
        <f>IF($G176&lt;&gt;"",VLOOKUP($G176,'WPS '!$C$5:$M$209,2,FALSE),"")</f>
        <v>OSR-WPS-D1.1-FC-052</v>
      </c>
      <c r="S176" s="30"/>
      <c r="T176" s="30" t="s">
        <v>356</v>
      </c>
      <c r="U176" s="30"/>
      <c r="V176" s="30"/>
      <c r="W176" s="30"/>
      <c r="X176" s="30"/>
      <c r="Y176" s="30"/>
      <c r="Z176" s="30"/>
      <c r="AA176" s="30"/>
      <c r="AB176" s="30"/>
      <c r="AC176" s="30"/>
      <c r="AD176" s="30"/>
      <c r="AE176" s="54" t="s">
        <v>356</v>
      </c>
      <c r="AF176" s="54"/>
      <c r="AG176" s="153">
        <v>9</v>
      </c>
    </row>
    <row r="177" spans="1:34" s="2" customFormat="1" ht="45" customHeight="1">
      <c r="A177" s="293">
        <f t="shared" si="6"/>
        <v>170</v>
      </c>
      <c r="B177" s="5" t="s">
        <v>246</v>
      </c>
      <c r="C177" s="5" t="s">
        <v>328</v>
      </c>
      <c r="D177" s="56">
        <f>IF(F177="","",SUBTOTAL(3,$F$6:F177))</f>
        <v>171</v>
      </c>
      <c r="E177" s="35" t="s">
        <v>1524</v>
      </c>
      <c r="F177" s="106" t="s">
        <v>1750</v>
      </c>
      <c r="G177" s="40" t="s">
        <v>719</v>
      </c>
      <c r="H177" s="83" t="str">
        <f>IF($G177&lt;&gt;"",VLOOKUP($G177,'WPS '!C$5:M$209,3,FALSE),"")</f>
        <v>FCAW</v>
      </c>
      <c r="I177" s="22" t="s">
        <v>849</v>
      </c>
      <c r="J177" s="22" t="s">
        <v>1215</v>
      </c>
      <c r="K177" s="69" t="s">
        <v>105</v>
      </c>
      <c r="L177" s="22" t="str">
        <f>IF($G177&lt;&gt;"",VLOOKUP($G177,'WPS '!C$5:M$209,8,FALSE),"")</f>
        <v>E71T-1C</v>
      </c>
      <c r="M177" s="76" t="s">
        <v>1525</v>
      </c>
      <c r="N177" s="21">
        <v>45923</v>
      </c>
      <c r="O177" s="21">
        <v>45925</v>
      </c>
      <c r="P177" s="21">
        <f t="shared" si="5"/>
        <v>46290</v>
      </c>
      <c r="Q177" s="164" t="str">
        <f>IF($G177&lt;&gt;"",VLOOKUP($G177,'WPS '!C$5:M$209,11,FALSE),"")</f>
        <v>ASME IX</v>
      </c>
      <c r="R177" s="147" t="str">
        <f>IF($G177&lt;&gt;"",VLOOKUP($G177,'WPS '!$C$5:$M$209,2,FALSE),"")</f>
        <v>OSR-WPS-ASME-FC-002</v>
      </c>
      <c r="S177" s="30" t="s">
        <v>356</v>
      </c>
      <c r="T177" s="30"/>
      <c r="U177" s="30"/>
      <c r="V177" s="30"/>
      <c r="W177" s="30"/>
      <c r="X177" s="30"/>
      <c r="Y177" s="30"/>
      <c r="Z177" s="30"/>
      <c r="AA177" s="30"/>
      <c r="AB177" s="30"/>
      <c r="AC177" s="30"/>
      <c r="AD177" s="30"/>
      <c r="AE177" s="54"/>
      <c r="AF177" s="54"/>
      <c r="AG177" s="66">
        <v>2</v>
      </c>
      <c r="AH177" s="115"/>
    </row>
    <row r="178" spans="1:34" s="2" customFormat="1" ht="45" customHeight="1">
      <c r="A178" s="293">
        <f t="shared" si="6"/>
        <v>171</v>
      </c>
      <c r="B178" s="28" t="s">
        <v>246</v>
      </c>
      <c r="C178" s="5" t="s">
        <v>328</v>
      </c>
      <c r="D178" s="56">
        <f>IF(F178="","",SUBTOTAL(3,$F$6:F178))</f>
        <v>172</v>
      </c>
      <c r="E178" s="34" t="s">
        <v>235</v>
      </c>
      <c r="F178" s="107" t="s">
        <v>1732</v>
      </c>
      <c r="G178" s="39" t="s">
        <v>718</v>
      </c>
      <c r="H178" s="83" t="str">
        <f>IF($G178&lt;&gt;"",VLOOKUP($G178,'WPS '!C$5:M$209,3,FALSE),"")</f>
        <v>FCAW</v>
      </c>
      <c r="I178" s="22" t="s">
        <v>851</v>
      </c>
      <c r="J178" s="22" t="s">
        <v>1390</v>
      </c>
      <c r="K178" s="69" t="s">
        <v>116</v>
      </c>
      <c r="L178" s="22" t="str">
        <f>IF($G178&lt;&gt;"",VLOOKUP($G178,'WPS '!C$5:M$209,8,FALSE),"")</f>
        <v>E71T-1C</v>
      </c>
      <c r="M178" s="76" t="s">
        <v>294</v>
      </c>
      <c r="N178" s="21">
        <v>45852</v>
      </c>
      <c r="O178" s="21">
        <v>45857</v>
      </c>
      <c r="P178" s="21">
        <f t="shared" si="5"/>
        <v>46222</v>
      </c>
      <c r="Q178" s="164" t="str">
        <f>IF($G178&lt;&gt;"",VLOOKUP($G178,'WPS '!C$5:M$209,11,FALSE),"")</f>
        <v>ASME IX</v>
      </c>
      <c r="R178" s="147" t="str">
        <f>IF($G178&lt;&gt;"",VLOOKUP($G178,'WPS '!$C$5:$M$209,2,FALSE),"")</f>
        <v>OSR-WPS-ASME-FC-001</v>
      </c>
      <c r="S178" s="30" t="s">
        <v>356</v>
      </c>
      <c r="T178" s="30"/>
      <c r="U178" s="30"/>
      <c r="V178" s="30"/>
      <c r="W178" s="62"/>
      <c r="X178" s="30"/>
      <c r="Y178" s="31"/>
      <c r="Z178" s="31"/>
      <c r="AA178" s="31"/>
      <c r="AB178" s="62"/>
      <c r="AC178" s="62"/>
      <c r="AD178" s="62"/>
      <c r="AE178" s="146"/>
      <c r="AF178" s="146"/>
      <c r="AG178" s="67">
        <v>2</v>
      </c>
      <c r="AH178" s="18"/>
    </row>
    <row r="179" spans="1:34" s="2" customFormat="1" ht="45" customHeight="1">
      <c r="A179" s="293">
        <f t="shared" si="6"/>
        <v>172</v>
      </c>
      <c r="B179" s="28" t="s">
        <v>246</v>
      </c>
      <c r="C179" s="5" t="s">
        <v>328</v>
      </c>
      <c r="D179" s="56">
        <f>IF(F179="","",SUBTOTAL(3,$F$6:F179))</f>
        <v>173</v>
      </c>
      <c r="E179" s="34" t="s">
        <v>235</v>
      </c>
      <c r="F179" s="107" t="s">
        <v>1732</v>
      </c>
      <c r="G179" s="39" t="s">
        <v>724</v>
      </c>
      <c r="H179" s="83" t="str">
        <f>IF($G179&lt;&gt;"",VLOOKUP($G179,'WPS '!C$5:M$209,3,FALSE),"")</f>
        <v>SMAW</v>
      </c>
      <c r="I179" s="22" t="s">
        <v>853</v>
      </c>
      <c r="J179" s="22" t="s">
        <v>1472</v>
      </c>
      <c r="K179" s="69" t="s">
        <v>1570</v>
      </c>
      <c r="L179" s="22" t="str">
        <f>IF($G179&lt;&gt;"",VLOOKUP($G179,'WPS '!C$5:M$209,8,FALSE),"")</f>
        <v>ERNiCr 3</v>
      </c>
      <c r="M179" s="76" t="s">
        <v>1573</v>
      </c>
      <c r="N179" s="21">
        <v>45852</v>
      </c>
      <c r="O179" s="21">
        <v>45854</v>
      </c>
      <c r="P179" s="21">
        <f t="shared" si="5"/>
        <v>46219</v>
      </c>
      <c r="Q179" s="164" t="str">
        <f>IF($G179&lt;&gt;"",VLOOKUP($G179,'WPS '!C$5:M$209,11,FALSE),"")</f>
        <v>ASME IX</v>
      </c>
      <c r="R179" s="147" t="str">
        <f>IF($G179&lt;&gt;"",VLOOKUP($G179,'WPS '!$C$5:$M$209,2,FALSE),"")</f>
        <v>OSR-WPS-ASME-SM-007</v>
      </c>
      <c r="S179" s="30" t="s">
        <v>356</v>
      </c>
      <c r="T179" s="30"/>
      <c r="U179" s="30"/>
      <c r="V179" s="30"/>
      <c r="W179" s="62"/>
      <c r="X179" s="30"/>
      <c r="Y179" s="31"/>
      <c r="Z179" s="31"/>
      <c r="AA179" s="31"/>
      <c r="AB179" s="62"/>
      <c r="AC179" s="62"/>
      <c r="AD179" s="62"/>
      <c r="AE179" s="146"/>
      <c r="AF179" s="146"/>
      <c r="AG179" s="67">
        <v>2</v>
      </c>
      <c r="AH179" s="18"/>
    </row>
    <row r="180" spans="1:34" s="2" customFormat="1" ht="45" customHeight="1">
      <c r="A180" s="293">
        <f t="shared" si="6"/>
        <v>173</v>
      </c>
      <c r="B180" s="28" t="s">
        <v>246</v>
      </c>
      <c r="C180" s="28" t="s">
        <v>328</v>
      </c>
      <c r="D180" s="56">
        <f>IF(F180="","",SUBTOTAL(3,$F$6:F180))</f>
        <v>174</v>
      </c>
      <c r="E180" s="34" t="s">
        <v>831</v>
      </c>
      <c r="F180" s="107" t="s">
        <v>1741</v>
      </c>
      <c r="G180" s="39" t="s">
        <v>719</v>
      </c>
      <c r="H180" s="83" t="str">
        <f>IF($G180&lt;&gt;"",VLOOKUP($G180,'WPS '!C$5:M$209,3,FALSE),"")</f>
        <v>FCAW</v>
      </c>
      <c r="I180" s="22" t="s">
        <v>849</v>
      </c>
      <c r="J180" s="22" t="s">
        <v>1215</v>
      </c>
      <c r="K180" s="69" t="s">
        <v>964</v>
      </c>
      <c r="L180" s="22" t="str">
        <f>IF($G180&lt;&gt;"",VLOOKUP($G180,'WPS '!C$5:M$209,8,FALSE),"")</f>
        <v>E71T-1C</v>
      </c>
      <c r="M180" s="76" t="s">
        <v>832</v>
      </c>
      <c r="N180" s="21">
        <v>45871</v>
      </c>
      <c r="O180" s="21">
        <v>45873</v>
      </c>
      <c r="P180" s="21">
        <f t="shared" si="5"/>
        <v>46238</v>
      </c>
      <c r="Q180" s="164" t="str">
        <f>IF($G180&lt;&gt;"",VLOOKUP($G180,'WPS '!C$5:M$209,11,FALSE),"")</f>
        <v>ASME IX</v>
      </c>
      <c r="R180" s="147" t="str">
        <f>IF($G180&lt;&gt;"",VLOOKUP($G180,'WPS '!$C$5:$M$209,2,FALSE),"")</f>
        <v>OSR-WPS-ASME-FC-002</v>
      </c>
      <c r="S180" s="30" t="s">
        <v>356</v>
      </c>
      <c r="T180" s="30"/>
      <c r="U180" s="30"/>
      <c r="V180" s="30"/>
      <c r="W180" s="62"/>
      <c r="X180" s="30"/>
      <c r="Y180" s="31"/>
      <c r="Z180" s="31"/>
      <c r="AA180" s="31"/>
      <c r="AB180" s="62"/>
      <c r="AC180" s="62"/>
      <c r="AD180" s="62"/>
      <c r="AE180" s="146"/>
      <c r="AF180" s="146"/>
      <c r="AG180" s="67">
        <v>2</v>
      </c>
      <c r="AH180" s="18"/>
    </row>
    <row r="181" spans="1:34" s="2" customFormat="1" ht="45" customHeight="1">
      <c r="A181" s="293">
        <f t="shared" si="6"/>
        <v>174</v>
      </c>
      <c r="B181" s="28" t="s">
        <v>246</v>
      </c>
      <c r="C181" s="28" t="s">
        <v>328</v>
      </c>
      <c r="D181" s="56">
        <f>IF(F181="","",SUBTOTAL(3,$F$6:F181))</f>
        <v>175</v>
      </c>
      <c r="E181" s="34" t="s">
        <v>831</v>
      </c>
      <c r="F181" s="107" t="s">
        <v>1741</v>
      </c>
      <c r="G181" s="39" t="s">
        <v>723</v>
      </c>
      <c r="H181" s="83" t="str">
        <f>IF($G181&lt;&gt;"",VLOOKUP($G181,'WPS '!C$5:M$209,3,FALSE),"")</f>
        <v>GTAW</v>
      </c>
      <c r="I181" s="22" t="s">
        <v>853</v>
      </c>
      <c r="J181" s="22" t="s">
        <v>1472</v>
      </c>
      <c r="K181" s="69" t="s">
        <v>1570</v>
      </c>
      <c r="L181" s="22" t="str">
        <f>IF($G181&lt;&gt;"",VLOOKUP($G181,'WPS '!C$5:M$209,8,FALSE),"")</f>
        <v>ERNiCr 3</v>
      </c>
      <c r="M181" s="76" t="s">
        <v>1572</v>
      </c>
      <c r="N181" s="21">
        <v>45871</v>
      </c>
      <c r="O181" s="21">
        <v>45873</v>
      </c>
      <c r="P181" s="21">
        <f t="shared" si="5"/>
        <v>46238</v>
      </c>
      <c r="Q181" s="164" t="str">
        <f>IF($G181&lt;&gt;"",VLOOKUP($G181,'WPS '!C$5:M$209,11,FALSE),"")</f>
        <v>ASME IX</v>
      </c>
      <c r="R181" s="147" t="str">
        <f>IF($G181&lt;&gt;"",VLOOKUP($G181,'WPS '!$C$5:$M$209,2,FALSE),"")</f>
        <v>OSR-WPS-ASME-GT-006</v>
      </c>
      <c r="S181" s="30" t="s">
        <v>356</v>
      </c>
      <c r="T181" s="30"/>
      <c r="U181" s="30"/>
      <c r="V181" s="30"/>
      <c r="W181" s="62"/>
      <c r="X181" s="30"/>
      <c r="Y181" s="31"/>
      <c r="Z181" s="31"/>
      <c r="AA181" s="31"/>
      <c r="AB181" s="62"/>
      <c r="AC181" s="62"/>
      <c r="AD181" s="62"/>
      <c r="AE181" s="146"/>
      <c r="AF181" s="146"/>
      <c r="AG181" s="67">
        <v>2</v>
      </c>
      <c r="AH181" s="18"/>
    </row>
    <row r="182" spans="1:34" ht="45" customHeight="1">
      <c r="A182" s="293">
        <f t="shared" si="6"/>
        <v>175</v>
      </c>
      <c r="B182" s="5" t="s">
        <v>327</v>
      </c>
      <c r="C182" s="296" t="s">
        <v>1635</v>
      </c>
      <c r="D182" s="56">
        <f>IF(F182="","",SUBTOTAL(3,$F$6:F182))</f>
        <v>176</v>
      </c>
      <c r="E182" s="34" t="s">
        <v>13</v>
      </c>
      <c r="F182" s="107" t="s">
        <v>1709</v>
      </c>
      <c r="G182" s="40" t="s">
        <v>661</v>
      </c>
      <c r="H182" s="83">
        <f>IF($G182&lt;&gt;"",VLOOKUP($G182,'WPS '!C$5:M$209,3,FALSE),"")</f>
        <v>136</v>
      </c>
      <c r="I182" s="22" t="s">
        <v>1251</v>
      </c>
      <c r="J182" s="22" t="s">
        <v>1232</v>
      </c>
      <c r="K182" s="69" t="s">
        <v>884</v>
      </c>
      <c r="L182" s="22" t="str">
        <f>IF($G182&lt;&gt;"",VLOOKUP($G182,'WPS '!C$5:M$209,8,FALSE),"")</f>
        <v>E71T-1C</v>
      </c>
      <c r="M182" s="76" t="s">
        <v>14</v>
      </c>
      <c r="N182" s="21">
        <v>45001</v>
      </c>
      <c r="O182" s="21">
        <v>45003</v>
      </c>
      <c r="P182" s="21">
        <f t="shared" si="5"/>
        <v>46099</v>
      </c>
      <c r="Q182" s="164" t="s">
        <v>1811</v>
      </c>
      <c r="R182" s="147" t="str">
        <f>IF($G182&lt;&gt;"",VLOOKUP($G182,'WPS '!$C$5:$M$209,2,FALSE),"")</f>
        <v>OSR-WPS-ISO-PC+PF-005</v>
      </c>
      <c r="S182" s="30"/>
      <c r="T182" s="30"/>
      <c r="U182" s="30"/>
      <c r="V182" s="30"/>
      <c r="W182" s="30" t="s">
        <v>356</v>
      </c>
      <c r="X182" s="30" t="s">
        <v>95</v>
      </c>
      <c r="Y182" s="30"/>
      <c r="Z182" s="30"/>
      <c r="AA182" s="30"/>
      <c r="AB182" s="30"/>
      <c r="AC182" s="30"/>
      <c r="AD182" s="30"/>
      <c r="AE182" s="54"/>
      <c r="AF182" s="54"/>
      <c r="AG182" s="66">
        <v>6</v>
      </c>
      <c r="AH182" s="115"/>
    </row>
    <row r="183" spans="1:34" s="2" customFormat="1" ht="45" customHeight="1">
      <c r="A183" s="293">
        <f t="shared" si="6"/>
        <v>176</v>
      </c>
      <c r="B183" s="5" t="s">
        <v>327</v>
      </c>
      <c r="C183" s="296" t="s">
        <v>1635</v>
      </c>
      <c r="D183" s="56">
        <f>IF(F183="","",SUBTOTAL(3,$F$6:F183))</f>
        <v>177</v>
      </c>
      <c r="E183" s="34" t="s">
        <v>13</v>
      </c>
      <c r="F183" s="107" t="s">
        <v>1709</v>
      </c>
      <c r="G183" s="40" t="s">
        <v>672</v>
      </c>
      <c r="H183" s="83">
        <f>IF($G183&lt;&gt;"",VLOOKUP($G183,'WPS '!C$5:M$209,3,FALSE),"")</f>
        <v>141</v>
      </c>
      <c r="I183" s="22" t="s">
        <v>1250</v>
      </c>
      <c r="J183" s="22" t="s">
        <v>258</v>
      </c>
      <c r="K183" s="69" t="s">
        <v>884</v>
      </c>
      <c r="L183" s="22" t="str">
        <f>IF($G183&lt;&gt;"",VLOOKUP($G183,'WPS '!C$5:M$209,8,FALSE),"")</f>
        <v>ER316L</v>
      </c>
      <c r="M183" s="76" t="s">
        <v>52</v>
      </c>
      <c r="N183" s="21">
        <v>45358</v>
      </c>
      <c r="O183" s="21">
        <v>45365</v>
      </c>
      <c r="P183" s="21">
        <f t="shared" si="5"/>
        <v>46095</v>
      </c>
      <c r="Q183" s="164" t="s">
        <v>1811</v>
      </c>
      <c r="R183" s="147" t="str">
        <f>IF($G183&lt;&gt;"",VLOOKUP($G183,'WPS '!$C$5:$M$209,2,FALSE),"")</f>
        <v>OSR-WPS-ISO-PC-016</v>
      </c>
      <c r="S183" s="30"/>
      <c r="T183" s="30"/>
      <c r="U183" s="30"/>
      <c r="V183" s="30"/>
      <c r="W183" s="30"/>
      <c r="X183" s="30"/>
      <c r="Y183" s="30"/>
      <c r="Z183" s="30"/>
      <c r="AA183" s="30"/>
      <c r="AB183" s="30"/>
      <c r="AC183" s="30"/>
      <c r="AD183" s="30"/>
      <c r="AE183" s="54"/>
      <c r="AF183" s="54"/>
      <c r="AG183" s="66">
        <v>4</v>
      </c>
      <c r="AH183" s="115"/>
    </row>
    <row r="184" spans="1:34" s="2" customFormat="1" ht="45" customHeight="1">
      <c r="A184" s="293">
        <f t="shared" si="6"/>
        <v>177</v>
      </c>
      <c r="B184" s="5" t="s">
        <v>327</v>
      </c>
      <c r="C184" s="296" t="s">
        <v>1635</v>
      </c>
      <c r="D184" s="56">
        <f>IF(F184="","",SUBTOTAL(3,$F$6:F184))</f>
        <v>178</v>
      </c>
      <c r="E184" s="34" t="s">
        <v>13</v>
      </c>
      <c r="F184" s="107" t="s">
        <v>1709</v>
      </c>
      <c r="G184" s="40" t="s">
        <v>685</v>
      </c>
      <c r="H184" s="83">
        <f>IF($G184&lt;&gt;"",VLOOKUP($G184,'WPS '!C$5:M$209,3,FALSE),"")</f>
        <v>136</v>
      </c>
      <c r="I184" s="22" t="s">
        <v>856</v>
      </c>
      <c r="J184" s="22" t="s">
        <v>251</v>
      </c>
      <c r="K184" s="69" t="s">
        <v>884</v>
      </c>
      <c r="L184" s="22" t="str">
        <f>IF($G184&lt;&gt;"",VLOOKUP($G184,'WPS '!C$5:M$209,8,FALSE),"")</f>
        <v>E71T-1C</v>
      </c>
      <c r="M184" s="76" t="s">
        <v>77</v>
      </c>
      <c r="N184" s="21">
        <v>45551</v>
      </c>
      <c r="O184" s="21">
        <v>45553</v>
      </c>
      <c r="P184" s="21">
        <f t="shared" si="5"/>
        <v>46099</v>
      </c>
      <c r="Q184" s="164" t="s">
        <v>1811</v>
      </c>
      <c r="R184" s="147" t="str">
        <f>IF($G184&lt;&gt;"",VLOOKUP($G184,'WPS '!$C$5:$M$209,2,FALSE),"")</f>
        <v>OSR-WPS-ISO-PA-030</v>
      </c>
      <c r="S184" s="30"/>
      <c r="T184" s="30"/>
      <c r="U184" s="30"/>
      <c r="V184" s="30"/>
      <c r="W184" s="30"/>
      <c r="X184" s="30" t="s">
        <v>95</v>
      </c>
      <c r="Y184" s="30"/>
      <c r="Z184" s="30"/>
      <c r="AA184" s="30"/>
      <c r="AB184" s="30"/>
      <c r="AC184" s="30"/>
      <c r="AD184" s="30"/>
      <c r="AE184" s="54"/>
      <c r="AF184" s="54"/>
      <c r="AG184" s="67">
        <v>3</v>
      </c>
      <c r="AH184" s="115"/>
    </row>
    <row r="185" spans="1:34" s="2" customFormat="1" ht="45" customHeight="1">
      <c r="A185" s="293">
        <f t="shared" si="6"/>
        <v>178</v>
      </c>
      <c r="B185" s="5" t="s">
        <v>327</v>
      </c>
      <c r="C185" s="296" t="s">
        <v>1635</v>
      </c>
      <c r="D185" s="56">
        <f>IF(F185="","",SUBTOTAL(3,$F$6:F185))</f>
        <v>179</v>
      </c>
      <c r="E185" s="34" t="s">
        <v>13</v>
      </c>
      <c r="F185" s="107" t="s">
        <v>1709</v>
      </c>
      <c r="G185" s="40" t="s">
        <v>705</v>
      </c>
      <c r="H185" s="83">
        <f>IF($G185&lt;&gt;"",VLOOKUP($G185,'WPS '!C$5:M$209,3,FALSE),"")</f>
        <v>136</v>
      </c>
      <c r="I185" s="22" t="s">
        <v>1251</v>
      </c>
      <c r="J185" s="22" t="s">
        <v>242</v>
      </c>
      <c r="K185" s="69" t="s">
        <v>884</v>
      </c>
      <c r="L185" s="22" t="str">
        <f>IF($G185&lt;&gt;"",VLOOKUP($G185,'WPS '!C$5:M$209,8,FALSE),"")</f>
        <v>E309LT1-1/-4</v>
      </c>
      <c r="M185" s="76" t="s">
        <v>897</v>
      </c>
      <c r="N185" s="21">
        <v>45787</v>
      </c>
      <c r="O185" s="21">
        <v>45799</v>
      </c>
      <c r="P185" s="21">
        <f t="shared" si="5"/>
        <v>46164</v>
      </c>
      <c r="Q185" s="164" t="s">
        <v>1811</v>
      </c>
      <c r="R185" s="147" t="str">
        <f>IF($G185&lt;&gt;"",VLOOKUP($G185,'WPS '!$C$5:$M$209,2,FALSE),"")</f>
        <v>OSR-WPS-ISO-PF-050</v>
      </c>
      <c r="S185" s="30"/>
      <c r="T185" s="30"/>
      <c r="U185" s="30"/>
      <c r="V185" s="30"/>
      <c r="W185" s="30"/>
      <c r="X185" s="30"/>
      <c r="Y185" s="30" t="s">
        <v>95</v>
      </c>
      <c r="Z185" s="30"/>
      <c r="AA185" s="30"/>
      <c r="AB185" s="30"/>
      <c r="AC185" s="30"/>
      <c r="AD185" s="30"/>
      <c r="AE185" s="54"/>
      <c r="AF185" s="54"/>
      <c r="AG185" s="66">
        <v>2</v>
      </c>
      <c r="AH185" s="115"/>
    </row>
    <row r="186" spans="1:34" s="2" customFormat="1" ht="45" customHeight="1">
      <c r="A186" s="293">
        <f t="shared" si="6"/>
        <v>179</v>
      </c>
      <c r="B186" s="5" t="s">
        <v>327</v>
      </c>
      <c r="C186" s="296" t="s">
        <v>1635</v>
      </c>
      <c r="D186" s="56">
        <f>IF(F186="","",SUBTOTAL(3,$F$6:F186))</f>
        <v>180</v>
      </c>
      <c r="E186" s="34" t="s">
        <v>13</v>
      </c>
      <c r="F186" s="107" t="s">
        <v>1709</v>
      </c>
      <c r="G186" s="40" t="s">
        <v>705</v>
      </c>
      <c r="H186" s="83">
        <f>IF($G186&lt;&gt;"",VLOOKUP($G186,'WPS '!C$5:M$209,3,FALSE),"")</f>
        <v>136</v>
      </c>
      <c r="I186" s="22" t="s">
        <v>1251</v>
      </c>
      <c r="J186" s="22" t="s">
        <v>244</v>
      </c>
      <c r="K186" s="69" t="s">
        <v>884</v>
      </c>
      <c r="L186" s="22" t="str">
        <f>IF($G186&lt;&gt;"",VLOOKUP($G186,'WPS '!C$5:M$209,8,FALSE),"")</f>
        <v>E309LT1-1/-4</v>
      </c>
      <c r="M186" s="76" t="s">
        <v>898</v>
      </c>
      <c r="N186" s="21">
        <v>45843</v>
      </c>
      <c r="O186" s="21">
        <v>45846</v>
      </c>
      <c r="P186" s="21">
        <f t="shared" si="5"/>
        <v>46211</v>
      </c>
      <c r="Q186" s="164" t="s">
        <v>1811</v>
      </c>
      <c r="R186" s="147" t="str">
        <f>IF($G186&lt;&gt;"",VLOOKUP($G186,'WPS '!$C$5:$M$209,2,FALSE),"")</f>
        <v>OSR-WPS-ISO-PF-050</v>
      </c>
      <c r="S186" s="30"/>
      <c r="T186" s="30"/>
      <c r="U186" s="30"/>
      <c r="V186" s="30"/>
      <c r="W186" s="30"/>
      <c r="X186" s="30"/>
      <c r="Y186" s="30" t="s">
        <v>95</v>
      </c>
      <c r="Z186" s="30"/>
      <c r="AA186" s="30"/>
      <c r="AB186" s="30"/>
      <c r="AC186" s="30"/>
      <c r="AD186" s="30"/>
      <c r="AE186" s="54"/>
      <c r="AF186" s="54"/>
      <c r="AG186" s="66">
        <v>2</v>
      </c>
      <c r="AH186" s="115"/>
    </row>
    <row r="187" spans="1:34" s="20" customFormat="1" ht="45" customHeight="1">
      <c r="A187" s="293">
        <f t="shared" si="6"/>
        <v>180</v>
      </c>
      <c r="B187" s="28" t="s">
        <v>327</v>
      </c>
      <c r="C187" s="295" t="s">
        <v>1635</v>
      </c>
      <c r="D187" s="56">
        <f>IF(F187="","",SUBTOTAL(3,$F$6:F187))</f>
        <v>181</v>
      </c>
      <c r="E187" s="34" t="s">
        <v>13</v>
      </c>
      <c r="F187" s="107" t="s">
        <v>1709</v>
      </c>
      <c r="G187" s="39" t="s">
        <v>720</v>
      </c>
      <c r="H187" s="83" t="str">
        <f>IF($G187&lt;&gt;"",VLOOKUP($G187,'WPS '!C$5:M$209,3,FALSE),"")</f>
        <v>GMAW</v>
      </c>
      <c r="I187" s="22" t="s">
        <v>854</v>
      </c>
      <c r="J187" s="22" t="s">
        <v>107</v>
      </c>
      <c r="K187" s="69" t="s">
        <v>964</v>
      </c>
      <c r="L187" s="22" t="str">
        <f>IF($G187&lt;&gt;"",VLOOKUP($G187,'WPS '!C$5:M$209,8,FALSE),"")</f>
        <v>ER310</v>
      </c>
      <c r="M187" s="76" t="s">
        <v>281</v>
      </c>
      <c r="N187" s="21">
        <v>45586</v>
      </c>
      <c r="O187" s="21">
        <v>45590</v>
      </c>
      <c r="P187" s="21">
        <f t="shared" si="5"/>
        <v>46137</v>
      </c>
      <c r="Q187" s="164" t="str">
        <f>IF($G187&lt;&gt;"",VLOOKUP($G187,'WPS '!C$5:M$209,11,FALSE),"")</f>
        <v>ASME IX</v>
      </c>
      <c r="R187" s="147" t="str">
        <f>IF($G187&lt;&gt;"",VLOOKUP($G187,'WPS '!$C$5:$M$209,2,FALSE),"")</f>
        <v>OSR-WPS-ASME-GM-003</v>
      </c>
      <c r="S187" s="30"/>
      <c r="T187" s="30"/>
      <c r="U187" s="30"/>
      <c r="V187" s="30"/>
      <c r="W187" s="62"/>
      <c r="X187" s="30"/>
      <c r="Y187" s="32"/>
      <c r="Z187" s="32"/>
      <c r="AA187" s="32"/>
      <c r="AB187" s="62"/>
      <c r="AC187" s="62"/>
      <c r="AD187" s="62"/>
      <c r="AE187" s="146"/>
      <c r="AF187" s="146"/>
      <c r="AG187" s="67">
        <v>3</v>
      </c>
      <c r="AH187" s="18"/>
    </row>
    <row r="188" spans="1:34" ht="45" customHeight="1">
      <c r="A188" s="293">
        <f t="shared" si="6"/>
        <v>181</v>
      </c>
      <c r="B188" s="28" t="s">
        <v>327</v>
      </c>
      <c r="C188" s="296" t="s">
        <v>1635</v>
      </c>
      <c r="D188" s="56">
        <f>IF(F188="","",SUBTOTAL(3,$F$6:F188))</f>
        <v>182</v>
      </c>
      <c r="E188" s="34" t="s">
        <v>13</v>
      </c>
      <c r="F188" s="108" t="s">
        <v>1709</v>
      </c>
      <c r="G188" s="40" t="s">
        <v>732</v>
      </c>
      <c r="H188" s="83" t="str">
        <f>IF($G188&lt;&gt;"",VLOOKUP($G188,'WPS '!C$5:M$209,3,FALSE),"")</f>
        <v>FCAW</v>
      </c>
      <c r="I188" s="22" t="s">
        <v>1499</v>
      </c>
      <c r="J188" s="77" t="s">
        <v>1390</v>
      </c>
      <c r="K188" s="69" t="s">
        <v>1478</v>
      </c>
      <c r="L188" s="22" t="str">
        <f>IF($G188&lt;&gt;"",VLOOKUP($G188,'WPS '!C$5:M$209,8,FALSE),"")</f>
        <v>E71T-1C</v>
      </c>
      <c r="M188" s="76" t="s">
        <v>1060</v>
      </c>
      <c r="N188" s="21">
        <v>44212</v>
      </c>
      <c r="O188" s="21">
        <v>44400</v>
      </c>
      <c r="P188" s="21">
        <f t="shared" si="5"/>
        <v>46045</v>
      </c>
      <c r="Q188" s="164" t="str">
        <f>IF($G188&lt;&gt;"",VLOOKUP($G188,'WPS '!C$5:M$209,11,FALSE),"")</f>
        <v>AWS D1.1</v>
      </c>
      <c r="R188" s="147" t="str">
        <f>IF($G188&lt;&gt;"",VLOOKUP($G188,'WPS '!$C$5:$M$209,2,FALSE),"")</f>
        <v>OSR-WPS-D1.1-FC-003</v>
      </c>
      <c r="S188" s="30"/>
      <c r="T188" s="30" t="s">
        <v>356</v>
      </c>
      <c r="U188" s="30"/>
      <c r="V188" s="30" t="s">
        <v>356</v>
      </c>
      <c r="W188" s="30"/>
      <c r="X188" s="30"/>
      <c r="Y188" s="30"/>
      <c r="Z188" s="30"/>
      <c r="AA188" s="30"/>
      <c r="AB188" s="30"/>
      <c r="AC188" s="30"/>
      <c r="AD188" s="30"/>
      <c r="AE188" s="54"/>
      <c r="AF188" s="54" t="s">
        <v>356</v>
      </c>
      <c r="AG188" s="153">
        <v>9</v>
      </c>
    </row>
    <row r="189" spans="1:34" ht="45" customHeight="1">
      <c r="A189" s="293">
        <f t="shared" si="6"/>
        <v>182</v>
      </c>
      <c r="B189" s="28" t="s">
        <v>327</v>
      </c>
      <c r="C189" s="296" t="s">
        <v>1635</v>
      </c>
      <c r="D189" s="56">
        <f>IF(F189="","",SUBTOTAL(3,$F$6:F189))</f>
        <v>183</v>
      </c>
      <c r="E189" s="34" t="s">
        <v>13</v>
      </c>
      <c r="F189" s="108" t="s">
        <v>1709</v>
      </c>
      <c r="G189" s="40" t="s">
        <v>736</v>
      </c>
      <c r="H189" s="83" t="str">
        <f>IF($G189&lt;&gt;"",VLOOKUP($G189,'WPS '!C$5:M$209,3,FALSE),"")</f>
        <v>FCAW</v>
      </c>
      <c r="I189" s="22" t="s">
        <v>1116</v>
      </c>
      <c r="J189" s="77" t="s">
        <v>104</v>
      </c>
      <c r="K189" s="69" t="s">
        <v>1483</v>
      </c>
      <c r="L189" s="22" t="str">
        <f>IF($G189&lt;&gt;"",VLOOKUP($G189,'WPS '!C$5:M$209,8,FALSE),"")</f>
        <v>E71T-1C</v>
      </c>
      <c r="M189" s="76" t="s">
        <v>1117</v>
      </c>
      <c r="N189" s="21">
        <v>44396</v>
      </c>
      <c r="O189" s="21">
        <v>44400</v>
      </c>
      <c r="P189" s="21">
        <f t="shared" si="5"/>
        <v>46045</v>
      </c>
      <c r="Q189" s="164" t="str">
        <f>IF($G189&lt;&gt;"",VLOOKUP($G189,'WPS '!C$5:M$209,11,FALSE),"")</f>
        <v>AWS D1.3</v>
      </c>
      <c r="R189" s="147" t="str">
        <f>IF($G189&lt;&gt;"",VLOOKUP($G189,'WPS '!$C$5:$M$209,2,FALSE),"")</f>
        <v>OSR-WPS-D1.3-FC-008</v>
      </c>
      <c r="S189" s="30"/>
      <c r="T189" s="30"/>
      <c r="U189" s="30"/>
      <c r="V189" s="30"/>
      <c r="W189" s="30"/>
      <c r="X189" s="30"/>
      <c r="Y189" s="30"/>
      <c r="Z189" s="30"/>
      <c r="AA189" s="30"/>
      <c r="AB189" s="30"/>
      <c r="AC189" s="30"/>
      <c r="AD189" s="30"/>
      <c r="AE189" s="54"/>
      <c r="AF189" s="54"/>
      <c r="AG189" s="153">
        <v>9</v>
      </c>
    </row>
    <row r="190" spans="1:34" ht="45" customHeight="1">
      <c r="A190" s="293">
        <f t="shared" si="6"/>
        <v>183</v>
      </c>
      <c r="B190" s="28" t="s">
        <v>327</v>
      </c>
      <c r="C190" s="297" t="s">
        <v>1635</v>
      </c>
      <c r="D190" s="56">
        <f>IF(F190="","",SUBTOTAL(3,$F$6:F190))</f>
        <v>184</v>
      </c>
      <c r="E190" s="34" t="s">
        <v>13</v>
      </c>
      <c r="F190" s="107" t="s">
        <v>1709</v>
      </c>
      <c r="G190" s="39" t="s">
        <v>742</v>
      </c>
      <c r="H190" s="83" t="str">
        <f>IF($G190&lt;&gt;"",VLOOKUP($G190,'WPS '!C$5:M$209,3,FALSE),"")</f>
        <v>FCAW</v>
      </c>
      <c r="I190" s="22" t="s">
        <v>1398</v>
      </c>
      <c r="J190" s="77" t="s">
        <v>107</v>
      </c>
      <c r="K190" s="69" t="s">
        <v>1481</v>
      </c>
      <c r="L190" s="22" t="str">
        <f>IF($G190&lt;&gt;"",VLOOKUP($G190,'WPS '!C$5:M$209,8,FALSE),"")</f>
        <v>E308LT1-1</v>
      </c>
      <c r="M190" s="76" t="s">
        <v>1034</v>
      </c>
      <c r="N190" s="21">
        <v>43259</v>
      </c>
      <c r="O190" s="21">
        <v>43260</v>
      </c>
      <c r="P190" s="21">
        <f t="shared" si="5"/>
        <v>46000</v>
      </c>
      <c r="Q190" s="164" t="str">
        <f>IF($G190&lt;&gt;"",VLOOKUP($G190,'WPS '!C$5:M$209,11,FALSE),"")</f>
        <v>AWS D1.6</v>
      </c>
      <c r="R190" s="147" t="str">
        <f>IF($G190&lt;&gt;"",VLOOKUP($G190,'WPS '!$C$5:$M$209,2,FALSE),"")</f>
        <v>OSR-WPS-D1.6-FC-014</v>
      </c>
      <c r="S190" s="30"/>
      <c r="T190" s="30"/>
      <c r="U190" s="30"/>
      <c r="V190" s="148"/>
      <c r="W190" s="148"/>
      <c r="X190" s="148"/>
      <c r="Y190" s="148"/>
      <c r="Z190" s="148"/>
      <c r="AA190" s="148"/>
      <c r="AB190" s="148"/>
      <c r="AC190" s="62" t="s">
        <v>95</v>
      </c>
      <c r="AD190" s="62"/>
      <c r="AE190" s="146"/>
      <c r="AF190" s="146"/>
      <c r="AG190" s="153">
        <v>15</v>
      </c>
    </row>
    <row r="191" spans="1:34" ht="45" customHeight="1">
      <c r="A191" s="293">
        <f t="shared" si="6"/>
        <v>184</v>
      </c>
      <c r="B191" s="28" t="s">
        <v>327</v>
      </c>
      <c r="C191" s="297" t="s">
        <v>1635</v>
      </c>
      <c r="D191" s="56">
        <f>IF(F191="","",SUBTOTAL(3,$F$6:F191))</f>
        <v>185</v>
      </c>
      <c r="E191" s="34" t="s">
        <v>13</v>
      </c>
      <c r="F191" s="107" t="s">
        <v>1709</v>
      </c>
      <c r="G191" s="39" t="s">
        <v>746</v>
      </c>
      <c r="H191" s="83" t="str">
        <f>IF($G191&lt;&gt;"",VLOOKUP($G191,'WPS '!C$5:M$209,3,FALSE),"")</f>
        <v>FCAW</v>
      </c>
      <c r="I191" s="22" t="s">
        <v>1398</v>
      </c>
      <c r="J191" s="77" t="s">
        <v>107</v>
      </c>
      <c r="K191" s="69" t="s">
        <v>1048</v>
      </c>
      <c r="L191" s="22" t="str">
        <f>IF($G191&lt;&gt;"",VLOOKUP($G191,'WPS '!C$5:M$209,8,FALSE),"")</f>
        <v>E71T-1C</v>
      </c>
      <c r="M191" s="76" t="s">
        <v>1051</v>
      </c>
      <c r="N191" s="21">
        <v>42955</v>
      </c>
      <c r="O191" s="21">
        <v>42961</v>
      </c>
      <c r="P191" s="21">
        <f t="shared" si="5"/>
        <v>46067</v>
      </c>
      <c r="Q191" s="164" t="str">
        <f>IF($G191&lt;&gt;"",VLOOKUP($G191,'WPS '!C$5:M$209,11,FALSE),"")</f>
        <v>AWS D1.1</v>
      </c>
      <c r="R191" s="147" t="str">
        <f>IF($G191&lt;&gt;"",VLOOKUP($G191,'WPS '!$C$5:$M$209,2,FALSE),"")</f>
        <v>OSR-WPS-D1.1-FC-018</v>
      </c>
      <c r="S191" s="30"/>
      <c r="T191" s="30"/>
      <c r="U191" s="30"/>
      <c r="V191" s="148"/>
      <c r="W191" s="148"/>
      <c r="X191" s="148"/>
      <c r="Y191" s="148"/>
      <c r="Z191" s="148"/>
      <c r="AA191" s="148"/>
      <c r="AB191" s="148"/>
      <c r="AC191" s="62"/>
      <c r="AD191" s="62"/>
      <c r="AE191" s="146"/>
      <c r="AF191" s="146"/>
      <c r="AG191" s="153">
        <v>17</v>
      </c>
    </row>
    <row r="192" spans="1:34" ht="45" customHeight="1">
      <c r="A192" s="293">
        <f t="shared" si="6"/>
        <v>185</v>
      </c>
      <c r="B192" s="28" t="s">
        <v>327</v>
      </c>
      <c r="C192" s="297" t="s">
        <v>1635</v>
      </c>
      <c r="D192" s="56">
        <f>IF(F192="","",SUBTOTAL(3,$F$6:F192))</f>
        <v>186</v>
      </c>
      <c r="E192" s="34" t="s">
        <v>13</v>
      </c>
      <c r="F192" s="107" t="s">
        <v>1709</v>
      </c>
      <c r="G192" s="39" t="s">
        <v>759</v>
      </c>
      <c r="H192" s="83" t="str">
        <f>IF($G192&lt;&gt;"",VLOOKUP($G192,'WPS '!C$5:M$209,3,FALSE),"")</f>
        <v>GMAW</v>
      </c>
      <c r="I192" s="22" t="s">
        <v>1504</v>
      </c>
      <c r="J192" s="77" t="s">
        <v>1390</v>
      </c>
      <c r="K192" s="69" t="s">
        <v>1478</v>
      </c>
      <c r="L192" s="22" t="str">
        <f>IF($G192&lt;&gt;"",VLOOKUP($G192,'WPS '!C$5:M$209,8,FALSE),"")</f>
        <v>ER70S-6</v>
      </c>
      <c r="M192" s="76" t="s">
        <v>1086</v>
      </c>
      <c r="N192" s="21">
        <v>44212</v>
      </c>
      <c r="O192" s="21">
        <v>44980</v>
      </c>
      <c r="P192" s="21">
        <f t="shared" si="5"/>
        <v>46076</v>
      </c>
      <c r="Q192" s="164" t="str">
        <f>IF($G192&lt;&gt;"",VLOOKUP($G192,'WPS '!C$5:M$209,11,FALSE),"")</f>
        <v>AWS D1.1</v>
      </c>
      <c r="R192" s="147" t="str">
        <f>IF($G192&lt;&gt;"",VLOOKUP($G192,'WPS '!$C$5:$M$209,2,FALSE),"")</f>
        <v>OSR-WPS-D1.1-GM-031</v>
      </c>
      <c r="S192" s="30"/>
      <c r="T192" s="30"/>
      <c r="U192" s="30"/>
      <c r="V192" s="148"/>
      <c r="W192" s="148"/>
      <c r="X192" s="148"/>
      <c r="Y192" s="148"/>
      <c r="Z192" s="148"/>
      <c r="AA192" s="148"/>
      <c r="AB192" s="148"/>
      <c r="AC192" s="62"/>
      <c r="AD192" s="62"/>
      <c r="AE192" s="146"/>
      <c r="AF192" s="146"/>
      <c r="AG192" s="153">
        <v>6</v>
      </c>
    </row>
    <row r="193" spans="1:34" ht="45" customHeight="1">
      <c r="A193" s="293">
        <f t="shared" si="6"/>
        <v>186</v>
      </c>
      <c r="B193" s="28" t="s">
        <v>327</v>
      </c>
      <c r="C193" s="297" t="s">
        <v>1635</v>
      </c>
      <c r="D193" s="56">
        <f>IF(F193="","",SUBTOTAL(3,$F$6:F193))</f>
        <v>187</v>
      </c>
      <c r="E193" s="34" t="s">
        <v>13</v>
      </c>
      <c r="F193" s="107" t="s">
        <v>1709</v>
      </c>
      <c r="G193" s="39" t="s">
        <v>781</v>
      </c>
      <c r="H193" s="83" t="str">
        <f>IF($G193&lt;&gt;"",VLOOKUP($G193,'WPS '!C$5:M$209,3,FALSE),"")</f>
        <v>FCAW</v>
      </c>
      <c r="I193" s="22" t="s">
        <v>1495</v>
      </c>
      <c r="J193" s="77" t="s">
        <v>1407</v>
      </c>
      <c r="K193" s="69" t="s">
        <v>1410</v>
      </c>
      <c r="L193" s="22" t="str">
        <f>IF($G193&lt;&gt;"",VLOOKUP($G193,'WPS '!C$5:M$209,8,FALSE),"")</f>
        <v>E309L</v>
      </c>
      <c r="M193" s="76" t="s">
        <v>1118</v>
      </c>
      <c r="N193" s="21">
        <v>43971</v>
      </c>
      <c r="O193" s="21">
        <v>43974</v>
      </c>
      <c r="P193" s="21">
        <f t="shared" ref="P193:P249" si="7">EDATE(O193,6*AG193)</f>
        <v>46165</v>
      </c>
      <c r="Q193" s="164" t="str">
        <f>IF($G193&lt;&gt;"",VLOOKUP($G193,'WPS '!C$5:M$209,11,FALSE),"")</f>
        <v>AWS D1.6</v>
      </c>
      <c r="R193" s="147" t="str">
        <f>IF($G193&lt;&gt;"",VLOOKUP($G193,'WPS '!$C$5:$M$209,2,FALSE),"")</f>
        <v>OSR-WPS-D1.6-FC-053</v>
      </c>
      <c r="S193" s="30"/>
      <c r="T193" s="30"/>
      <c r="U193" s="30"/>
      <c r="V193" s="148"/>
      <c r="W193" s="148"/>
      <c r="X193" s="148"/>
      <c r="Y193" s="148"/>
      <c r="Z193" s="148"/>
      <c r="AA193" s="148"/>
      <c r="AB193" s="148"/>
      <c r="AC193" s="62"/>
      <c r="AD193" s="62"/>
      <c r="AE193" s="146"/>
      <c r="AF193" s="146"/>
      <c r="AG193" s="153">
        <v>12</v>
      </c>
    </row>
    <row r="194" spans="1:34" ht="45" customHeight="1">
      <c r="A194" s="293">
        <f t="shared" si="6"/>
        <v>187</v>
      </c>
      <c r="B194" s="28" t="s">
        <v>327</v>
      </c>
      <c r="C194" s="297" t="s">
        <v>1635</v>
      </c>
      <c r="D194" s="56">
        <f>IF(F194="","",SUBTOTAL(3,$F$6:F194))</f>
        <v>188</v>
      </c>
      <c r="E194" s="34" t="s">
        <v>13</v>
      </c>
      <c r="F194" s="107" t="s">
        <v>1709</v>
      </c>
      <c r="G194" s="39" t="s">
        <v>795</v>
      </c>
      <c r="H194" s="83" t="str">
        <f>IF($G194&lt;&gt;"",VLOOKUP($G194,'WPS '!C$5:M$209,3,FALSE),"")</f>
        <v>FCAW</v>
      </c>
      <c r="I194" s="22" t="s">
        <v>1383</v>
      </c>
      <c r="J194" s="77" t="s">
        <v>1215</v>
      </c>
      <c r="K194" s="69" t="s">
        <v>1480</v>
      </c>
      <c r="L194" s="22" t="str">
        <f>IF($G194&lt;&gt;"",VLOOKUP($G194,'WPS '!C$5:M$209,8,FALSE),"")</f>
        <v>E71T-1C</v>
      </c>
      <c r="M194" s="76" t="s">
        <v>1044</v>
      </c>
      <c r="N194" s="21">
        <v>44958</v>
      </c>
      <c r="O194" s="21">
        <v>44961</v>
      </c>
      <c r="P194" s="21">
        <f t="shared" si="7"/>
        <v>46057</v>
      </c>
      <c r="Q194" s="164" t="str">
        <f>IF($G194&lt;&gt;"",VLOOKUP($G194,'WPS '!C$5:M$209,11,FALSE),"")</f>
        <v>AWS D1.1</v>
      </c>
      <c r="R194" s="147" t="str">
        <f>IF($G194&lt;&gt;"",VLOOKUP($G194,'WPS '!$C$5:$M$209,2,FALSE),"")</f>
        <v>OSR-WPS-D1.1-FC-067</v>
      </c>
      <c r="S194" s="30"/>
      <c r="T194" s="30"/>
      <c r="U194" s="30"/>
      <c r="V194" s="148"/>
      <c r="W194" s="148"/>
      <c r="X194" s="148"/>
      <c r="Y194" s="148"/>
      <c r="Z194" s="148"/>
      <c r="AA194" s="148"/>
      <c r="AB194" s="148"/>
      <c r="AC194" s="62"/>
      <c r="AD194" s="62"/>
      <c r="AE194" s="146"/>
      <c r="AF194" s="146"/>
      <c r="AG194" s="153">
        <v>6</v>
      </c>
    </row>
    <row r="195" spans="1:34" ht="45" customHeight="1">
      <c r="A195" s="293">
        <f t="shared" si="6"/>
        <v>188</v>
      </c>
      <c r="B195" s="28" t="s">
        <v>327</v>
      </c>
      <c r="C195" s="296" t="s">
        <v>1635</v>
      </c>
      <c r="D195" s="56">
        <f>IF(F195="","",SUBTOTAL(3,$F$6:F195))</f>
        <v>189</v>
      </c>
      <c r="E195" s="34" t="s">
        <v>13</v>
      </c>
      <c r="F195" s="107" t="s">
        <v>1709</v>
      </c>
      <c r="G195" s="40" t="s">
        <v>800</v>
      </c>
      <c r="H195" s="83" t="str">
        <f>IF($G195&lt;&gt;"",VLOOKUP($G195,'WPS '!C$5:M$209,3,FALSE),"")</f>
        <v>FCAW</v>
      </c>
      <c r="I195" s="22" t="s">
        <v>1505</v>
      </c>
      <c r="J195" s="77" t="s">
        <v>107</v>
      </c>
      <c r="K195" s="69" t="s">
        <v>1481</v>
      </c>
      <c r="L195" s="22" t="str">
        <f>IF($G195&lt;&gt;"",VLOOKUP($G195,'WPS '!C$5:M$209,8,FALSE),"")</f>
        <v>E309LT1-1/4</v>
      </c>
      <c r="M195" s="76" t="s">
        <v>1011</v>
      </c>
      <c r="N195" s="21">
        <v>45219</v>
      </c>
      <c r="O195" s="21">
        <v>45219</v>
      </c>
      <c r="P195" s="21">
        <f t="shared" si="7"/>
        <v>46132</v>
      </c>
      <c r="Q195" s="164" t="str">
        <f>IF($G195&lt;&gt;"",VLOOKUP($G195,'WPS '!C$5:M$209,11,FALSE),"")</f>
        <v>AWS D1.1</v>
      </c>
      <c r="R195" s="147" t="str">
        <f>IF($G195&lt;&gt;"",VLOOKUP($G195,'WPS '!$C$5:$M$209,2,FALSE),"")</f>
        <v>OSR-WPS-D1.1-FC-072</v>
      </c>
      <c r="S195" s="30"/>
      <c r="T195" s="30"/>
      <c r="U195" s="30"/>
      <c r="V195" s="30"/>
      <c r="W195" s="30"/>
      <c r="X195" s="30"/>
      <c r="Y195" s="30"/>
      <c r="Z195" s="30"/>
      <c r="AA195" s="30"/>
      <c r="AB195" s="30"/>
      <c r="AC195" s="30" t="s">
        <v>95</v>
      </c>
      <c r="AD195" s="30"/>
      <c r="AE195" s="54"/>
      <c r="AF195" s="54"/>
      <c r="AG195" s="154">
        <v>5</v>
      </c>
    </row>
    <row r="196" spans="1:34" ht="45" customHeight="1">
      <c r="A196" s="293">
        <f t="shared" si="6"/>
        <v>189</v>
      </c>
      <c r="B196" s="28" t="s">
        <v>327</v>
      </c>
      <c r="C196" s="296" t="s">
        <v>1635</v>
      </c>
      <c r="D196" s="56">
        <f>IF(F196="","",SUBTOTAL(3,$F$6:F196))</f>
        <v>190</v>
      </c>
      <c r="E196" s="34" t="s">
        <v>13</v>
      </c>
      <c r="F196" s="107" t="s">
        <v>1709</v>
      </c>
      <c r="G196" s="40" t="s">
        <v>1158</v>
      </c>
      <c r="H196" s="83" t="str">
        <f>IF($G196&lt;&gt;"",VLOOKUP($G196,'WPS '!C$5:M$209,3,FALSE),"")</f>
        <v>FCAW</v>
      </c>
      <c r="I196" s="22" t="s">
        <v>1206</v>
      </c>
      <c r="J196" s="77" t="s">
        <v>1214</v>
      </c>
      <c r="K196" s="69" t="s">
        <v>1290</v>
      </c>
      <c r="L196" s="22" t="str">
        <f>IF($G196&lt;&gt;"",VLOOKUP($G196,'WPS '!C$5:M$209,8,FALSE),"")</f>
        <v>E71T-1C</v>
      </c>
      <c r="M196" s="76" t="s">
        <v>1197</v>
      </c>
      <c r="N196" s="21">
        <v>45900</v>
      </c>
      <c r="O196" s="21">
        <v>45906</v>
      </c>
      <c r="P196" s="21">
        <f t="shared" si="7"/>
        <v>46271</v>
      </c>
      <c r="Q196" s="164" t="str">
        <f>IF($G196&lt;&gt;"",VLOOKUP($G196,'WPS '!C$5:M$209,11,FALSE),"")</f>
        <v>AWS D1.1</v>
      </c>
      <c r="R196" s="147" t="str">
        <f>IF($G196&lt;&gt;"",VLOOKUP($G196,'WPS '!$C$5:$M$209,2,FALSE),"")</f>
        <v>OSR-WPS-D1.1-FC-095</v>
      </c>
      <c r="S196" s="30"/>
      <c r="T196" s="30"/>
      <c r="U196" s="30"/>
      <c r="V196" s="30"/>
      <c r="W196" s="30"/>
      <c r="X196" s="30"/>
      <c r="Y196" s="30"/>
      <c r="Z196" s="30"/>
      <c r="AA196" s="30"/>
      <c r="AB196" s="30"/>
      <c r="AC196" s="30" t="s">
        <v>95</v>
      </c>
      <c r="AD196" s="30" t="s">
        <v>356</v>
      </c>
      <c r="AE196" s="54"/>
      <c r="AF196" s="54"/>
      <c r="AG196" s="153">
        <v>2</v>
      </c>
    </row>
    <row r="197" spans="1:34" ht="45" customHeight="1">
      <c r="A197" s="293">
        <f t="shared" si="6"/>
        <v>190</v>
      </c>
      <c r="B197" s="28" t="s">
        <v>327</v>
      </c>
      <c r="C197" s="296" t="s">
        <v>1635</v>
      </c>
      <c r="D197" s="56">
        <f>IF(F197="","",SUBTOTAL(3,$F$6:F197))</f>
        <v>191</v>
      </c>
      <c r="E197" s="34" t="s">
        <v>13</v>
      </c>
      <c r="F197" s="107" t="s">
        <v>1709</v>
      </c>
      <c r="G197" s="99" t="s">
        <v>1160</v>
      </c>
      <c r="H197" s="83" t="str">
        <f>IF($G197&lt;&gt;"",VLOOKUP($G197,'WPS '!C$5:M$209,3,FALSE),"")</f>
        <v>FCAW</v>
      </c>
      <c r="I197" s="22" t="s">
        <v>1830</v>
      </c>
      <c r="J197" s="77" t="s">
        <v>1215</v>
      </c>
      <c r="K197" s="69" t="s">
        <v>1831</v>
      </c>
      <c r="L197" s="22" t="str">
        <f>IF($G197&lt;&gt;"",VLOOKUP($G197,'WPS '!C$5:M$209,8,FALSE),"")</f>
        <v>E309LT1-1/-4</v>
      </c>
      <c r="M197" s="76" t="s">
        <v>1832</v>
      </c>
      <c r="N197" s="21">
        <v>45955</v>
      </c>
      <c r="O197" s="21">
        <v>45960</v>
      </c>
      <c r="P197" s="21">
        <f t="shared" si="7"/>
        <v>46325</v>
      </c>
      <c r="Q197" s="164" t="str">
        <f>IF($G197&lt;&gt;"",VLOOKUP($G197,'WPS '!C$5:M$209,11,FALSE),"")</f>
        <v>AWS D1.6</v>
      </c>
      <c r="R197" s="147" t="str">
        <f>IF($G197&lt;&gt;"",VLOOKUP($G197,'WPS '!$C$5:$M$209,2,FALSE),"")</f>
        <v>OSR-WPS-D1.6-FC-096</v>
      </c>
      <c r="S197" s="30"/>
      <c r="T197" s="30"/>
      <c r="U197" s="30"/>
      <c r="V197" s="30"/>
      <c r="W197" s="30"/>
      <c r="X197" s="30"/>
      <c r="Y197" s="30"/>
      <c r="Z197" s="30"/>
      <c r="AA197" s="30"/>
      <c r="AB197" s="30"/>
      <c r="AC197" s="30" t="s">
        <v>95</v>
      </c>
      <c r="AD197" s="30"/>
      <c r="AE197" s="54"/>
      <c r="AF197" s="54" t="s">
        <v>356</v>
      </c>
      <c r="AG197" s="153">
        <v>2</v>
      </c>
    </row>
    <row r="198" spans="1:34" s="2" customFormat="1" ht="45" customHeight="1">
      <c r="A198" s="293">
        <f t="shared" si="6"/>
        <v>191</v>
      </c>
      <c r="B198" s="28" t="s">
        <v>327</v>
      </c>
      <c r="C198" s="296" t="s">
        <v>1635</v>
      </c>
      <c r="D198" s="56">
        <f>IF(F198="","",SUBTOTAL(3,$F$6:F198))</f>
        <v>192</v>
      </c>
      <c r="E198" s="34" t="s">
        <v>13</v>
      </c>
      <c r="F198" s="107" t="s">
        <v>1709</v>
      </c>
      <c r="G198" s="40" t="s">
        <v>1220</v>
      </c>
      <c r="H198" s="83" t="str">
        <f>IF($G198&lt;&gt;"",VLOOKUP($G198,'WPS '!C$5:M$209,3,FALSE),"")</f>
        <v>FCAW</v>
      </c>
      <c r="I198" s="22" t="s">
        <v>1293</v>
      </c>
      <c r="J198" s="77" t="s">
        <v>1215</v>
      </c>
      <c r="K198" s="69" t="s">
        <v>1292</v>
      </c>
      <c r="L198" s="22" t="str">
        <f>IF($G198&lt;&gt;"",VLOOKUP($G198,'WPS '!C$5:M$209,8,FALSE),"")</f>
        <v>E71T-1C</v>
      </c>
      <c r="M198" s="76" t="s">
        <v>1294</v>
      </c>
      <c r="N198" s="21">
        <v>45894</v>
      </c>
      <c r="O198" s="21">
        <v>45906</v>
      </c>
      <c r="P198" s="21">
        <f t="shared" si="7"/>
        <v>46271</v>
      </c>
      <c r="Q198" s="164" t="str">
        <f>IF($G198&lt;&gt;"",VLOOKUP($G198,'WPS '!C$5:M$209,11,FALSE),"")</f>
        <v>AWS D1.1</v>
      </c>
      <c r="R198" s="147" t="str">
        <f>IF($G198&lt;&gt;"",VLOOKUP($G198,'WPS '!$C$5:$M$209,2,FALSE),"")</f>
        <v>OSR-WPS-D1.1-FC-106</v>
      </c>
      <c r="S198" s="30"/>
      <c r="T198" s="30"/>
      <c r="U198" s="30"/>
      <c r="V198" s="30"/>
      <c r="W198" s="30"/>
      <c r="X198" s="30"/>
      <c r="Y198" s="30"/>
      <c r="Z198" s="30"/>
      <c r="AA198" s="30"/>
      <c r="AB198" s="30"/>
      <c r="AC198" s="30" t="s">
        <v>95</v>
      </c>
      <c r="AD198" s="30" t="s">
        <v>356</v>
      </c>
      <c r="AE198" s="54"/>
      <c r="AF198" s="54"/>
      <c r="AG198" s="153">
        <v>2</v>
      </c>
    </row>
    <row r="199" spans="1:34" ht="45" customHeight="1">
      <c r="A199" s="293">
        <f t="shared" si="6"/>
        <v>192</v>
      </c>
      <c r="B199" s="5" t="s">
        <v>1634</v>
      </c>
      <c r="C199" s="5" t="s">
        <v>328</v>
      </c>
      <c r="D199" s="56">
        <f>IF(F199="","",SUBTOTAL(3,$F$6:F199))</f>
        <v>193</v>
      </c>
      <c r="E199" s="35" t="s">
        <v>202</v>
      </c>
      <c r="F199" s="106" t="s">
        <v>1774</v>
      </c>
      <c r="G199" s="40" t="s">
        <v>701</v>
      </c>
      <c r="H199" s="83">
        <f>IF($G199&lt;&gt;"",VLOOKUP($G199,'WPS '!C$5:M$209,3,FALSE),"")</f>
        <v>136</v>
      </c>
      <c r="I199" s="22" t="s">
        <v>1250</v>
      </c>
      <c r="J199" s="22" t="s">
        <v>257</v>
      </c>
      <c r="K199" s="69" t="s">
        <v>884</v>
      </c>
      <c r="L199" s="22" t="str">
        <f>IF($G199&lt;&gt;"",VLOOKUP($G199,'WPS '!C$5:M$209,8,FALSE),"")</f>
        <v>E81T1-W2C</v>
      </c>
      <c r="M199" s="76" t="s">
        <v>203</v>
      </c>
      <c r="N199" s="21">
        <v>45821</v>
      </c>
      <c r="O199" s="21">
        <v>45825</v>
      </c>
      <c r="P199" s="21">
        <f t="shared" si="7"/>
        <v>46190</v>
      </c>
      <c r="Q199" s="164" t="s">
        <v>1811</v>
      </c>
      <c r="R199" s="147" t="str">
        <f>IF($G199&lt;&gt;"",VLOOKUP($G199,'WPS '!$C$5:$M$209,2,FALSE),"")</f>
        <v>OSR-WPS-ISO-PC-046</v>
      </c>
      <c r="S199" s="30"/>
      <c r="T199" s="30"/>
      <c r="U199" s="30"/>
      <c r="V199" s="30"/>
      <c r="W199" s="30"/>
      <c r="X199" s="30" t="s">
        <v>95</v>
      </c>
      <c r="Y199" s="30"/>
      <c r="Z199" s="30"/>
      <c r="AA199" s="30"/>
      <c r="AB199" s="30"/>
      <c r="AC199" s="30"/>
      <c r="AD199" s="30"/>
      <c r="AE199" s="54"/>
      <c r="AF199" s="54"/>
      <c r="AG199" s="66">
        <v>2</v>
      </c>
      <c r="AH199" s="115"/>
    </row>
    <row r="200" spans="1:34" ht="45" customHeight="1">
      <c r="A200" s="293">
        <f t="shared" ref="A200:A263" si="8">A199+1</f>
        <v>193</v>
      </c>
      <c r="B200" s="28" t="s">
        <v>1634</v>
      </c>
      <c r="C200" s="28" t="s">
        <v>328</v>
      </c>
      <c r="D200" s="56">
        <f>IF(F200="","",SUBTOTAL(3,$F$6:F200))</f>
        <v>194</v>
      </c>
      <c r="E200" s="34" t="s">
        <v>838</v>
      </c>
      <c r="F200" s="107" t="s">
        <v>1757</v>
      </c>
      <c r="G200" s="39" t="s">
        <v>719</v>
      </c>
      <c r="H200" s="83" t="str">
        <f>IF($G200&lt;&gt;"",VLOOKUP($G200,'WPS '!C$5:M$209,3,FALSE),"")</f>
        <v>FCAW</v>
      </c>
      <c r="I200" s="22" t="s">
        <v>849</v>
      </c>
      <c r="J200" s="22" t="s">
        <v>1215</v>
      </c>
      <c r="K200" s="69" t="s">
        <v>964</v>
      </c>
      <c r="L200" s="22" t="str">
        <f>IF($G200&lt;&gt;"",VLOOKUP($G200,'WPS '!C$5:M$209,8,FALSE),"")</f>
        <v>E71T-1C</v>
      </c>
      <c r="M200" s="76" t="s">
        <v>839</v>
      </c>
      <c r="N200" s="21">
        <v>45871</v>
      </c>
      <c r="O200" s="21">
        <v>45873</v>
      </c>
      <c r="P200" s="21">
        <f t="shared" si="7"/>
        <v>46238</v>
      </c>
      <c r="Q200" s="164" t="str">
        <f>IF($G200&lt;&gt;"",VLOOKUP($G200,'WPS '!C$5:M$209,11,FALSE),"")</f>
        <v>ASME IX</v>
      </c>
      <c r="R200" s="147" t="str">
        <f>IF($G200&lt;&gt;"",VLOOKUP($G200,'WPS '!$C$5:$M$209,2,FALSE),"")</f>
        <v>OSR-WPS-ASME-FC-002</v>
      </c>
      <c r="S200" s="30" t="s">
        <v>356</v>
      </c>
      <c r="T200" s="30"/>
      <c r="U200" s="30"/>
      <c r="V200" s="30"/>
      <c r="W200" s="62"/>
      <c r="X200" s="30"/>
      <c r="Y200" s="32"/>
      <c r="Z200" s="32"/>
      <c r="AA200" s="32"/>
      <c r="AB200" s="62"/>
      <c r="AC200" s="62"/>
      <c r="AD200" s="62"/>
      <c r="AE200" s="146"/>
      <c r="AF200" s="146"/>
      <c r="AG200" s="67">
        <v>2</v>
      </c>
      <c r="AH200" s="18"/>
    </row>
    <row r="201" spans="1:34" ht="45" customHeight="1">
      <c r="A201" s="293">
        <f t="shared" si="8"/>
        <v>194</v>
      </c>
      <c r="B201" s="5" t="s">
        <v>327</v>
      </c>
      <c r="C201" s="296" t="s">
        <v>1635</v>
      </c>
      <c r="D201" s="56">
        <f>IF(F201="","",SUBTOTAL(3,$F$6:F201))</f>
        <v>195</v>
      </c>
      <c r="E201" s="34" t="s">
        <v>15</v>
      </c>
      <c r="F201" s="108" t="s">
        <v>1718</v>
      </c>
      <c r="G201" s="40" t="s">
        <v>664</v>
      </c>
      <c r="H201" s="83">
        <f>IF($G201&lt;&gt;"",VLOOKUP($G201,'WPS '!C$5:M$209,3,FALSE),"")</f>
        <v>136</v>
      </c>
      <c r="I201" s="22" t="s">
        <v>1251</v>
      </c>
      <c r="J201" s="22" t="s">
        <v>1683</v>
      </c>
      <c r="K201" s="69" t="s">
        <v>922</v>
      </c>
      <c r="L201" s="22" t="str">
        <f>IF($G201&lt;&gt;"",VLOOKUP($G201,'WPS '!C$5:M$209,8,FALSE),"")</f>
        <v>E309HT1-1</v>
      </c>
      <c r="M201" s="76" t="s">
        <v>16</v>
      </c>
      <c r="N201" s="21">
        <v>44995</v>
      </c>
      <c r="O201" s="21">
        <v>45000</v>
      </c>
      <c r="P201" s="21">
        <f t="shared" si="7"/>
        <v>46096</v>
      </c>
      <c r="Q201" s="164" t="s">
        <v>1811</v>
      </c>
      <c r="R201" s="147" t="str">
        <f>IF($G201&lt;&gt;"",VLOOKUP($G201,'WPS '!$C$5:$M$209,2,FALSE),"")</f>
        <v>OSR-WPS-ISO-PB-008</v>
      </c>
      <c r="S201" s="30"/>
      <c r="T201" s="30"/>
      <c r="U201" s="30"/>
      <c r="V201" s="30"/>
      <c r="W201" s="30" t="s">
        <v>356</v>
      </c>
      <c r="X201" s="30"/>
      <c r="Y201" s="30"/>
      <c r="Z201" s="30"/>
      <c r="AA201" s="30" t="s">
        <v>95</v>
      </c>
      <c r="AB201" s="30"/>
      <c r="AC201" s="30"/>
      <c r="AD201" s="30"/>
      <c r="AE201" s="54"/>
      <c r="AF201" s="54"/>
      <c r="AG201" s="66">
        <v>6</v>
      </c>
      <c r="AH201" s="115"/>
    </row>
    <row r="202" spans="1:34" ht="45" customHeight="1">
      <c r="A202" s="293">
        <f t="shared" si="8"/>
        <v>195</v>
      </c>
      <c r="B202" s="5" t="s">
        <v>327</v>
      </c>
      <c r="C202" s="296" t="s">
        <v>1635</v>
      </c>
      <c r="D202" s="56">
        <f>IF(F202="","",SUBTOTAL(3,$F$6:F202))</f>
        <v>196</v>
      </c>
      <c r="E202" s="34" t="s">
        <v>15</v>
      </c>
      <c r="F202" s="108" t="s">
        <v>1718</v>
      </c>
      <c r="G202" s="40" t="s">
        <v>701</v>
      </c>
      <c r="H202" s="83">
        <f>IF($G202&lt;&gt;"",VLOOKUP($G202,'WPS '!C$5:M$209,3,FALSE),"")</f>
        <v>136</v>
      </c>
      <c r="I202" s="22" t="s">
        <v>1250</v>
      </c>
      <c r="J202" s="22" t="s">
        <v>257</v>
      </c>
      <c r="K202" s="69" t="s">
        <v>884</v>
      </c>
      <c r="L202" s="22" t="str">
        <f>IF($G202&lt;&gt;"",VLOOKUP($G202,'WPS '!C$5:M$209,8,FALSE),"")</f>
        <v>E81T1-W2C</v>
      </c>
      <c r="M202" s="76" t="s">
        <v>139</v>
      </c>
      <c r="N202" s="21">
        <v>45724</v>
      </c>
      <c r="O202" s="21">
        <v>45731</v>
      </c>
      <c r="P202" s="21">
        <f t="shared" si="7"/>
        <v>46096</v>
      </c>
      <c r="Q202" s="164" t="s">
        <v>1811</v>
      </c>
      <c r="R202" s="147" t="str">
        <f>IF($G202&lt;&gt;"",VLOOKUP($G202,'WPS '!$C$5:$M$209,2,FALSE),"")</f>
        <v>OSR-WPS-ISO-PC-046</v>
      </c>
      <c r="S202" s="30"/>
      <c r="T202" s="30"/>
      <c r="U202" s="30"/>
      <c r="V202" s="30"/>
      <c r="W202" s="30"/>
      <c r="X202" s="30" t="s">
        <v>95</v>
      </c>
      <c r="Y202" s="30"/>
      <c r="Z202" s="30"/>
      <c r="AA202" s="30"/>
      <c r="AB202" s="30"/>
      <c r="AC202" s="30"/>
      <c r="AD202" s="30"/>
      <c r="AE202" s="54"/>
      <c r="AF202" s="54"/>
      <c r="AG202" s="66">
        <v>2</v>
      </c>
      <c r="AH202" s="115"/>
    </row>
    <row r="203" spans="1:34" ht="45" customHeight="1">
      <c r="A203" s="293">
        <f t="shared" si="8"/>
        <v>196</v>
      </c>
      <c r="B203" s="5" t="s">
        <v>326</v>
      </c>
      <c r="C203" s="296" t="s">
        <v>1635</v>
      </c>
      <c r="D203" s="56">
        <f>IF(F203="","",SUBTOTAL(3,$F$6:F203))</f>
        <v>197</v>
      </c>
      <c r="E203" s="34" t="s">
        <v>15</v>
      </c>
      <c r="F203" s="108" t="s">
        <v>1718</v>
      </c>
      <c r="G203" s="40" t="s">
        <v>706</v>
      </c>
      <c r="H203" s="83">
        <f>IF($G203&lt;&gt;"",VLOOKUP($G203,'WPS '!C$5:M$209,3,FALSE),"")</f>
        <v>136</v>
      </c>
      <c r="I203" s="22" t="s">
        <v>1251</v>
      </c>
      <c r="J203" s="22" t="s">
        <v>242</v>
      </c>
      <c r="K203" s="69" t="s">
        <v>884</v>
      </c>
      <c r="L203" s="22" t="str">
        <f>IF($G203&lt;&gt;"",VLOOKUP($G203,'WPS '!C$5:M$209,8,FALSE),"")</f>
        <v>E71T-1C</v>
      </c>
      <c r="M203" s="76" t="s">
        <v>899</v>
      </c>
      <c r="N203" s="21">
        <v>45786</v>
      </c>
      <c r="O203" s="21">
        <v>45799</v>
      </c>
      <c r="P203" s="21">
        <f t="shared" si="7"/>
        <v>46164</v>
      </c>
      <c r="Q203" s="164" t="s">
        <v>1811</v>
      </c>
      <c r="R203" s="147" t="str">
        <f>IF($G203&lt;&gt;"",VLOOKUP($G203,'WPS '!$C$5:$M$209,2,FALSE),"")</f>
        <v>OSR-WPS-ISO-PF-051</v>
      </c>
      <c r="S203" s="30"/>
      <c r="T203" s="30"/>
      <c r="U203" s="30"/>
      <c r="V203" s="30"/>
      <c r="W203" s="30"/>
      <c r="X203" s="30"/>
      <c r="Y203" s="30" t="s">
        <v>95</v>
      </c>
      <c r="Z203" s="30"/>
      <c r="AA203" s="30"/>
      <c r="AB203" s="30"/>
      <c r="AC203" s="30"/>
      <c r="AD203" s="30"/>
      <c r="AE203" s="54"/>
      <c r="AF203" s="54"/>
      <c r="AG203" s="66">
        <v>2</v>
      </c>
      <c r="AH203" s="115"/>
    </row>
    <row r="204" spans="1:34" ht="45" customHeight="1">
      <c r="A204" s="293">
        <f t="shared" si="8"/>
        <v>197</v>
      </c>
      <c r="B204" s="5" t="s">
        <v>933</v>
      </c>
      <c r="C204" s="296" t="s">
        <v>1635</v>
      </c>
      <c r="D204" s="56">
        <f>IF(F204="","",SUBTOTAL(3,$F$6:F204))</f>
        <v>198</v>
      </c>
      <c r="E204" s="34" t="s">
        <v>15</v>
      </c>
      <c r="F204" s="108" t="s">
        <v>1718</v>
      </c>
      <c r="G204" s="40" t="s">
        <v>717</v>
      </c>
      <c r="H204" s="83">
        <f>IF($G204&lt;&gt;"",VLOOKUP($G204,'WPS '!C$5:M$209,3,FALSE),"")</f>
        <v>136</v>
      </c>
      <c r="I204" s="22" t="s">
        <v>1251</v>
      </c>
      <c r="J204" s="22" t="s">
        <v>894</v>
      </c>
      <c r="K204" s="69" t="s">
        <v>884</v>
      </c>
      <c r="L204" s="22" t="str">
        <f>IF($G204&lt;&gt;"",VLOOKUP($G204,'WPS '!C$5:M$209,8,FALSE),"")</f>
        <v>E71T-1C</v>
      </c>
      <c r="M204" s="76" t="s">
        <v>900</v>
      </c>
      <c r="N204" s="21">
        <v>45843</v>
      </c>
      <c r="O204" s="21">
        <v>45850</v>
      </c>
      <c r="P204" s="21">
        <f t="shared" si="7"/>
        <v>46215</v>
      </c>
      <c r="Q204" s="164" t="s">
        <v>1811</v>
      </c>
      <c r="R204" s="147" t="str">
        <f>IF($G204&lt;&gt;"",VLOOKUP($G204,'WPS '!$C$5:$M$209,2,FALSE),"")</f>
        <v>OSR-WPS-ISO-PF-062</v>
      </c>
      <c r="S204" s="30"/>
      <c r="T204" s="30"/>
      <c r="U204" s="30"/>
      <c r="V204" s="30"/>
      <c r="W204" s="30"/>
      <c r="X204" s="30"/>
      <c r="Y204" s="30" t="s">
        <v>95</v>
      </c>
      <c r="Z204" s="30"/>
      <c r="AA204" s="30"/>
      <c r="AB204" s="30"/>
      <c r="AC204" s="30"/>
      <c r="AD204" s="30"/>
      <c r="AE204" s="54"/>
      <c r="AF204" s="54"/>
      <c r="AG204" s="66">
        <v>2</v>
      </c>
      <c r="AH204" s="115"/>
    </row>
    <row r="205" spans="1:34" ht="45" customHeight="1">
      <c r="A205" s="293">
        <f t="shared" si="8"/>
        <v>198</v>
      </c>
      <c r="B205" s="28" t="s">
        <v>327</v>
      </c>
      <c r="C205" s="295" t="s">
        <v>1635</v>
      </c>
      <c r="D205" s="56">
        <f>IF(F205="","",SUBTOTAL(3,$F$6:F205))</f>
        <v>199</v>
      </c>
      <c r="E205" s="34" t="s">
        <v>15</v>
      </c>
      <c r="F205" s="107" t="s">
        <v>1718</v>
      </c>
      <c r="G205" s="39" t="s">
        <v>719</v>
      </c>
      <c r="H205" s="83" t="str">
        <f>IF($G205&lt;&gt;"",VLOOKUP($G205,'WPS '!C$5:M$209,3,FALSE),"")</f>
        <v>FCAW</v>
      </c>
      <c r="I205" s="22" t="s">
        <v>850</v>
      </c>
      <c r="J205" s="22" t="s">
        <v>1215</v>
      </c>
      <c r="K205" s="69" t="s">
        <v>964</v>
      </c>
      <c r="L205" s="22" t="str">
        <f>IF($G205&lt;&gt;"",VLOOKUP($G205,'WPS '!C$5:M$209,8,FALSE),"")</f>
        <v>E71T-1C</v>
      </c>
      <c r="M205" s="76" t="s">
        <v>292</v>
      </c>
      <c r="N205" s="21">
        <v>45586</v>
      </c>
      <c r="O205" s="21">
        <v>45590</v>
      </c>
      <c r="P205" s="21">
        <f t="shared" si="7"/>
        <v>46137</v>
      </c>
      <c r="Q205" s="164" t="str">
        <f>IF($G205&lt;&gt;"",VLOOKUP($G205,'WPS '!C$5:M$209,11,FALSE),"")</f>
        <v>ASME IX</v>
      </c>
      <c r="R205" s="147" t="str">
        <f>IF($G205&lt;&gt;"",VLOOKUP($G205,'WPS '!$C$5:$M$209,2,FALSE),"")</f>
        <v>OSR-WPS-ASME-FC-002</v>
      </c>
      <c r="S205" s="30" t="s">
        <v>356</v>
      </c>
      <c r="T205" s="30"/>
      <c r="U205" s="30"/>
      <c r="V205" s="30"/>
      <c r="W205" s="62"/>
      <c r="X205" s="30"/>
      <c r="Y205" s="32"/>
      <c r="Z205" s="32"/>
      <c r="AA205" s="32"/>
      <c r="AB205" s="62"/>
      <c r="AC205" s="62"/>
      <c r="AD205" s="62"/>
      <c r="AE205" s="146"/>
      <c r="AF205" s="146"/>
      <c r="AG205" s="67">
        <v>3</v>
      </c>
      <c r="AH205" s="18"/>
    </row>
    <row r="206" spans="1:34" ht="45" customHeight="1">
      <c r="A206" s="293">
        <f t="shared" si="8"/>
        <v>199</v>
      </c>
      <c r="B206" s="28" t="s">
        <v>327</v>
      </c>
      <c r="C206" s="296" t="s">
        <v>1635</v>
      </c>
      <c r="D206" s="56">
        <f>IF(F206="","",SUBTOTAL(3,$F$6:F206))</f>
        <v>200</v>
      </c>
      <c r="E206" s="34" t="s">
        <v>15</v>
      </c>
      <c r="F206" s="107" t="s">
        <v>1718</v>
      </c>
      <c r="G206" s="39" t="s">
        <v>735</v>
      </c>
      <c r="H206" s="83" t="str">
        <f>IF($G206&lt;&gt;"",VLOOKUP($G206,'WPS '!C$5:M$209,3,FALSE),"")</f>
        <v>FCAW</v>
      </c>
      <c r="I206" s="22" t="s">
        <v>1499</v>
      </c>
      <c r="J206" s="77" t="s">
        <v>1215</v>
      </c>
      <c r="K206" s="69" t="s">
        <v>1480</v>
      </c>
      <c r="L206" s="22" t="str">
        <f>IF($G206&lt;&gt;"",VLOOKUP($G206,'WPS '!C$5:M$209,8,FALSE),"")</f>
        <v>E71T-1C</v>
      </c>
      <c r="M206" s="76" t="s">
        <v>1069</v>
      </c>
      <c r="N206" s="21">
        <v>44393</v>
      </c>
      <c r="O206" s="21">
        <v>44400</v>
      </c>
      <c r="P206" s="21">
        <f t="shared" si="7"/>
        <v>46045</v>
      </c>
      <c r="Q206" s="164" t="str">
        <f>IF($G206&lt;&gt;"",VLOOKUP($G206,'WPS '!C$5:M$209,11,FALSE),"")</f>
        <v>AWS D1.1</v>
      </c>
      <c r="R206" s="147" t="str">
        <f>IF($G206&lt;&gt;"",VLOOKUP($G206,'WPS '!$C$5:$M$209,2,FALSE),"")</f>
        <v>OSR-WPS-D1.1-FC-007</v>
      </c>
      <c r="S206" s="30"/>
      <c r="T206" s="30" t="s">
        <v>356</v>
      </c>
      <c r="U206" s="30" t="s">
        <v>356</v>
      </c>
      <c r="V206" s="32" t="s">
        <v>356</v>
      </c>
      <c r="W206" s="32"/>
      <c r="X206" s="32"/>
      <c r="Y206" s="32"/>
      <c r="Z206" s="32"/>
      <c r="AA206" s="32"/>
      <c r="AB206" s="32"/>
      <c r="AC206" s="62" t="s">
        <v>356</v>
      </c>
      <c r="AD206" s="62" t="s">
        <v>356</v>
      </c>
      <c r="AE206" s="146"/>
      <c r="AF206" s="146"/>
      <c r="AG206" s="153">
        <v>9</v>
      </c>
    </row>
    <row r="207" spans="1:34" ht="45" customHeight="1">
      <c r="A207" s="293">
        <f t="shared" si="8"/>
        <v>200</v>
      </c>
      <c r="B207" s="28" t="s">
        <v>327</v>
      </c>
      <c r="C207" s="296" t="s">
        <v>1635</v>
      </c>
      <c r="D207" s="56">
        <f>IF(F207="","",SUBTOTAL(3,$F$6:F207))</f>
        <v>201</v>
      </c>
      <c r="E207" s="34" t="s">
        <v>15</v>
      </c>
      <c r="F207" s="107" t="s">
        <v>1718</v>
      </c>
      <c r="G207" s="39" t="s">
        <v>737</v>
      </c>
      <c r="H207" s="83" t="str">
        <f>IF($G207&lt;&gt;"",VLOOKUP($G207,'WPS '!C$5:M$209,3,FALSE),"")</f>
        <v>FCAW</v>
      </c>
      <c r="I207" s="22" t="s">
        <v>1120</v>
      </c>
      <c r="J207" s="77" t="s">
        <v>544</v>
      </c>
      <c r="K207" s="69" t="s">
        <v>1404</v>
      </c>
      <c r="L207" s="22" t="str">
        <f>IF($G207&lt;&gt;"",VLOOKUP($G207,'WPS '!C$5:M$209,8,FALSE),"")</f>
        <v>E71T-1C</v>
      </c>
      <c r="M207" s="76" t="s">
        <v>1119</v>
      </c>
      <c r="N207" s="21">
        <v>44393</v>
      </c>
      <c r="O207" s="21">
        <v>44400</v>
      </c>
      <c r="P207" s="21">
        <f t="shared" si="7"/>
        <v>46045</v>
      </c>
      <c r="Q207" s="164" t="str">
        <f>IF($G207&lt;&gt;"",VLOOKUP($G207,'WPS '!C$5:M$209,11,FALSE),"")</f>
        <v>AWS D1.3</v>
      </c>
      <c r="R207" s="147" t="str">
        <f>IF($G207&lt;&gt;"",VLOOKUP($G207,'WPS '!$C$5:$M$209,2,FALSE),"")</f>
        <v>OSR-WPS-D1.3-FC-009</v>
      </c>
      <c r="S207" s="30"/>
      <c r="T207" s="30"/>
      <c r="U207" s="30"/>
      <c r="V207" s="32"/>
      <c r="W207" s="32"/>
      <c r="X207" s="32"/>
      <c r="Y207" s="32"/>
      <c r="Z207" s="32"/>
      <c r="AA207" s="32"/>
      <c r="AB207" s="32"/>
      <c r="AC207" s="62"/>
      <c r="AD207" s="62"/>
      <c r="AE207" s="146"/>
      <c r="AF207" s="146"/>
      <c r="AG207" s="153">
        <v>9</v>
      </c>
    </row>
    <row r="208" spans="1:34" ht="45" customHeight="1">
      <c r="A208" s="293">
        <f t="shared" si="8"/>
        <v>201</v>
      </c>
      <c r="B208" s="28" t="s">
        <v>327</v>
      </c>
      <c r="C208" s="296" t="s">
        <v>1635</v>
      </c>
      <c r="D208" s="56">
        <f>IF(F208="","",SUBTOTAL(3,$F$6:F208))</f>
        <v>202</v>
      </c>
      <c r="E208" s="34" t="s">
        <v>15</v>
      </c>
      <c r="F208" s="108" t="s">
        <v>1718</v>
      </c>
      <c r="G208" s="40" t="s">
        <v>769</v>
      </c>
      <c r="H208" s="83" t="str">
        <f>IF($G208&lt;&gt;"",VLOOKUP($G208,'WPS '!C$5:M$209,3,FALSE),"")</f>
        <v>FCAW</v>
      </c>
      <c r="I208" s="22" t="s">
        <v>1506</v>
      </c>
      <c r="J208" s="77" t="s">
        <v>1407</v>
      </c>
      <c r="K208" s="69" t="s">
        <v>1411</v>
      </c>
      <c r="L208" s="22" t="str">
        <f>IF($G208&lt;&gt;"",VLOOKUP($G208,'WPS '!C$5:M$209,8,FALSE),"")</f>
        <v>E71T-1C</v>
      </c>
      <c r="M208" s="76" t="s">
        <v>1094</v>
      </c>
      <c r="N208" s="21">
        <v>44393</v>
      </c>
      <c r="O208" s="21">
        <v>44400</v>
      </c>
      <c r="P208" s="21">
        <f t="shared" si="7"/>
        <v>46045</v>
      </c>
      <c r="Q208" s="164" t="str">
        <f>IF($G208&lt;&gt;"",VLOOKUP($G208,'WPS '!C$5:M$209,11,FALSE),"")</f>
        <v>AWS D1.1</v>
      </c>
      <c r="R208" s="147" t="str">
        <f>IF($G208&lt;&gt;"",VLOOKUP($G208,'WPS '!$C$5:$M$209,2,FALSE),"")</f>
        <v>OSR-WPS-D1.1-FC-041</v>
      </c>
      <c r="S208" s="30"/>
      <c r="T208" s="30"/>
      <c r="U208" s="30"/>
      <c r="V208" s="30"/>
      <c r="W208" s="30"/>
      <c r="X208" s="30"/>
      <c r="Y208" s="30"/>
      <c r="Z208" s="30"/>
      <c r="AA208" s="30"/>
      <c r="AB208" s="30"/>
      <c r="AC208" s="30"/>
      <c r="AD208" s="30"/>
      <c r="AE208" s="54"/>
      <c r="AF208" s="54"/>
      <c r="AG208" s="153">
        <v>9</v>
      </c>
    </row>
    <row r="209" spans="1:34" ht="45" customHeight="1">
      <c r="A209" s="293">
        <f t="shared" si="8"/>
        <v>202</v>
      </c>
      <c r="B209" s="28" t="s">
        <v>327</v>
      </c>
      <c r="C209" s="296" t="s">
        <v>1635</v>
      </c>
      <c r="D209" s="56">
        <f>IF(F209="","",SUBTOTAL(3,$F$6:F209))</f>
        <v>203</v>
      </c>
      <c r="E209" s="34" t="s">
        <v>15</v>
      </c>
      <c r="F209" s="108" t="s">
        <v>1718</v>
      </c>
      <c r="G209" s="40" t="s">
        <v>792</v>
      </c>
      <c r="H209" s="83" t="str">
        <f>IF($G209&lt;&gt;"",VLOOKUP($G209,'WPS '!C$5:M$209,3,FALSE),"")</f>
        <v>FCAW</v>
      </c>
      <c r="I209" s="22" t="s">
        <v>1383</v>
      </c>
      <c r="J209" s="77" t="s">
        <v>1390</v>
      </c>
      <c r="K209" s="69" t="s">
        <v>1478</v>
      </c>
      <c r="L209" s="22" t="str">
        <f>IF($G209&lt;&gt;"",VLOOKUP($G209,'WPS '!C$5:M$209,8,FALSE),"")</f>
        <v>E71T-1C</v>
      </c>
      <c r="M209" s="76" t="s">
        <v>1028</v>
      </c>
      <c r="N209" s="21">
        <v>44958</v>
      </c>
      <c r="O209" s="21">
        <v>44980</v>
      </c>
      <c r="P209" s="21">
        <f t="shared" si="7"/>
        <v>46076</v>
      </c>
      <c r="Q209" s="164" t="str">
        <f>IF($G209&lt;&gt;"",VLOOKUP($G209,'WPS '!C$5:M$209,11,FALSE),"")</f>
        <v>AWS D1.1</v>
      </c>
      <c r="R209" s="147" t="str">
        <f>IF($G209&lt;&gt;"",VLOOKUP($G209,'WPS '!$C$5:$M$209,2,FALSE),"")</f>
        <v>OSR-WPS-D1.1-FC-064</v>
      </c>
      <c r="S209" s="30"/>
      <c r="T209" s="30"/>
      <c r="U209" s="30" t="s">
        <v>356</v>
      </c>
      <c r="V209" s="30" t="s">
        <v>356</v>
      </c>
      <c r="W209" s="30"/>
      <c r="X209" s="30"/>
      <c r="Y209" s="30"/>
      <c r="Z209" s="30"/>
      <c r="AA209" s="30"/>
      <c r="AB209" s="30"/>
      <c r="AC209" s="30"/>
      <c r="AD209" s="30"/>
      <c r="AE209" s="54"/>
      <c r="AF209" s="54"/>
      <c r="AG209" s="153">
        <v>6</v>
      </c>
    </row>
    <row r="210" spans="1:34" ht="45" customHeight="1">
      <c r="A210" s="293">
        <f t="shared" si="8"/>
        <v>203</v>
      </c>
      <c r="B210" s="28" t="s">
        <v>327</v>
      </c>
      <c r="C210" s="296" t="s">
        <v>1635</v>
      </c>
      <c r="D210" s="56">
        <f>IF(F210="","",SUBTOTAL(3,$F$6:F210))</f>
        <v>204</v>
      </c>
      <c r="E210" s="34" t="s">
        <v>15</v>
      </c>
      <c r="F210" s="107" t="s">
        <v>1718</v>
      </c>
      <c r="G210" s="40" t="s">
        <v>820</v>
      </c>
      <c r="H210" s="83" t="str">
        <f>IF($G210&lt;&gt;"",VLOOKUP($G210,'WPS '!C$5:M$209,3,FALSE),"")</f>
        <v>FCAW</v>
      </c>
      <c r="I210" s="22" t="s">
        <v>1383</v>
      </c>
      <c r="J210" s="77" t="s">
        <v>1390</v>
      </c>
      <c r="K210" s="69" t="s">
        <v>1480</v>
      </c>
      <c r="L210" s="22" t="str">
        <f>IF($G210&lt;&gt;"",VLOOKUP($G210,'WPS '!C$5:M$209,8,FALSE),"")</f>
        <v>E71T-1C</v>
      </c>
      <c r="M210" s="76" t="s">
        <v>1391</v>
      </c>
      <c r="N210" s="21">
        <v>45684</v>
      </c>
      <c r="O210" s="21">
        <v>45686</v>
      </c>
      <c r="P210" s="21">
        <f t="shared" si="7"/>
        <v>46051</v>
      </c>
      <c r="Q210" s="164" t="str">
        <f>IF($G210&lt;&gt;"",VLOOKUP($G210,'WPS '!C$5:M$209,11,FALSE),"")</f>
        <v>AWS D1.1</v>
      </c>
      <c r="R210" s="147" t="str">
        <f>IF($G210&lt;&gt;"",VLOOKUP($G210,'WPS '!$C$5:$M$209,2,FALSE),"")</f>
        <v>OSR-WPS-D1.1-FC-092</v>
      </c>
      <c r="S210" s="30"/>
      <c r="T210" s="30"/>
      <c r="U210" s="30"/>
      <c r="V210" s="30"/>
      <c r="W210" s="30"/>
      <c r="X210" s="30"/>
      <c r="Y210" s="30"/>
      <c r="Z210" s="30"/>
      <c r="AA210" s="30"/>
      <c r="AB210" s="30"/>
      <c r="AC210" s="30" t="s">
        <v>95</v>
      </c>
      <c r="AD210" s="30" t="s">
        <v>356</v>
      </c>
      <c r="AE210" s="54"/>
      <c r="AF210" s="54" t="s">
        <v>356</v>
      </c>
      <c r="AG210" s="153">
        <v>2</v>
      </c>
    </row>
    <row r="211" spans="1:34" ht="45" customHeight="1">
      <c r="A211" s="293">
        <f t="shared" si="8"/>
        <v>204</v>
      </c>
      <c r="B211" s="5" t="s">
        <v>327</v>
      </c>
      <c r="C211" s="294" t="s">
        <v>328</v>
      </c>
      <c r="D211" s="56">
        <f>IF(F211="","",SUBTOTAL(3,$F$6:F211))</f>
        <v>205</v>
      </c>
      <c r="E211" s="34" t="s">
        <v>17</v>
      </c>
      <c r="F211" s="107" t="s">
        <v>1772</v>
      </c>
      <c r="G211" s="40" t="s">
        <v>661</v>
      </c>
      <c r="H211" s="83">
        <f>IF($G211&lt;&gt;"",VLOOKUP($G211,'WPS '!C$5:M$209,3,FALSE),"")</f>
        <v>136</v>
      </c>
      <c r="I211" s="22" t="s">
        <v>1251</v>
      </c>
      <c r="J211" s="22" t="s">
        <v>1232</v>
      </c>
      <c r="K211" s="69" t="s">
        <v>884</v>
      </c>
      <c r="L211" s="22" t="str">
        <f>IF($G211&lt;&gt;"",VLOOKUP($G211,'WPS '!C$5:M$209,8,FALSE),"")</f>
        <v>E71T-1C</v>
      </c>
      <c r="M211" s="76" t="s">
        <v>18</v>
      </c>
      <c r="N211" s="21">
        <v>45001</v>
      </c>
      <c r="O211" s="21">
        <v>45003</v>
      </c>
      <c r="P211" s="21">
        <f t="shared" si="7"/>
        <v>46099</v>
      </c>
      <c r="Q211" s="164" t="s">
        <v>1811</v>
      </c>
      <c r="R211" s="147" t="str">
        <f>IF($G211&lt;&gt;"",VLOOKUP($G211,'WPS '!$C$5:$M$209,2,FALSE),"")</f>
        <v>OSR-WPS-ISO-PC+PF-005</v>
      </c>
      <c r="S211" s="30"/>
      <c r="T211" s="30"/>
      <c r="U211" s="30"/>
      <c r="V211" s="30"/>
      <c r="W211" s="30" t="s">
        <v>356</v>
      </c>
      <c r="X211" s="30" t="s">
        <v>95</v>
      </c>
      <c r="Y211" s="30"/>
      <c r="Z211" s="30"/>
      <c r="AA211" s="30"/>
      <c r="AB211" s="30"/>
      <c r="AC211" s="30"/>
      <c r="AD211" s="30"/>
      <c r="AE211" s="54"/>
      <c r="AF211" s="54"/>
      <c r="AG211" s="66">
        <v>6</v>
      </c>
      <c r="AH211" s="115"/>
    </row>
    <row r="212" spans="1:34" ht="45" customHeight="1">
      <c r="A212" s="293">
        <f t="shared" si="8"/>
        <v>205</v>
      </c>
      <c r="B212" s="5" t="s">
        <v>327</v>
      </c>
      <c r="C212" s="294" t="s">
        <v>328</v>
      </c>
      <c r="D212" s="56">
        <f>IF(F212="","",SUBTOTAL(3,$F$6:F212))</f>
        <v>206</v>
      </c>
      <c r="E212" s="34" t="s">
        <v>17</v>
      </c>
      <c r="F212" s="107" t="s">
        <v>1772</v>
      </c>
      <c r="G212" s="40" t="s">
        <v>672</v>
      </c>
      <c r="H212" s="83">
        <f>IF($G212&lt;&gt;"",VLOOKUP($G212,'WPS '!C$5:M$209,3,FALSE),"")</f>
        <v>141</v>
      </c>
      <c r="I212" s="22" t="s">
        <v>1250</v>
      </c>
      <c r="J212" s="22" t="s">
        <v>258</v>
      </c>
      <c r="K212" s="69" t="s">
        <v>884</v>
      </c>
      <c r="L212" s="22" t="str">
        <f>IF($G212&lt;&gt;"",VLOOKUP($G212,'WPS '!C$5:M$209,8,FALSE),"")</f>
        <v>ER316L</v>
      </c>
      <c r="M212" s="76" t="s">
        <v>54</v>
      </c>
      <c r="N212" s="21">
        <v>45358</v>
      </c>
      <c r="O212" s="21">
        <v>45365</v>
      </c>
      <c r="P212" s="21">
        <f t="shared" si="7"/>
        <v>46095</v>
      </c>
      <c r="Q212" s="164" t="s">
        <v>1811</v>
      </c>
      <c r="R212" s="147" t="str">
        <f>IF($G212&lt;&gt;"",VLOOKUP($G212,'WPS '!$C$5:$M$209,2,FALSE),"")</f>
        <v>OSR-WPS-ISO-PC-016</v>
      </c>
      <c r="S212" s="30"/>
      <c r="T212" s="30"/>
      <c r="U212" s="30"/>
      <c r="V212" s="30"/>
      <c r="W212" s="30"/>
      <c r="X212" s="30"/>
      <c r="Y212" s="30"/>
      <c r="Z212" s="30"/>
      <c r="AA212" s="30"/>
      <c r="AB212" s="30"/>
      <c r="AC212" s="30"/>
      <c r="AD212" s="30"/>
      <c r="AE212" s="54"/>
      <c r="AF212" s="54"/>
      <c r="AG212" s="66">
        <v>4</v>
      </c>
      <c r="AH212" s="115"/>
    </row>
    <row r="213" spans="1:34" ht="45" customHeight="1">
      <c r="A213" s="293">
        <f t="shared" si="8"/>
        <v>206</v>
      </c>
      <c r="B213" s="5" t="s">
        <v>327</v>
      </c>
      <c r="C213" s="294" t="s">
        <v>328</v>
      </c>
      <c r="D213" s="56">
        <f>IF(F213="","",SUBTOTAL(3,$F$6:F213))</f>
        <v>207</v>
      </c>
      <c r="E213" s="34" t="s">
        <v>17</v>
      </c>
      <c r="F213" s="107" t="s">
        <v>1772</v>
      </c>
      <c r="G213" s="40" t="s">
        <v>826</v>
      </c>
      <c r="H213" s="83">
        <f>IF($G213&lt;&gt;"",VLOOKUP($G213,'WPS '!C$5:M$209,3,FALSE),"")</f>
        <v>136</v>
      </c>
      <c r="I213" s="22" t="s">
        <v>1250</v>
      </c>
      <c r="J213" s="22" t="s">
        <v>251</v>
      </c>
      <c r="K213" s="69" t="s">
        <v>884</v>
      </c>
      <c r="L213" s="22" t="str">
        <f>IF($G213&lt;&gt;"",VLOOKUP($G213,'WPS '!C$5:M$209,8,FALSE),"")</f>
        <v>E308LT1-1/-4</v>
      </c>
      <c r="M213" s="76" t="s">
        <v>66</v>
      </c>
      <c r="N213" s="21">
        <v>45381</v>
      </c>
      <c r="O213" s="21">
        <v>45385</v>
      </c>
      <c r="P213" s="21">
        <f t="shared" si="7"/>
        <v>46115</v>
      </c>
      <c r="Q213" s="164" t="s">
        <v>1811</v>
      </c>
      <c r="R213" s="147" t="str">
        <f>IF($G213&lt;&gt;"",VLOOKUP($G213,'WPS '!$C$5:$M$209,2,FALSE),"")</f>
        <v>OSR-WPS-ISO-018M</v>
      </c>
      <c r="S213" s="30"/>
      <c r="T213" s="30"/>
      <c r="U213" s="30"/>
      <c r="V213" s="30"/>
      <c r="W213" s="30"/>
      <c r="X213" s="30"/>
      <c r="Y213" s="30"/>
      <c r="Z213" s="30"/>
      <c r="AA213" s="30"/>
      <c r="AB213" s="30"/>
      <c r="AC213" s="30"/>
      <c r="AD213" s="30"/>
      <c r="AE213" s="54"/>
      <c r="AF213" s="54"/>
      <c r="AG213" s="66">
        <v>4</v>
      </c>
      <c r="AH213" s="115"/>
    </row>
    <row r="214" spans="1:34" ht="45" customHeight="1">
      <c r="A214" s="293">
        <f t="shared" si="8"/>
        <v>207</v>
      </c>
      <c r="B214" s="5" t="s">
        <v>327</v>
      </c>
      <c r="C214" s="294" t="s">
        <v>328</v>
      </c>
      <c r="D214" s="56">
        <f>IF(F214="","",SUBTOTAL(3,$F$6:F214))</f>
        <v>208</v>
      </c>
      <c r="E214" s="34" t="s">
        <v>17</v>
      </c>
      <c r="F214" s="107" t="s">
        <v>1772</v>
      </c>
      <c r="G214" s="40" t="s">
        <v>710</v>
      </c>
      <c r="H214" s="83">
        <f>IF($G214&lt;&gt;"",VLOOKUP($G214,'WPS '!C$5:M$209,3,FALSE),"")</f>
        <v>136</v>
      </c>
      <c r="I214" s="22" t="s">
        <v>1251</v>
      </c>
      <c r="J214" s="22" t="s">
        <v>1681</v>
      </c>
      <c r="K214" s="69" t="s">
        <v>884</v>
      </c>
      <c r="L214" s="22" t="str">
        <f>IF($G214&lt;&gt;"",VLOOKUP($G214,'WPS '!C$5:M$209,8,FALSE),"")</f>
        <v>E316LT1-1/-4</v>
      </c>
      <c r="M214" s="76" t="s">
        <v>88</v>
      </c>
      <c r="N214" s="21">
        <v>45787</v>
      </c>
      <c r="O214" s="21">
        <v>45799</v>
      </c>
      <c r="P214" s="21">
        <f t="shared" si="7"/>
        <v>46164</v>
      </c>
      <c r="Q214" s="164" t="s">
        <v>1811</v>
      </c>
      <c r="R214" s="147" t="str">
        <f>IF($G214&lt;&gt;"",VLOOKUP($G214,'WPS '!$C$5:$M$209,2,FALSE),"")</f>
        <v>OSR-WPS-ISO-PF-055</v>
      </c>
      <c r="S214" s="30"/>
      <c r="T214" s="30"/>
      <c r="U214" s="30"/>
      <c r="V214" s="30"/>
      <c r="W214" s="30" t="s">
        <v>356</v>
      </c>
      <c r="X214" s="30"/>
      <c r="Y214" s="30" t="s">
        <v>356</v>
      </c>
      <c r="Z214" s="30"/>
      <c r="AA214" s="30" t="s">
        <v>95</v>
      </c>
      <c r="AB214" s="30"/>
      <c r="AC214" s="30"/>
      <c r="AD214" s="30"/>
      <c r="AE214" s="54"/>
      <c r="AF214" s="54"/>
      <c r="AG214" s="66">
        <v>2</v>
      </c>
      <c r="AH214" s="115"/>
    </row>
    <row r="215" spans="1:34" ht="45" customHeight="1">
      <c r="A215" s="293">
        <f t="shared" si="8"/>
        <v>208</v>
      </c>
      <c r="B215" s="5" t="s">
        <v>327</v>
      </c>
      <c r="C215" s="294" t="s">
        <v>328</v>
      </c>
      <c r="D215" s="56">
        <f>IF(F215="","",SUBTOTAL(3,$F$6:F215))</f>
        <v>209</v>
      </c>
      <c r="E215" s="34" t="s">
        <v>17</v>
      </c>
      <c r="F215" s="107" t="s">
        <v>1772</v>
      </c>
      <c r="G215" s="40" t="s">
        <v>710</v>
      </c>
      <c r="H215" s="83">
        <f>IF($G215&lt;&gt;"",VLOOKUP($G215,'WPS '!C$5:M$209,3,FALSE),"")</f>
        <v>136</v>
      </c>
      <c r="I215" s="22" t="s">
        <v>1251</v>
      </c>
      <c r="J215" s="22" t="s">
        <v>244</v>
      </c>
      <c r="K215" s="69" t="s">
        <v>884</v>
      </c>
      <c r="L215" s="22" t="str">
        <f>IF($G215&lt;&gt;"",VLOOKUP($G215,'WPS '!C$5:M$209,8,FALSE),"")</f>
        <v>E316LT1-1/-4</v>
      </c>
      <c r="M215" s="76" t="s">
        <v>901</v>
      </c>
      <c r="N215" s="21">
        <v>45813</v>
      </c>
      <c r="O215" s="21">
        <v>45816</v>
      </c>
      <c r="P215" s="21">
        <f t="shared" si="7"/>
        <v>46181</v>
      </c>
      <c r="Q215" s="164" t="s">
        <v>1811</v>
      </c>
      <c r="R215" s="147" t="str">
        <f>IF($G215&lt;&gt;"",VLOOKUP($G215,'WPS '!$C$5:$M$209,2,FALSE),"")</f>
        <v>OSR-WPS-ISO-PF-055</v>
      </c>
      <c r="S215" s="30"/>
      <c r="T215" s="30"/>
      <c r="U215" s="30"/>
      <c r="V215" s="30"/>
      <c r="W215" s="30"/>
      <c r="X215" s="30"/>
      <c r="Y215" s="30" t="s">
        <v>356</v>
      </c>
      <c r="Z215" s="30"/>
      <c r="AA215" s="30"/>
      <c r="AB215" s="30"/>
      <c r="AC215" s="30"/>
      <c r="AD215" s="30"/>
      <c r="AE215" s="54"/>
      <c r="AF215" s="54"/>
      <c r="AG215" s="66">
        <v>2</v>
      </c>
      <c r="AH215" s="115"/>
    </row>
    <row r="216" spans="1:34" ht="45" customHeight="1">
      <c r="A216" s="293">
        <f t="shared" si="8"/>
        <v>209</v>
      </c>
      <c r="B216" s="5" t="s">
        <v>327</v>
      </c>
      <c r="C216" s="294" t="s">
        <v>328</v>
      </c>
      <c r="D216" s="56">
        <f>IF(F216="","",SUBTOTAL(3,$F$6:F216))</f>
        <v>210</v>
      </c>
      <c r="E216" s="34" t="s">
        <v>17</v>
      </c>
      <c r="F216" s="107" t="s">
        <v>1772</v>
      </c>
      <c r="G216" s="40" t="s">
        <v>716</v>
      </c>
      <c r="H216" s="83" t="str">
        <f>IF($G216&lt;&gt;"",VLOOKUP($G216,'WPS '!C$5:M$209,3,FALSE),"")</f>
        <v>141</v>
      </c>
      <c r="I216" s="22" t="s">
        <v>1251</v>
      </c>
      <c r="J216" s="22" t="s">
        <v>903</v>
      </c>
      <c r="K216" s="69" t="s">
        <v>884</v>
      </c>
      <c r="L216" s="22" t="str">
        <f>IF($G216&lt;&gt;"",VLOOKUP($G216,'WPS '!C$5:M$209,8,FALSE),"")</f>
        <v>ER309L</v>
      </c>
      <c r="M216" s="76" t="s">
        <v>902</v>
      </c>
      <c r="N216" s="21">
        <v>45810</v>
      </c>
      <c r="O216" s="21">
        <v>45814</v>
      </c>
      <c r="P216" s="21">
        <f t="shared" si="7"/>
        <v>46179</v>
      </c>
      <c r="Q216" s="164" t="s">
        <v>1811</v>
      </c>
      <c r="R216" s="147" t="str">
        <f>IF($G216&lt;&gt;"",VLOOKUP($G216,'WPS '!$C$5:$M$209,2,FALSE),"")</f>
        <v>OSR-WPS-ISO-PA-061</v>
      </c>
      <c r="S216" s="30"/>
      <c r="T216" s="30"/>
      <c r="U216" s="30"/>
      <c r="V216" s="30"/>
      <c r="W216" s="30"/>
      <c r="X216" s="30"/>
      <c r="Y216" s="30" t="s">
        <v>356</v>
      </c>
      <c r="Z216" s="30"/>
      <c r="AA216" s="30"/>
      <c r="AB216" s="30"/>
      <c r="AC216" s="30"/>
      <c r="AD216" s="30"/>
      <c r="AE216" s="54"/>
      <c r="AF216" s="54"/>
      <c r="AG216" s="66">
        <v>2</v>
      </c>
      <c r="AH216" s="115"/>
    </row>
    <row r="217" spans="1:34" ht="45" customHeight="1">
      <c r="A217" s="293">
        <f t="shared" si="8"/>
        <v>210</v>
      </c>
      <c r="B217" s="5" t="s">
        <v>327</v>
      </c>
      <c r="C217" s="294" t="s">
        <v>328</v>
      </c>
      <c r="D217" s="56">
        <f>IF(F217="","",SUBTOTAL(3,$F$6:F217))</f>
        <v>211</v>
      </c>
      <c r="E217" s="34" t="s">
        <v>17</v>
      </c>
      <c r="F217" s="107" t="s">
        <v>1772</v>
      </c>
      <c r="G217" s="40" t="s">
        <v>879</v>
      </c>
      <c r="H217" s="83">
        <f>IF($G217&lt;&gt;"",VLOOKUP($G217,'WPS '!C$5:M$209,3,FALSE),"")</f>
        <v>141</v>
      </c>
      <c r="I217" s="22" t="s">
        <v>1251</v>
      </c>
      <c r="J217" s="22" t="s">
        <v>254</v>
      </c>
      <c r="K217" s="69" t="s">
        <v>884</v>
      </c>
      <c r="L217" s="22" t="str">
        <f>IF($G217&lt;&gt;"",VLOOKUP($G217,'WPS '!C$5:M$209,8,FALSE),"")</f>
        <v>ER309L</v>
      </c>
      <c r="M217" s="76" t="s">
        <v>880</v>
      </c>
      <c r="N217" s="21">
        <v>45876</v>
      </c>
      <c r="O217" s="21">
        <v>45878</v>
      </c>
      <c r="P217" s="21">
        <f t="shared" si="7"/>
        <v>46243</v>
      </c>
      <c r="Q217" s="164" t="s">
        <v>1811</v>
      </c>
      <c r="R217" s="147" t="str">
        <f>IF($G217&lt;&gt;"",VLOOKUP($G217,'WPS '!$C$5:$M$209,2,FALSE),"")</f>
        <v>OSR-WPS-ISO-PA-063</v>
      </c>
      <c r="S217" s="30"/>
      <c r="T217" s="30"/>
      <c r="U217" s="30"/>
      <c r="V217" s="30"/>
      <c r="W217" s="30"/>
      <c r="X217" s="30"/>
      <c r="Y217" s="30" t="s">
        <v>95</v>
      </c>
      <c r="Z217" s="30"/>
      <c r="AA217" s="30"/>
      <c r="AB217" s="30"/>
      <c r="AC217" s="30"/>
      <c r="AD217" s="30"/>
      <c r="AE217" s="54"/>
      <c r="AF217" s="54"/>
      <c r="AG217" s="66">
        <v>2</v>
      </c>
      <c r="AH217" s="115"/>
    </row>
    <row r="218" spans="1:34" s="20" customFormat="1" ht="45" customHeight="1">
      <c r="A218" s="293">
        <f t="shared" si="8"/>
        <v>211</v>
      </c>
      <c r="B218" s="28" t="s">
        <v>327</v>
      </c>
      <c r="C218" s="294" t="s">
        <v>328</v>
      </c>
      <c r="D218" s="56">
        <f>IF(F218="","",SUBTOTAL(3,$F$6:F218))</f>
        <v>212</v>
      </c>
      <c r="E218" s="34" t="s">
        <v>17</v>
      </c>
      <c r="F218" s="107" t="s">
        <v>1772</v>
      </c>
      <c r="G218" s="39" t="s">
        <v>718</v>
      </c>
      <c r="H218" s="83" t="str">
        <f>IF($G218&lt;&gt;"",VLOOKUP($G218,'WPS '!C$5:M$209,3,FALSE),"")</f>
        <v>FCAW</v>
      </c>
      <c r="I218" s="22" t="s">
        <v>852</v>
      </c>
      <c r="J218" s="22" t="s">
        <v>1390</v>
      </c>
      <c r="K218" s="69" t="s">
        <v>116</v>
      </c>
      <c r="L218" s="22" t="str">
        <f>IF($G218&lt;&gt;"",VLOOKUP($G218,'WPS '!C$5:M$209,8,FALSE),"")</f>
        <v>E71T-1C</v>
      </c>
      <c r="M218" s="76" t="s">
        <v>316</v>
      </c>
      <c r="N218" s="21">
        <v>45586</v>
      </c>
      <c r="O218" s="21">
        <v>45590</v>
      </c>
      <c r="P218" s="21">
        <f t="shared" si="7"/>
        <v>46137</v>
      </c>
      <c r="Q218" s="164" t="str">
        <f>IF($G218&lt;&gt;"",VLOOKUP($G218,'WPS '!C$5:M$209,11,FALSE),"")</f>
        <v>ASME IX</v>
      </c>
      <c r="R218" s="147" t="str">
        <f>IF($G218&lt;&gt;"",VLOOKUP($G218,'WPS '!$C$5:$M$209,2,FALSE),"")</f>
        <v>OSR-WPS-ASME-FC-001</v>
      </c>
      <c r="S218" s="30" t="s">
        <v>356</v>
      </c>
      <c r="T218" s="30"/>
      <c r="U218" s="30"/>
      <c r="V218" s="30"/>
      <c r="W218" s="62"/>
      <c r="X218" s="30"/>
      <c r="Y218" s="32"/>
      <c r="Z218" s="32"/>
      <c r="AA218" s="32"/>
      <c r="AB218" s="62"/>
      <c r="AC218" s="62"/>
      <c r="AD218" s="62"/>
      <c r="AE218" s="146"/>
      <c r="AF218" s="146"/>
      <c r="AG218" s="67">
        <v>3</v>
      </c>
      <c r="AH218" s="18"/>
    </row>
    <row r="219" spans="1:34" s="20" customFormat="1" ht="45" customHeight="1">
      <c r="A219" s="293">
        <f t="shared" si="8"/>
        <v>212</v>
      </c>
      <c r="B219" s="28" t="s">
        <v>327</v>
      </c>
      <c r="C219" s="294" t="s">
        <v>328</v>
      </c>
      <c r="D219" s="56">
        <f>IF(F219="","",SUBTOTAL(3,$F$6:F219))</f>
        <v>213</v>
      </c>
      <c r="E219" s="34" t="s">
        <v>17</v>
      </c>
      <c r="F219" s="107" t="s">
        <v>1772</v>
      </c>
      <c r="G219" s="40" t="s">
        <v>735</v>
      </c>
      <c r="H219" s="83" t="str">
        <f>IF($G219&lt;&gt;"",VLOOKUP($G219,'WPS '!C$5:M$209,3,FALSE),"")</f>
        <v>FCAW</v>
      </c>
      <c r="I219" s="22" t="s">
        <v>1499</v>
      </c>
      <c r="J219" s="77" t="s">
        <v>1215</v>
      </c>
      <c r="K219" s="69" t="s">
        <v>1480</v>
      </c>
      <c r="L219" s="22" t="str">
        <f>IF($G219&lt;&gt;"",VLOOKUP($G219,'WPS '!C$5:M$209,8,FALSE),"")</f>
        <v>E71T-1C</v>
      </c>
      <c r="M219" s="76" t="s">
        <v>1070</v>
      </c>
      <c r="N219" s="21">
        <v>44393</v>
      </c>
      <c r="O219" s="21">
        <v>44400</v>
      </c>
      <c r="P219" s="21">
        <f t="shared" si="7"/>
        <v>46045</v>
      </c>
      <c r="Q219" s="164" t="str">
        <f>IF($G219&lt;&gt;"",VLOOKUP($G219,'WPS '!C$5:M$209,11,FALSE),"")</f>
        <v>AWS D1.1</v>
      </c>
      <c r="R219" s="147" t="str">
        <f>IF($G219&lt;&gt;"",VLOOKUP($G219,'WPS '!$C$5:$M$209,2,FALSE),"")</f>
        <v>OSR-WPS-D1.1-FC-007</v>
      </c>
      <c r="S219" s="30"/>
      <c r="T219" s="30" t="s">
        <v>356</v>
      </c>
      <c r="U219" s="30" t="s">
        <v>356</v>
      </c>
      <c r="V219" s="30" t="s">
        <v>356</v>
      </c>
      <c r="W219" s="30"/>
      <c r="X219" s="30"/>
      <c r="Y219" s="30"/>
      <c r="Z219" s="30"/>
      <c r="AA219" s="30"/>
      <c r="AB219" s="30"/>
      <c r="AC219" s="30" t="s">
        <v>356</v>
      </c>
      <c r="AD219" s="30" t="s">
        <v>356</v>
      </c>
      <c r="AE219" s="54"/>
      <c r="AF219" s="54"/>
      <c r="AG219" s="153">
        <v>9</v>
      </c>
      <c r="AH219" s="2"/>
    </row>
    <row r="220" spans="1:34" s="20" customFormat="1" ht="45" customHeight="1">
      <c r="A220" s="293">
        <f t="shared" si="8"/>
        <v>213</v>
      </c>
      <c r="B220" s="28" t="s">
        <v>327</v>
      </c>
      <c r="C220" s="294" t="s">
        <v>328</v>
      </c>
      <c r="D220" s="56">
        <f>IF(F220="","",SUBTOTAL(3,$F$6:F220))</f>
        <v>214</v>
      </c>
      <c r="E220" s="34" t="s">
        <v>17</v>
      </c>
      <c r="F220" s="107" t="s">
        <v>1772</v>
      </c>
      <c r="G220" s="40" t="s">
        <v>750</v>
      </c>
      <c r="H220" s="83" t="str">
        <f>IF($G220&lt;&gt;"",VLOOKUP($G220,'WPS '!C$5:M$209,3,FALSE),"")</f>
        <v>FCAW</v>
      </c>
      <c r="I220" s="22" t="s">
        <v>1492</v>
      </c>
      <c r="J220" s="77" t="s">
        <v>1215</v>
      </c>
      <c r="K220" s="69" t="s">
        <v>1480</v>
      </c>
      <c r="L220" s="22" t="str">
        <f>IF($G220&lt;&gt;"",VLOOKUP($G220,'WPS '!C$5:M$209,8,FALSE),"")</f>
        <v>E81T1-B2C</v>
      </c>
      <c r="M220" s="76" t="s">
        <v>1082</v>
      </c>
      <c r="N220" s="21">
        <v>44393</v>
      </c>
      <c r="O220" s="21">
        <v>44400</v>
      </c>
      <c r="P220" s="21">
        <f t="shared" si="7"/>
        <v>46045</v>
      </c>
      <c r="Q220" s="164" t="str">
        <f>IF($G220&lt;&gt;"",VLOOKUP($G220,'WPS '!C$5:M$209,11,FALSE),"")</f>
        <v>AWS D1.1</v>
      </c>
      <c r="R220" s="147" t="str">
        <f>IF($G220&lt;&gt;"",VLOOKUP($G220,'WPS '!$C$5:$M$209,2,FALSE),"")</f>
        <v>OSR-WPS-D1.1-FC-022</v>
      </c>
      <c r="S220" s="30"/>
      <c r="T220" s="30"/>
      <c r="U220" s="30"/>
      <c r="V220" s="30"/>
      <c r="W220" s="30"/>
      <c r="X220" s="30"/>
      <c r="Y220" s="30"/>
      <c r="Z220" s="30"/>
      <c r="AA220" s="30"/>
      <c r="AB220" s="30"/>
      <c r="AC220" s="30"/>
      <c r="AD220" s="30"/>
      <c r="AE220" s="54"/>
      <c r="AF220" s="54"/>
      <c r="AG220" s="153">
        <v>9</v>
      </c>
      <c r="AH220" s="2"/>
    </row>
    <row r="221" spans="1:34" s="20" customFormat="1" ht="45" customHeight="1">
      <c r="A221" s="293">
        <f t="shared" si="8"/>
        <v>214</v>
      </c>
      <c r="B221" s="28" t="s">
        <v>327</v>
      </c>
      <c r="C221" s="294" t="s">
        <v>328</v>
      </c>
      <c r="D221" s="56">
        <f>IF(F221="","",SUBTOTAL(3,$F$6:F221))</f>
        <v>215</v>
      </c>
      <c r="E221" s="34" t="s">
        <v>17</v>
      </c>
      <c r="F221" s="107" t="s">
        <v>1772</v>
      </c>
      <c r="G221" s="40" t="s">
        <v>764</v>
      </c>
      <c r="H221" s="83" t="str">
        <f>IF($G221&lt;&gt;"",VLOOKUP($G221,'WPS '!C$5:M$209,3,FALSE),"")</f>
        <v>FCAW</v>
      </c>
      <c r="I221" s="22" t="s">
        <v>1496</v>
      </c>
      <c r="J221" s="77" t="s">
        <v>107</v>
      </c>
      <c r="K221" s="69" t="s">
        <v>1482</v>
      </c>
      <c r="L221" s="22" t="str">
        <f>IF($G221&lt;&gt;"",VLOOKUP($G221,'WPS '!C$5:M$209,8,FALSE),"")</f>
        <v>E308LT1-1</v>
      </c>
      <c r="M221" s="76" t="s">
        <v>1089</v>
      </c>
      <c r="N221" s="21">
        <v>44393</v>
      </c>
      <c r="O221" s="21">
        <v>44400</v>
      </c>
      <c r="P221" s="21">
        <f t="shared" si="7"/>
        <v>46045</v>
      </c>
      <c r="Q221" s="164" t="str">
        <f>IF($G221&lt;&gt;"",VLOOKUP($G221,'WPS '!C$5:M$209,11,FALSE),"")</f>
        <v>AWS D1.6</v>
      </c>
      <c r="R221" s="147" t="str">
        <f>IF($G221&lt;&gt;"",VLOOKUP($G221,'WPS '!$C$5:$M$209,2,FALSE),"")</f>
        <v>OSR-WPS-D1.6-FC-036</v>
      </c>
      <c r="S221" s="30"/>
      <c r="T221" s="30" t="s">
        <v>356</v>
      </c>
      <c r="U221" s="30" t="s">
        <v>356</v>
      </c>
      <c r="V221" s="30"/>
      <c r="W221" s="30"/>
      <c r="X221" s="30"/>
      <c r="Y221" s="30"/>
      <c r="Z221" s="30"/>
      <c r="AA221" s="30"/>
      <c r="AB221" s="30"/>
      <c r="AC221" s="30" t="s">
        <v>356</v>
      </c>
      <c r="AD221" s="30" t="s">
        <v>356</v>
      </c>
      <c r="AE221" s="54" t="s">
        <v>356</v>
      </c>
      <c r="AF221" s="54"/>
      <c r="AG221" s="153">
        <v>9</v>
      </c>
      <c r="AH221" s="2"/>
    </row>
    <row r="222" spans="1:34" ht="45" customHeight="1">
      <c r="A222" s="293">
        <f t="shared" si="8"/>
        <v>215</v>
      </c>
      <c r="B222" s="28" t="s">
        <v>327</v>
      </c>
      <c r="C222" s="294" t="s">
        <v>328</v>
      </c>
      <c r="D222" s="56">
        <f>IF(F222="","",SUBTOTAL(3,$F$6:F222))</f>
        <v>216</v>
      </c>
      <c r="E222" s="34" t="s">
        <v>17</v>
      </c>
      <c r="F222" s="107" t="s">
        <v>1772</v>
      </c>
      <c r="G222" s="39" t="s">
        <v>792</v>
      </c>
      <c r="H222" s="83" t="str">
        <f>IF($G222&lt;&gt;"",VLOOKUP($G222,'WPS '!C$5:M$209,3,FALSE),"")</f>
        <v>FCAW</v>
      </c>
      <c r="I222" s="22" t="s">
        <v>1383</v>
      </c>
      <c r="J222" s="77" t="s">
        <v>1390</v>
      </c>
      <c r="K222" s="69" t="s">
        <v>1480</v>
      </c>
      <c r="L222" s="22" t="str">
        <f>IF($G222&lt;&gt;"",VLOOKUP($G222,'WPS '!C$5:M$209,8,FALSE),"")</f>
        <v>E71T-1C</v>
      </c>
      <c r="M222" s="76" t="s">
        <v>1029</v>
      </c>
      <c r="N222" s="21">
        <v>44958</v>
      </c>
      <c r="O222" s="21">
        <v>44980</v>
      </c>
      <c r="P222" s="21">
        <f t="shared" si="7"/>
        <v>46076</v>
      </c>
      <c r="Q222" s="164" t="str">
        <f>IF($G222&lt;&gt;"",VLOOKUP($G222,'WPS '!C$5:M$209,11,FALSE),"")</f>
        <v>AWS D1.1</v>
      </c>
      <c r="R222" s="147" t="str">
        <f>IF($G222&lt;&gt;"",VLOOKUP($G222,'WPS '!$C$5:$M$209,2,FALSE),"")</f>
        <v>OSR-WPS-D1.1-FC-064</v>
      </c>
      <c r="S222" s="30"/>
      <c r="T222" s="30"/>
      <c r="U222" s="30" t="s">
        <v>356</v>
      </c>
      <c r="V222" s="32" t="s">
        <v>356</v>
      </c>
      <c r="W222" s="32"/>
      <c r="X222" s="32"/>
      <c r="Y222" s="32"/>
      <c r="Z222" s="32"/>
      <c r="AA222" s="32"/>
      <c r="AB222" s="32"/>
      <c r="AC222" s="62"/>
      <c r="AD222" s="62"/>
      <c r="AE222" s="146"/>
      <c r="AF222" s="146"/>
      <c r="AG222" s="153">
        <v>6</v>
      </c>
    </row>
    <row r="223" spans="1:34" ht="45" customHeight="1">
      <c r="A223" s="293">
        <f t="shared" si="8"/>
        <v>216</v>
      </c>
      <c r="B223" s="28" t="s">
        <v>327</v>
      </c>
      <c r="C223" s="294" t="s">
        <v>328</v>
      </c>
      <c r="D223" s="56">
        <f>IF(F223="","",SUBTOTAL(3,$F$6:F223))</f>
        <v>217</v>
      </c>
      <c r="E223" s="37" t="s">
        <v>17</v>
      </c>
      <c r="F223" s="109" t="s">
        <v>1772</v>
      </c>
      <c r="G223" s="40" t="s">
        <v>799</v>
      </c>
      <c r="H223" s="83" t="str">
        <f>IF($G223&lt;&gt;"",VLOOKUP($G223,'WPS '!C$5:M$209,3,FALSE),"")</f>
        <v>FCAW</v>
      </c>
      <c r="I223" s="22" t="s">
        <v>1498</v>
      </c>
      <c r="J223" s="77" t="s">
        <v>107</v>
      </c>
      <c r="K223" s="69" t="s">
        <v>1481</v>
      </c>
      <c r="L223" s="22" t="str">
        <f>IF($G223&lt;&gt;"",VLOOKUP($G223,'WPS '!C$5:M$209,8,FALSE),"")</f>
        <v>EC409</v>
      </c>
      <c r="M223" s="76" t="s">
        <v>1013</v>
      </c>
      <c r="N223" s="21">
        <v>45219</v>
      </c>
      <c r="O223" s="21">
        <v>45221</v>
      </c>
      <c r="P223" s="23">
        <f t="shared" si="7"/>
        <v>46134</v>
      </c>
      <c r="Q223" s="164" t="str">
        <f>IF($G223&lt;&gt;"",VLOOKUP($G223,'WPS '!C$5:M$209,11,FALSE),"")</f>
        <v>AWS D1.1</v>
      </c>
      <c r="R223" s="147" t="str">
        <f>IF($G223&lt;&gt;"",VLOOKUP($G223,'WPS '!$C$5:$M$209,2,FALSE),"")</f>
        <v>OSR-WPS-D1.1-FC-071</v>
      </c>
      <c r="S223" s="30"/>
      <c r="T223" s="30"/>
      <c r="U223" s="30"/>
      <c r="V223" s="30"/>
      <c r="W223" s="30"/>
      <c r="X223" s="30"/>
      <c r="Y223" s="30"/>
      <c r="Z223" s="30"/>
      <c r="AA223" s="30"/>
      <c r="AB223" s="30"/>
      <c r="AC223" s="30"/>
      <c r="AD223" s="30"/>
      <c r="AE223" s="54"/>
      <c r="AF223" s="54"/>
      <c r="AG223" s="153">
        <v>5</v>
      </c>
    </row>
    <row r="224" spans="1:34" ht="45" customHeight="1">
      <c r="A224" s="293">
        <f t="shared" si="8"/>
        <v>217</v>
      </c>
      <c r="B224" s="28" t="s">
        <v>327</v>
      </c>
      <c r="C224" s="294" t="s">
        <v>328</v>
      </c>
      <c r="D224" s="56">
        <f>IF(F224="","",SUBTOTAL(3,$F$6:F224))</f>
        <v>218</v>
      </c>
      <c r="E224" s="37" t="s">
        <v>17</v>
      </c>
      <c r="F224" s="109" t="s">
        <v>1772</v>
      </c>
      <c r="G224" s="40" t="s">
        <v>1160</v>
      </c>
      <c r="H224" s="83" t="str">
        <f>IF($G224&lt;&gt;"",VLOOKUP($G224,'WPS '!C$5:M$209,3,FALSE),"")</f>
        <v>FCAW</v>
      </c>
      <c r="I224" s="22" t="s">
        <v>1201</v>
      </c>
      <c r="J224" s="77" t="s">
        <v>1215</v>
      </c>
      <c r="K224" s="69" t="s">
        <v>1402</v>
      </c>
      <c r="L224" s="22" t="str">
        <f>IF($G224&lt;&gt;"",VLOOKUP($G224,'WPS '!C$5:M$209,8,FALSE),"")</f>
        <v>E309LT1-1/-4</v>
      </c>
      <c r="M224" s="76" t="s">
        <v>1200</v>
      </c>
      <c r="N224" s="21">
        <v>45899</v>
      </c>
      <c r="O224" s="21">
        <v>45906</v>
      </c>
      <c r="P224" s="23">
        <f t="shared" si="7"/>
        <v>46271</v>
      </c>
      <c r="Q224" s="164" t="str">
        <f>IF($G224&lt;&gt;"",VLOOKUP($G224,'WPS '!C$5:M$209,11,FALSE),"")</f>
        <v>AWS D1.6</v>
      </c>
      <c r="R224" s="147" t="str">
        <f>IF($G224&lt;&gt;"",VLOOKUP($G224,'WPS '!$C$5:$M$209,2,FALSE),"")</f>
        <v>OSR-WPS-D1.6-FC-096</v>
      </c>
      <c r="S224" s="30"/>
      <c r="T224" s="30"/>
      <c r="U224" s="30"/>
      <c r="V224" s="30"/>
      <c r="W224" s="30"/>
      <c r="X224" s="30"/>
      <c r="Y224" s="30"/>
      <c r="Z224" s="30"/>
      <c r="AA224" s="30"/>
      <c r="AB224" s="30"/>
      <c r="AC224" s="30" t="s">
        <v>356</v>
      </c>
      <c r="AD224" s="30" t="s">
        <v>356</v>
      </c>
      <c r="AE224" s="54"/>
      <c r="AF224" s="54"/>
      <c r="AG224" s="153">
        <v>2</v>
      </c>
    </row>
    <row r="225" spans="1:34" ht="45" customHeight="1">
      <c r="A225" s="293">
        <f t="shared" si="8"/>
        <v>218</v>
      </c>
      <c r="B225" s="28" t="s">
        <v>327</v>
      </c>
      <c r="C225" s="294" t="s">
        <v>328</v>
      </c>
      <c r="D225" s="56">
        <f>IF(F225="","",SUBTOTAL(3,$F$6:F225))</f>
        <v>219</v>
      </c>
      <c r="E225" s="37" t="s">
        <v>17</v>
      </c>
      <c r="F225" s="109" t="s">
        <v>1772</v>
      </c>
      <c r="G225" s="40" t="s">
        <v>1160</v>
      </c>
      <c r="H225" s="83" t="str">
        <f>IF($G225&lt;&gt;"",VLOOKUP($G225,'WPS '!C$5:M$209,3,FALSE),"")</f>
        <v>FCAW</v>
      </c>
      <c r="I225" s="22" t="s">
        <v>1202</v>
      </c>
      <c r="J225" s="77" t="s">
        <v>1214</v>
      </c>
      <c r="K225" s="69" t="s">
        <v>1401</v>
      </c>
      <c r="L225" s="22" t="str">
        <f>IF($G225&lt;&gt;"",VLOOKUP($G225,'WPS '!C$5:M$209,8,FALSE),"")</f>
        <v>E309LT1-1/-4</v>
      </c>
      <c r="M225" s="76" t="s">
        <v>1199</v>
      </c>
      <c r="N225" s="21">
        <v>45899</v>
      </c>
      <c r="O225" s="21">
        <v>45906</v>
      </c>
      <c r="P225" s="23">
        <f t="shared" si="7"/>
        <v>46271</v>
      </c>
      <c r="Q225" s="164" t="str">
        <f>IF($G225&lt;&gt;"",VLOOKUP($G225,'WPS '!C$5:M$209,11,FALSE),"")</f>
        <v>AWS D1.6</v>
      </c>
      <c r="R225" s="147" t="str">
        <f>IF($G225&lt;&gt;"",VLOOKUP($G225,'WPS '!$C$5:$M$209,2,FALSE),"")</f>
        <v>OSR-WPS-D1.6-FC-096</v>
      </c>
      <c r="S225" s="30"/>
      <c r="T225" s="30"/>
      <c r="U225" s="30"/>
      <c r="V225" s="30"/>
      <c r="W225" s="30"/>
      <c r="X225" s="30"/>
      <c r="Y225" s="30"/>
      <c r="Z225" s="30"/>
      <c r="AA225" s="30"/>
      <c r="AB225" s="30"/>
      <c r="AC225" s="30"/>
      <c r="AD225" s="30"/>
      <c r="AE225" s="54"/>
      <c r="AF225" s="54"/>
      <c r="AG225" s="153">
        <v>2</v>
      </c>
    </row>
    <row r="226" spans="1:34" ht="45" customHeight="1">
      <c r="A226" s="293">
        <f t="shared" si="8"/>
        <v>219</v>
      </c>
      <c r="B226" s="28" t="s">
        <v>327</v>
      </c>
      <c r="C226" s="294" t="s">
        <v>328</v>
      </c>
      <c r="D226" s="56">
        <f>IF(F226="","",SUBTOTAL(3,$F$6:F226))</f>
        <v>220</v>
      </c>
      <c r="E226" s="37" t="s">
        <v>17</v>
      </c>
      <c r="F226" s="109" t="s">
        <v>1772</v>
      </c>
      <c r="G226" s="40" t="s">
        <v>1381</v>
      </c>
      <c r="H226" s="83" t="str">
        <f>IF($G226&lt;&gt;"",VLOOKUP($G226,'WPS '!C$5:M$209,3,FALSE),"")</f>
        <v>GTAW</v>
      </c>
      <c r="I226" s="22" t="s">
        <v>1606</v>
      </c>
      <c r="J226" s="77" t="s">
        <v>1472</v>
      </c>
      <c r="K226" s="69" t="s">
        <v>1399</v>
      </c>
      <c r="L226" s="22" t="str">
        <f>IF($G226&lt;&gt;"",VLOOKUP($G226,'WPS '!C$5:M$209,8,FALSE),"")</f>
        <v>ER 309L</v>
      </c>
      <c r="M226" s="76" t="s">
        <v>1471</v>
      </c>
      <c r="N226" s="21">
        <v>45910</v>
      </c>
      <c r="O226" s="21">
        <v>45911</v>
      </c>
      <c r="P226" s="21">
        <f t="shared" si="7"/>
        <v>46276</v>
      </c>
      <c r="Q226" s="164" t="str">
        <f>IF($G226&lt;&gt;"",VLOOKUP($G226,'WPS '!C$5:M$209,11,FALSE),"")</f>
        <v>AWS D1.6</v>
      </c>
      <c r="R226" s="147" t="str">
        <f>IF($G226&lt;&gt;"",VLOOKUP($G226,'WPS '!$C$5:$M$209,2,FALSE),"")</f>
        <v>OSR-WPS-D1.6-GT-108</v>
      </c>
      <c r="S226" s="30"/>
      <c r="T226" s="30"/>
      <c r="U226" s="30"/>
      <c r="V226" s="30"/>
      <c r="W226" s="30"/>
      <c r="X226" s="30"/>
      <c r="Y226" s="30"/>
      <c r="Z226" s="30"/>
      <c r="AA226" s="30"/>
      <c r="AB226" s="30"/>
      <c r="AC226" s="30" t="s">
        <v>95</v>
      </c>
      <c r="AD226" s="30" t="s">
        <v>356</v>
      </c>
      <c r="AE226" s="54"/>
      <c r="AF226" s="54"/>
      <c r="AG226" s="153">
        <v>2</v>
      </c>
    </row>
    <row r="227" spans="1:34" ht="45" customHeight="1">
      <c r="A227" s="293">
        <f t="shared" si="8"/>
        <v>220</v>
      </c>
      <c r="B227" s="5" t="s">
        <v>1634</v>
      </c>
      <c r="C227" s="5" t="s">
        <v>328</v>
      </c>
      <c r="D227" s="56">
        <f>IF(F227="","",SUBTOTAL(3,$F$6:F227))</f>
        <v>221</v>
      </c>
      <c r="E227" s="35" t="s">
        <v>206</v>
      </c>
      <c r="F227" s="106" t="s">
        <v>1768</v>
      </c>
      <c r="G227" s="40" t="s">
        <v>701</v>
      </c>
      <c r="H227" s="83">
        <f>IF($G227&lt;&gt;"",VLOOKUP($G227,'WPS '!C$5:M$209,3,FALSE),"")</f>
        <v>136</v>
      </c>
      <c r="I227" s="22" t="s">
        <v>1250</v>
      </c>
      <c r="J227" s="22" t="s">
        <v>257</v>
      </c>
      <c r="K227" s="69" t="s">
        <v>884</v>
      </c>
      <c r="L227" s="22" t="str">
        <f>IF($G227&lt;&gt;"",VLOOKUP($G227,'WPS '!C$5:M$209,8,FALSE),"")</f>
        <v>E81T1-W2C</v>
      </c>
      <c r="M227" s="76" t="s">
        <v>207</v>
      </c>
      <c r="N227" s="21">
        <v>45821</v>
      </c>
      <c r="O227" s="21">
        <v>45825</v>
      </c>
      <c r="P227" s="21">
        <f t="shared" si="7"/>
        <v>46190</v>
      </c>
      <c r="Q227" s="164" t="s">
        <v>1811</v>
      </c>
      <c r="R227" s="147" t="str">
        <f>IF($G227&lt;&gt;"",VLOOKUP($G227,'WPS '!$C$5:$M$209,2,FALSE),"")</f>
        <v>OSR-WPS-ISO-PC-046</v>
      </c>
      <c r="S227" s="30"/>
      <c r="T227" s="30"/>
      <c r="U227" s="30"/>
      <c r="V227" s="30"/>
      <c r="W227" s="30"/>
      <c r="X227" s="30" t="s">
        <v>95</v>
      </c>
      <c r="Y227" s="30"/>
      <c r="Z227" s="30"/>
      <c r="AA227" s="30"/>
      <c r="AB227" s="30"/>
      <c r="AC227" s="30"/>
      <c r="AD227" s="30"/>
      <c r="AE227" s="54"/>
      <c r="AF227" s="54"/>
      <c r="AG227" s="66">
        <v>2</v>
      </c>
      <c r="AH227" s="115"/>
    </row>
    <row r="228" spans="1:34" ht="45" customHeight="1">
      <c r="A228" s="293">
        <f t="shared" si="8"/>
        <v>221</v>
      </c>
      <c r="B228" s="5" t="s">
        <v>326</v>
      </c>
      <c r="C228" s="296" t="s">
        <v>1635</v>
      </c>
      <c r="D228" s="56">
        <f>IF(F228="","",SUBTOTAL(3,$F$6:F228))</f>
        <v>222</v>
      </c>
      <c r="E228" s="34" t="s">
        <v>19</v>
      </c>
      <c r="F228" s="107" t="s">
        <v>1771</v>
      </c>
      <c r="G228" s="40" t="s">
        <v>660</v>
      </c>
      <c r="H228" s="83">
        <f>IF($G228&lt;&gt;"",VLOOKUP($G228,'WPS '!C$5:M$209,3,FALSE),"")</f>
        <v>136</v>
      </c>
      <c r="I228" s="22" t="s">
        <v>1250</v>
      </c>
      <c r="J228" s="22" t="s">
        <v>242</v>
      </c>
      <c r="K228" s="69" t="s">
        <v>884</v>
      </c>
      <c r="L228" s="22" t="str">
        <f>IF($G228&lt;&gt;"",VLOOKUP($G228,'WPS '!C$5:M$209,8,FALSE),"")</f>
        <v>E71T-1C</v>
      </c>
      <c r="M228" s="76" t="s">
        <v>20</v>
      </c>
      <c r="N228" s="21">
        <v>44909</v>
      </c>
      <c r="O228" s="21">
        <v>44912</v>
      </c>
      <c r="P228" s="21">
        <f t="shared" si="7"/>
        <v>46008</v>
      </c>
      <c r="Q228" s="164" t="s">
        <v>1811</v>
      </c>
      <c r="R228" s="147" t="str">
        <f>IF($G228&lt;&gt;"",VLOOKUP($G228,'WPS '!$C$5:$M$209,2,FALSE),"")</f>
        <v>OSR-WPS-ISO-004</v>
      </c>
      <c r="S228" s="30"/>
      <c r="T228" s="30"/>
      <c r="U228" s="30"/>
      <c r="V228" s="30"/>
      <c r="W228" s="30"/>
      <c r="X228" s="30"/>
      <c r="Y228" s="30"/>
      <c r="Z228" s="30"/>
      <c r="AA228" s="30"/>
      <c r="AB228" s="30"/>
      <c r="AC228" s="30"/>
      <c r="AD228" s="30"/>
      <c r="AE228" s="54"/>
      <c r="AF228" s="54"/>
      <c r="AG228" s="66">
        <v>6</v>
      </c>
      <c r="AH228" s="115"/>
    </row>
    <row r="229" spans="1:34" ht="45" customHeight="1">
      <c r="A229" s="293">
        <f t="shared" si="8"/>
        <v>222</v>
      </c>
      <c r="B229" s="5" t="s">
        <v>326</v>
      </c>
      <c r="C229" s="296" t="s">
        <v>1635</v>
      </c>
      <c r="D229" s="56">
        <f>IF(F229="","",SUBTOTAL(3,$F$6:F229))</f>
        <v>223</v>
      </c>
      <c r="E229" s="34" t="s">
        <v>19</v>
      </c>
      <c r="F229" s="107" t="s">
        <v>1771</v>
      </c>
      <c r="G229" s="40" t="s">
        <v>671</v>
      </c>
      <c r="H229" s="83">
        <f>IF($G229&lt;&gt;"",VLOOKUP($G229,'WPS '!C$5:M$209,3,FALSE),"")</f>
        <v>136</v>
      </c>
      <c r="I229" s="22" t="s">
        <v>1250</v>
      </c>
      <c r="J229" s="22" t="s">
        <v>252</v>
      </c>
      <c r="K229" s="69" t="s">
        <v>883</v>
      </c>
      <c r="L229" s="22" t="str">
        <f>IF($G229&lt;&gt;"",VLOOKUP($G229,'WPS '!C$5:M$209,8,FALSE),"")</f>
        <v>E71T-1C</v>
      </c>
      <c r="M229" s="76" t="s">
        <v>76</v>
      </c>
      <c r="N229" s="21">
        <v>45342</v>
      </c>
      <c r="O229" s="21">
        <v>45345</v>
      </c>
      <c r="P229" s="21">
        <f t="shared" si="7"/>
        <v>46076</v>
      </c>
      <c r="Q229" s="164" t="s">
        <v>1811</v>
      </c>
      <c r="R229" s="147" t="str">
        <f>IF($G229&lt;&gt;"",VLOOKUP($G229,'WPS '!$C$5:$M$209,2,FALSE),"")</f>
        <v>OSR-WPS-ISO-PC-015</v>
      </c>
      <c r="S229" s="30"/>
      <c r="T229" s="30"/>
      <c r="U229" s="30"/>
      <c r="V229" s="30"/>
      <c r="W229" s="30"/>
      <c r="X229" s="30"/>
      <c r="Y229" s="30"/>
      <c r="Z229" s="30"/>
      <c r="AA229" s="30" t="s">
        <v>95</v>
      </c>
      <c r="AB229" s="30"/>
      <c r="AC229" s="30"/>
      <c r="AD229" s="30"/>
      <c r="AE229" s="54"/>
      <c r="AF229" s="54"/>
      <c r="AG229" s="66">
        <v>4</v>
      </c>
      <c r="AH229" s="115"/>
    </row>
    <row r="230" spans="1:34" ht="45" customHeight="1">
      <c r="A230" s="293">
        <f t="shared" si="8"/>
        <v>223</v>
      </c>
      <c r="B230" s="5" t="s">
        <v>326</v>
      </c>
      <c r="C230" s="296" t="s">
        <v>1635</v>
      </c>
      <c r="D230" s="56">
        <f>IF(F230="","",SUBTOTAL(3,$F$6:F230))</f>
        <v>224</v>
      </c>
      <c r="E230" s="34" t="s">
        <v>19</v>
      </c>
      <c r="F230" s="107" t="s">
        <v>1771</v>
      </c>
      <c r="G230" s="40" t="s">
        <v>679</v>
      </c>
      <c r="H230" s="83">
        <f>IF($G230&lt;&gt;"",VLOOKUP($G230,'WPS '!C$5:M$209,3,FALSE),"")</f>
        <v>136</v>
      </c>
      <c r="I230" s="22" t="s">
        <v>1250</v>
      </c>
      <c r="J230" s="22" t="s">
        <v>240</v>
      </c>
      <c r="K230" s="69" t="s">
        <v>884</v>
      </c>
      <c r="L230" s="22" t="str">
        <f>IF($G230&lt;&gt;"",VLOOKUP($G230,'WPS '!C$5:M$209,8,FALSE),"")</f>
        <v>E81T1-Ni1J-C</v>
      </c>
      <c r="M230" s="76" t="s">
        <v>70</v>
      </c>
      <c r="N230" s="21">
        <v>45482</v>
      </c>
      <c r="O230" s="21">
        <v>45486</v>
      </c>
      <c r="P230" s="21">
        <f t="shared" si="7"/>
        <v>46035</v>
      </c>
      <c r="Q230" s="164" t="s">
        <v>1811</v>
      </c>
      <c r="R230" s="147" t="str">
        <f>IF($G230&lt;&gt;"",VLOOKUP($G230,'WPS '!$C$5:$M$209,2,FALSE),"")</f>
        <v>OSR-WPS-ISO-PF-024</v>
      </c>
      <c r="S230" s="30"/>
      <c r="T230" s="30"/>
      <c r="U230" s="30"/>
      <c r="V230" s="30"/>
      <c r="W230" s="30"/>
      <c r="X230" s="30"/>
      <c r="Y230" s="30"/>
      <c r="Z230" s="30"/>
      <c r="AA230" s="30"/>
      <c r="AB230" s="30"/>
      <c r="AC230" s="30"/>
      <c r="AD230" s="30"/>
      <c r="AE230" s="54"/>
      <c r="AF230" s="54"/>
      <c r="AG230" s="67">
        <v>3</v>
      </c>
      <c r="AH230" s="115"/>
    </row>
    <row r="231" spans="1:34" ht="45" customHeight="1">
      <c r="A231" s="293">
        <f t="shared" si="8"/>
        <v>224</v>
      </c>
      <c r="B231" s="5" t="s">
        <v>326</v>
      </c>
      <c r="C231" s="296" t="s">
        <v>1635</v>
      </c>
      <c r="D231" s="56">
        <f>IF(F231="","",SUBTOTAL(3,$F$6:F231))</f>
        <v>225</v>
      </c>
      <c r="E231" s="34" t="s">
        <v>19</v>
      </c>
      <c r="F231" s="107" t="s">
        <v>1771</v>
      </c>
      <c r="G231" s="40" t="s">
        <v>682</v>
      </c>
      <c r="H231" s="83">
        <f>IF($G231&lt;&gt;"",VLOOKUP($G231,'WPS '!C$5:M$209,3,FALSE),"")</f>
        <v>136</v>
      </c>
      <c r="I231" s="22" t="s">
        <v>1252</v>
      </c>
      <c r="J231" s="22" t="s">
        <v>256</v>
      </c>
      <c r="K231" s="69" t="s">
        <v>884</v>
      </c>
      <c r="L231" s="22" t="str">
        <f>IF($G231&lt;&gt;"",VLOOKUP($G231,'WPS '!C$5:M$209,8,FALSE),"")</f>
        <v>E81T1-Ni 1C</v>
      </c>
      <c r="M231" s="76" t="s">
        <v>73</v>
      </c>
      <c r="N231" s="21">
        <v>45498</v>
      </c>
      <c r="O231" s="21">
        <v>45502</v>
      </c>
      <c r="P231" s="21">
        <f t="shared" si="7"/>
        <v>46051</v>
      </c>
      <c r="Q231" s="164" t="s">
        <v>1811</v>
      </c>
      <c r="R231" s="147" t="str">
        <f>IF($G231&lt;&gt;"",VLOOKUP($G231,'WPS '!$C$5:$M$209,2,FALSE),"")</f>
        <v>OSR-WPS-ISO-PF-027</v>
      </c>
      <c r="S231" s="30"/>
      <c r="T231" s="30"/>
      <c r="U231" s="30"/>
      <c r="V231" s="30"/>
      <c r="W231" s="30"/>
      <c r="X231" s="30"/>
      <c r="Y231" s="30"/>
      <c r="Z231" s="30"/>
      <c r="AA231" s="30"/>
      <c r="AB231" s="30"/>
      <c r="AC231" s="30"/>
      <c r="AD231" s="30"/>
      <c r="AE231" s="54"/>
      <c r="AF231" s="54"/>
      <c r="AG231" s="67">
        <v>3</v>
      </c>
      <c r="AH231" s="115"/>
    </row>
    <row r="232" spans="1:34" ht="45" customHeight="1">
      <c r="A232" s="293">
        <f t="shared" si="8"/>
        <v>225</v>
      </c>
      <c r="B232" s="5" t="s">
        <v>326</v>
      </c>
      <c r="C232" s="296" t="s">
        <v>1635</v>
      </c>
      <c r="D232" s="56">
        <f>IF(F232="","",SUBTOTAL(3,$F$6:F232))</f>
        <v>226</v>
      </c>
      <c r="E232" s="34" t="s">
        <v>19</v>
      </c>
      <c r="F232" s="107" t="s">
        <v>1771</v>
      </c>
      <c r="G232" s="40" t="s">
        <v>688</v>
      </c>
      <c r="H232" s="83">
        <f>IF($G232&lt;&gt;"",VLOOKUP($G232,'WPS '!C$5:M$209,3,FALSE),"")</f>
        <v>136</v>
      </c>
      <c r="I232" s="22" t="s">
        <v>1250</v>
      </c>
      <c r="J232" s="22" t="s">
        <v>242</v>
      </c>
      <c r="K232" s="69" t="s">
        <v>884</v>
      </c>
      <c r="L232" s="22" t="str">
        <f>IF($G232&lt;&gt;"",VLOOKUP($G232,'WPS '!C$5:M$209,8,FALSE),"")</f>
        <v>E81T1-Ni1J-C</v>
      </c>
      <c r="M232" s="76" t="s">
        <v>86</v>
      </c>
      <c r="N232" s="21">
        <v>45637</v>
      </c>
      <c r="O232" s="21">
        <v>45644</v>
      </c>
      <c r="P232" s="21">
        <f t="shared" si="7"/>
        <v>46009</v>
      </c>
      <c r="Q232" s="164" t="s">
        <v>1811</v>
      </c>
      <c r="R232" s="147" t="str">
        <f>IF($G232&lt;&gt;"",VLOOKUP($G232,'WPS '!$C$5:$M$209,2,FALSE),"")</f>
        <v>OSR-WPS-ISO-PF-033</v>
      </c>
      <c r="S232" s="30"/>
      <c r="T232" s="30"/>
      <c r="U232" s="30"/>
      <c r="V232" s="30"/>
      <c r="W232" s="30"/>
      <c r="X232" s="30"/>
      <c r="Y232" s="30"/>
      <c r="Z232" s="30"/>
      <c r="AA232" s="30"/>
      <c r="AB232" s="30"/>
      <c r="AC232" s="30"/>
      <c r="AD232" s="30"/>
      <c r="AE232" s="54"/>
      <c r="AF232" s="54"/>
      <c r="AG232" s="67">
        <v>2</v>
      </c>
      <c r="AH232" s="115"/>
    </row>
    <row r="233" spans="1:34" ht="45" customHeight="1">
      <c r="A233" s="293">
        <f t="shared" si="8"/>
        <v>226</v>
      </c>
      <c r="B233" s="5" t="s">
        <v>326</v>
      </c>
      <c r="C233" s="296" t="s">
        <v>1635</v>
      </c>
      <c r="D233" s="56">
        <f>IF(F233="","",SUBTOTAL(3,$F$6:F233))</f>
        <v>227</v>
      </c>
      <c r="E233" s="34" t="s">
        <v>19</v>
      </c>
      <c r="F233" s="107" t="s">
        <v>1771</v>
      </c>
      <c r="G233" s="40" t="s">
        <v>690</v>
      </c>
      <c r="H233" s="83">
        <f>IF($G233&lt;&gt;"",VLOOKUP($G233,'WPS '!C$5:M$209,3,FALSE),"")</f>
        <v>136</v>
      </c>
      <c r="I233" s="22" t="s">
        <v>1250</v>
      </c>
      <c r="J233" s="22" t="s">
        <v>242</v>
      </c>
      <c r="K233" s="69" t="s">
        <v>884</v>
      </c>
      <c r="L233" s="22" t="str">
        <f>IF($G233&lt;&gt;"",VLOOKUP($G233,'WPS '!C$5:M$209,8,FALSE),"")</f>
        <v>E308LT1-1/4</v>
      </c>
      <c r="M233" s="76" t="s">
        <v>85</v>
      </c>
      <c r="N233" s="21">
        <v>45637</v>
      </c>
      <c r="O233" s="21">
        <v>45644</v>
      </c>
      <c r="P233" s="21">
        <f t="shared" si="7"/>
        <v>46009</v>
      </c>
      <c r="Q233" s="164" t="s">
        <v>1811</v>
      </c>
      <c r="R233" s="147" t="str">
        <f>IF($G233&lt;&gt;"",VLOOKUP($G233,'WPS '!$C$5:$M$209,2,FALSE),"")</f>
        <v>OSR-WPS-ISO-PF-035</v>
      </c>
      <c r="S233" s="30"/>
      <c r="T233" s="30"/>
      <c r="U233" s="30"/>
      <c r="V233" s="30"/>
      <c r="W233" s="30"/>
      <c r="X233" s="30"/>
      <c r="Y233" s="30"/>
      <c r="Z233" s="30"/>
      <c r="AA233" s="30" t="s">
        <v>95</v>
      </c>
      <c r="AB233" s="30"/>
      <c r="AC233" s="30"/>
      <c r="AD233" s="30"/>
      <c r="AE233" s="54"/>
      <c r="AF233" s="54"/>
      <c r="AG233" s="67">
        <v>2</v>
      </c>
      <c r="AH233" s="115"/>
    </row>
    <row r="234" spans="1:34" ht="45" customHeight="1">
      <c r="A234" s="293">
        <f t="shared" si="8"/>
        <v>227</v>
      </c>
      <c r="B234" s="5" t="s">
        <v>326</v>
      </c>
      <c r="C234" s="296" t="s">
        <v>1635</v>
      </c>
      <c r="D234" s="56">
        <f>IF(F234="","",SUBTOTAL(3,$F$6:F234))</f>
        <v>228</v>
      </c>
      <c r="E234" s="34" t="s">
        <v>19</v>
      </c>
      <c r="F234" s="107" t="s">
        <v>1771</v>
      </c>
      <c r="G234" s="40" t="s">
        <v>700</v>
      </c>
      <c r="H234" s="83">
        <f>IF($G234&lt;&gt;"",VLOOKUP($G234,'WPS '!C$5:M$209,3,FALSE),"")</f>
        <v>136</v>
      </c>
      <c r="I234" s="22" t="s">
        <v>1250</v>
      </c>
      <c r="J234" s="22" t="s">
        <v>242</v>
      </c>
      <c r="K234" s="69" t="s">
        <v>884</v>
      </c>
      <c r="L234" s="22" t="str">
        <f>IF($G234&lt;&gt;"",VLOOKUP($G234,'WPS '!C$5:M$209,8,FALSE),"")</f>
        <v>E81T1-W2C</v>
      </c>
      <c r="M234" s="76" t="s">
        <v>140</v>
      </c>
      <c r="N234" s="21">
        <v>45675</v>
      </c>
      <c r="O234" s="21">
        <v>45678</v>
      </c>
      <c r="P234" s="21">
        <f t="shared" si="7"/>
        <v>46043</v>
      </c>
      <c r="Q234" s="164" t="s">
        <v>1811</v>
      </c>
      <c r="R234" s="147" t="str">
        <f>IF($G234&lt;&gt;"",VLOOKUP($G234,'WPS '!$C$5:$M$209,2,FALSE),"")</f>
        <v>OSR-WPS-ISO-PF-045</v>
      </c>
      <c r="S234" s="30"/>
      <c r="T234" s="30"/>
      <c r="U234" s="30"/>
      <c r="V234" s="30"/>
      <c r="W234" s="30"/>
      <c r="X234" s="30" t="s">
        <v>95</v>
      </c>
      <c r="Y234" s="30"/>
      <c r="Z234" s="30"/>
      <c r="AA234" s="30"/>
      <c r="AB234" s="30"/>
      <c r="AC234" s="30"/>
      <c r="AD234" s="30"/>
      <c r="AE234" s="54"/>
      <c r="AF234" s="54"/>
      <c r="AG234" s="66">
        <v>2</v>
      </c>
      <c r="AH234" s="115"/>
    </row>
    <row r="235" spans="1:34" ht="45" customHeight="1">
      <c r="A235" s="293">
        <f t="shared" si="8"/>
        <v>228</v>
      </c>
      <c r="B235" s="5" t="s">
        <v>326</v>
      </c>
      <c r="C235" s="296" t="s">
        <v>1635</v>
      </c>
      <c r="D235" s="56">
        <f>IF(F235="","",SUBTOTAL(3,$F$6:F235))</f>
        <v>229</v>
      </c>
      <c r="E235" s="34" t="s">
        <v>19</v>
      </c>
      <c r="F235" s="107" t="s">
        <v>1771</v>
      </c>
      <c r="G235" s="40" t="s">
        <v>708</v>
      </c>
      <c r="H235" s="83">
        <f>IF($G235&lt;&gt;"",VLOOKUP($G235,'WPS '!C$5:M$209,3,FALSE),"")</f>
        <v>136</v>
      </c>
      <c r="I235" s="22" t="s">
        <v>1251</v>
      </c>
      <c r="J235" s="22" t="s">
        <v>242</v>
      </c>
      <c r="K235" s="69" t="s">
        <v>884</v>
      </c>
      <c r="L235" s="22" t="str">
        <f>IF($G235&lt;&gt;"",VLOOKUP($G235,'WPS '!C$5:M$209,8,FALSE),"")</f>
        <v>E71T-1C</v>
      </c>
      <c r="M235" s="76" t="s">
        <v>94</v>
      </c>
      <c r="N235" s="21">
        <v>45796</v>
      </c>
      <c r="O235" s="21">
        <v>45799</v>
      </c>
      <c r="P235" s="21">
        <f t="shared" si="7"/>
        <v>46164</v>
      </c>
      <c r="Q235" s="164" t="s">
        <v>1811</v>
      </c>
      <c r="R235" s="147" t="str">
        <f>IF($G235&lt;&gt;"",VLOOKUP($G235,'WPS '!$C$5:$M$209,2,FALSE),"")</f>
        <v>OSR-WPS-ISO-PF-053</v>
      </c>
      <c r="S235" s="30"/>
      <c r="T235" s="30"/>
      <c r="U235" s="30"/>
      <c r="V235" s="30"/>
      <c r="W235" s="30"/>
      <c r="X235" s="30"/>
      <c r="Y235" s="30" t="s">
        <v>95</v>
      </c>
      <c r="Z235" s="30"/>
      <c r="AA235" s="30"/>
      <c r="AB235" s="30"/>
      <c r="AC235" s="30"/>
      <c r="AD235" s="30"/>
      <c r="AE235" s="54"/>
      <c r="AF235" s="54"/>
      <c r="AG235" s="66">
        <v>2</v>
      </c>
      <c r="AH235" s="115"/>
    </row>
    <row r="236" spans="1:34" ht="45" customHeight="1">
      <c r="A236" s="293">
        <f t="shared" si="8"/>
        <v>229</v>
      </c>
      <c r="B236" s="5" t="s">
        <v>326</v>
      </c>
      <c r="C236" s="296" t="s">
        <v>1635</v>
      </c>
      <c r="D236" s="56">
        <f>IF(F236="","",SUBTOTAL(3,$F$6:F236))</f>
        <v>230</v>
      </c>
      <c r="E236" s="34" t="s">
        <v>19</v>
      </c>
      <c r="F236" s="107" t="s">
        <v>1771</v>
      </c>
      <c r="G236" s="40" t="s">
        <v>711</v>
      </c>
      <c r="H236" s="83">
        <f>IF($G236&lt;&gt;"",VLOOKUP($G236,'WPS '!C$5:M$209,3,FALSE),"")</f>
        <v>136</v>
      </c>
      <c r="I236" s="22" t="s">
        <v>1251</v>
      </c>
      <c r="J236" s="22" t="s">
        <v>258</v>
      </c>
      <c r="K236" s="69" t="s">
        <v>884</v>
      </c>
      <c r="L236" s="22" t="str">
        <f>IF($G236&lt;&gt;"",VLOOKUP($G236,'WPS '!C$5:M$209,8,FALSE),"")</f>
        <v>E71T-1C</v>
      </c>
      <c r="M236" s="76" t="s">
        <v>907</v>
      </c>
      <c r="N236" s="21">
        <v>45795</v>
      </c>
      <c r="O236" s="21">
        <v>45804</v>
      </c>
      <c r="P236" s="21">
        <f t="shared" si="7"/>
        <v>46169</v>
      </c>
      <c r="Q236" s="164" t="s">
        <v>1811</v>
      </c>
      <c r="R236" s="147" t="str">
        <f>IF($G236&lt;&gt;"",VLOOKUP($G236,'WPS '!$C$5:$M$209,2,FALSE),"")</f>
        <v>OSR-WPS-ISO-PF-056</v>
      </c>
      <c r="S236" s="30"/>
      <c r="T236" s="30"/>
      <c r="U236" s="30"/>
      <c r="V236" s="30"/>
      <c r="W236" s="30"/>
      <c r="X236" s="30"/>
      <c r="Y236" s="30" t="s">
        <v>95</v>
      </c>
      <c r="Z236" s="30"/>
      <c r="AA236" s="30"/>
      <c r="AB236" s="30"/>
      <c r="AC236" s="30"/>
      <c r="AD236" s="30"/>
      <c r="AE236" s="54"/>
      <c r="AF236" s="54"/>
      <c r="AG236" s="66">
        <v>2</v>
      </c>
      <c r="AH236" s="115"/>
    </row>
    <row r="237" spans="1:34" ht="45" customHeight="1">
      <c r="A237" s="293">
        <f t="shared" si="8"/>
        <v>230</v>
      </c>
      <c r="B237" s="5" t="s">
        <v>326</v>
      </c>
      <c r="C237" s="296" t="s">
        <v>1635</v>
      </c>
      <c r="D237" s="56">
        <f>IF(F237="","",SUBTOTAL(3,$F$6:F237))</f>
        <v>231</v>
      </c>
      <c r="E237" s="34" t="s">
        <v>19</v>
      </c>
      <c r="F237" s="107" t="s">
        <v>1771</v>
      </c>
      <c r="G237" s="40" t="s">
        <v>1054</v>
      </c>
      <c r="H237" s="83">
        <f>IF($G237&lt;&gt;"",VLOOKUP($G237,'WPS '!C$5:M$209,3,FALSE),"")</f>
        <v>136</v>
      </c>
      <c r="I237" s="22" t="s">
        <v>217</v>
      </c>
      <c r="J237" s="22" t="s">
        <v>1056</v>
      </c>
      <c r="K237" s="69" t="s">
        <v>1055</v>
      </c>
      <c r="L237" s="22" t="str">
        <f>IF($G237&lt;&gt;"",VLOOKUP($G237,'WPS '!C$5:M$209,8,FALSE),"")</f>
        <v>E71T-1C</v>
      </c>
      <c r="M237" s="76" t="s">
        <v>1393</v>
      </c>
      <c r="N237" s="21">
        <v>45890</v>
      </c>
      <c r="O237" s="21">
        <v>45896</v>
      </c>
      <c r="P237" s="21">
        <f t="shared" si="7"/>
        <v>46261</v>
      </c>
      <c r="Q237" s="164" t="s">
        <v>1811</v>
      </c>
      <c r="R237" s="147" t="str">
        <f>IF($G237&lt;&gt;"",VLOOKUP($G237,'WPS '!$C$5:$M$209,2,FALSE),"")</f>
        <v>OSR-WPS-ISO-PB-072</v>
      </c>
      <c r="S237" s="30"/>
      <c r="T237" s="30"/>
      <c r="U237" s="30"/>
      <c r="V237" s="30"/>
      <c r="W237" s="30"/>
      <c r="X237" s="30"/>
      <c r="Y237" s="30" t="s">
        <v>95</v>
      </c>
      <c r="Z237" s="30"/>
      <c r="AA237" s="30"/>
      <c r="AB237" s="30"/>
      <c r="AC237" s="30"/>
      <c r="AD237" s="30"/>
      <c r="AE237" s="54"/>
      <c r="AF237" s="54"/>
      <c r="AG237" s="66">
        <v>2</v>
      </c>
      <c r="AH237" s="115"/>
    </row>
    <row r="238" spans="1:34" ht="45" customHeight="1">
      <c r="A238" s="293">
        <f t="shared" si="8"/>
        <v>231</v>
      </c>
      <c r="B238" s="5" t="s">
        <v>326</v>
      </c>
      <c r="C238" s="296" t="s">
        <v>1635</v>
      </c>
      <c r="D238" s="56">
        <f>IF(F238="","",SUBTOTAL(3,$F$6:F238))</f>
        <v>232</v>
      </c>
      <c r="E238" s="34" t="s">
        <v>19</v>
      </c>
      <c r="F238" s="107" t="s">
        <v>1771</v>
      </c>
      <c r="G238" s="40" t="s">
        <v>1230</v>
      </c>
      <c r="H238" s="83">
        <f>IF($G238&lt;&gt;"",VLOOKUP($G238,'WPS '!C$5:M$209,3,FALSE),"")</f>
        <v>136</v>
      </c>
      <c r="I238" s="22" t="s">
        <v>217</v>
      </c>
      <c r="J238" s="22" t="s">
        <v>242</v>
      </c>
      <c r="K238" s="69" t="s">
        <v>1248</v>
      </c>
      <c r="L238" s="22" t="str">
        <f>IF($G238&lt;&gt;"",VLOOKUP($G238,'WPS '!C$5:M$209,8,FALSE),"")</f>
        <v>E309LT1-1/-4</v>
      </c>
      <c r="M238" s="76" t="s">
        <v>1257</v>
      </c>
      <c r="N238" s="21">
        <v>45903</v>
      </c>
      <c r="O238" s="21">
        <v>45909</v>
      </c>
      <c r="P238" s="21">
        <f t="shared" si="7"/>
        <v>46274</v>
      </c>
      <c r="Q238" s="164" t="s">
        <v>1811</v>
      </c>
      <c r="R238" s="147" t="str">
        <f>IF($G238&lt;&gt;"",VLOOKUP($G238,'WPS '!$C$5:$M$209,2,FALSE),"")</f>
        <v>OSR-WPS-ISO-PF-074</v>
      </c>
      <c r="S238" s="30"/>
      <c r="T238" s="30"/>
      <c r="U238" s="30"/>
      <c r="V238" s="30"/>
      <c r="W238" s="30"/>
      <c r="X238" s="30"/>
      <c r="Y238" s="30"/>
      <c r="Z238" s="30" t="s">
        <v>95</v>
      </c>
      <c r="AA238" s="30"/>
      <c r="AB238" s="30"/>
      <c r="AC238" s="30"/>
      <c r="AD238" s="30"/>
      <c r="AE238" s="54"/>
      <c r="AF238" s="54"/>
      <c r="AG238" s="66">
        <v>2</v>
      </c>
      <c r="AH238" s="115"/>
    </row>
    <row r="239" spans="1:34" ht="45" customHeight="1">
      <c r="A239" s="293">
        <f t="shared" si="8"/>
        <v>232</v>
      </c>
      <c r="B239" s="5" t="s">
        <v>326</v>
      </c>
      <c r="C239" s="296" t="s">
        <v>1635</v>
      </c>
      <c r="D239" s="56">
        <f>IF(F239="","",SUBTOTAL(3,$F$6:F239))</f>
        <v>233</v>
      </c>
      <c r="E239" s="34" t="s">
        <v>19</v>
      </c>
      <c r="F239" s="107" t="s">
        <v>1771</v>
      </c>
      <c r="G239" s="40" t="s">
        <v>1449</v>
      </c>
      <c r="H239" s="83">
        <f>IF($G239&lt;&gt;"",VLOOKUP($G239,'WPS '!C$5:M$209,3,FALSE),"")</f>
        <v>136</v>
      </c>
      <c r="I239" s="22" t="s">
        <v>217</v>
      </c>
      <c r="J239" s="22" t="s">
        <v>242</v>
      </c>
      <c r="K239" s="69" t="s">
        <v>1248</v>
      </c>
      <c r="L239" s="22" t="str">
        <f>IF($G239&lt;&gt;"",VLOOKUP($G239,'WPS '!C$5:M$209,8,FALSE),"")</f>
        <v>E71T-1C</v>
      </c>
      <c r="M239" s="76" t="s">
        <v>1462</v>
      </c>
      <c r="N239" s="21">
        <v>45913</v>
      </c>
      <c r="O239" s="21">
        <v>45916</v>
      </c>
      <c r="P239" s="21">
        <f t="shared" si="7"/>
        <v>46281</v>
      </c>
      <c r="Q239" s="164" t="s">
        <v>1811</v>
      </c>
      <c r="R239" s="147" t="str">
        <f>IF($G239&lt;&gt;"",VLOOKUP($G239,'WPS '!$C$5:$M$209,2,FALSE),"")</f>
        <v>OSR-WPS-ISO-PF-079</v>
      </c>
      <c r="S239" s="30"/>
      <c r="T239" s="30"/>
      <c r="U239" s="30"/>
      <c r="V239" s="30"/>
      <c r="W239" s="30"/>
      <c r="X239" s="30"/>
      <c r="Y239" s="30"/>
      <c r="Z239" s="30" t="s">
        <v>95</v>
      </c>
      <c r="AA239" s="30"/>
      <c r="AB239" s="30"/>
      <c r="AC239" s="30"/>
      <c r="AD239" s="30"/>
      <c r="AE239" s="54"/>
      <c r="AF239" s="54"/>
      <c r="AG239" s="66">
        <v>2</v>
      </c>
      <c r="AH239" s="115"/>
    </row>
    <row r="240" spans="1:34" ht="45" customHeight="1">
      <c r="A240" s="293">
        <f t="shared" si="8"/>
        <v>233</v>
      </c>
      <c r="B240" s="28" t="s">
        <v>326</v>
      </c>
      <c r="C240" s="295" t="s">
        <v>1635</v>
      </c>
      <c r="D240" s="56">
        <f>IF(F240="","",SUBTOTAL(3,$F$6:F240))</f>
        <v>234</v>
      </c>
      <c r="E240" s="34" t="s">
        <v>19</v>
      </c>
      <c r="F240" s="107" t="s">
        <v>1771</v>
      </c>
      <c r="G240" s="39" t="s">
        <v>719</v>
      </c>
      <c r="H240" s="83" t="str">
        <f>IF($G240&lt;&gt;"",VLOOKUP($G240,'WPS '!C$5:M$209,3,FALSE),"")</f>
        <v>FCAW</v>
      </c>
      <c r="I240" s="22" t="s">
        <v>850</v>
      </c>
      <c r="J240" s="22" t="s">
        <v>1215</v>
      </c>
      <c r="K240" s="69" t="s">
        <v>964</v>
      </c>
      <c r="L240" s="22" t="str">
        <f>IF($G240&lt;&gt;"",VLOOKUP($G240,'WPS '!C$5:M$209,8,FALSE),"")</f>
        <v>E71T-1C</v>
      </c>
      <c r="M240" s="76" t="s">
        <v>289</v>
      </c>
      <c r="N240" s="21">
        <v>45583</v>
      </c>
      <c r="O240" s="21">
        <v>45590</v>
      </c>
      <c r="P240" s="21">
        <f t="shared" si="7"/>
        <v>46137</v>
      </c>
      <c r="Q240" s="164" t="str">
        <f>IF($G240&lt;&gt;"",VLOOKUP($G240,'WPS '!C$5:M$209,11,FALSE),"")</f>
        <v>ASME IX</v>
      </c>
      <c r="R240" s="147" t="str">
        <f>IF($G240&lt;&gt;"",VLOOKUP($G240,'WPS '!$C$5:$M$209,2,FALSE),"")</f>
        <v>OSR-WPS-ASME-FC-002</v>
      </c>
      <c r="S240" s="30" t="s">
        <v>356</v>
      </c>
      <c r="T240" s="30"/>
      <c r="U240" s="30"/>
      <c r="V240" s="30"/>
      <c r="W240" s="62"/>
      <c r="X240" s="30"/>
      <c r="Y240" s="32"/>
      <c r="Z240" s="32"/>
      <c r="AA240" s="32"/>
      <c r="AB240" s="62"/>
      <c r="AC240" s="62"/>
      <c r="AD240" s="62"/>
      <c r="AE240" s="146"/>
      <c r="AF240" s="146"/>
      <c r="AG240" s="67">
        <v>3</v>
      </c>
      <c r="AH240" s="18"/>
    </row>
    <row r="241" spans="1:34" ht="45" customHeight="1">
      <c r="A241" s="293">
        <f t="shared" si="8"/>
        <v>234</v>
      </c>
      <c r="B241" s="28" t="s">
        <v>326</v>
      </c>
      <c r="C241" s="296" t="s">
        <v>1635</v>
      </c>
      <c r="D241" s="56">
        <f>IF(F241="","",SUBTOTAL(3,$F$6:F241))</f>
        <v>235</v>
      </c>
      <c r="E241" s="292" t="s">
        <v>19</v>
      </c>
      <c r="F241" s="106" t="s">
        <v>1771</v>
      </c>
      <c r="G241" s="40" t="s">
        <v>732</v>
      </c>
      <c r="H241" s="34" t="str">
        <f>IF($G241&lt;&gt;"",VLOOKUP($G241,'WPS '!C$5:M$209,3,FALSE),"")</f>
        <v>FCAW</v>
      </c>
      <c r="I241" s="22" t="s">
        <v>1499</v>
      </c>
      <c r="J241" s="77" t="s">
        <v>1390</v>
      </c>
      <c r="K241" s="69" t="s">
        <v>1478</v>
      </c>
      <c r="L241" s="22" t="str">
        <f>IF($G241&lt;&gt;"",VLOOKUP($G241,'WPS '!C$5:M$209,8,FALSE),"")</f>
        <v>E71T-1C</v>
      </c>
      <c r="M241" s="76" t="s">
        <v>1061</v>
      </c>
      <c r="N241" s="21">
        <v>44212</v>
      </c>
      <c r="O241" s="21">
        <v>44400</v>
      </c>
      <c r="P241" s="21">
        <f t="shared" si="7"/>
        <v>46045</v>
      </c>
      <c r="Q241" s="164" t="str">
        <f>IF($G241&lt;&gt;"",VLOOKUP($G241,'WPS '!C$5:M$209,11,FALSE),"")</f>
        <v>AWS D1.1</v>
      </c>
      <c r="R241" s="147" t="str">
        <f>IF($G241&lt;&gt;"",VLOOKUP($G241,'WPS '!$C$5:$M$209,2,FALSE),"")</f>
        <v>OSR-WPS-D1.1-FC-003</v>
      </c>
      <c r="S241" s="30"/>
      <c r="T241" s="30" t="s">
        <v>356</v>
      </c>
      <c r="U241" s="30"/>
      <c r="V241" s="30" t="s">
        <v>356</v>
      </c>
      <c r="W241" s="30"/>
      <c r="X241" s="30"/>
      <c r="Y241" s="30"/>
      <c r="Z241" s="30"/>
      <c r="AA241" s="30"/>
      <c r="AB241" s="30"/>
      <c r="AC241" s="30"/>
      <c r="AD241" s="30"/>
      <c r="AE241" s="54"/>
      <c r="AF241" s="54" t="s">
        <v>356</v>
      </c>
      <c r="AG241" s="153">
        <v>9</v>
      </c>
    </row>
    <row r="242" spans="1:34" ht="45" customHeight="1">
      <c r="A242" s="293">
        <f t="shared" si="8"/>
        <v>235</v>
      </c>
      <c r="B242" s="28" t="s">
        <v>326</v>
      </c>
      <c r="C242" s="296" t="s">
        <v>1635</v>
      </c>
      <c r="D242" s="56">
        <f>IF(F242="","",SUBTOTAL(3,$F$6:F242))</f>
        <v>236</v>
      </c>
      <c r="E242" s="34" t="s">
        <v>19</v>
      </c>
      <c r="F242" s="107" t="s">
        <v>1771</v>
      </c>
      <c r="G242" s="40" t="s">
        <v>762</v>
      </c>
      <c r="H242" s="83" t="str">
        <f>IF($G242&lt;&gt;"",VLOOKUP($G242,'WPS '!C$5:M$209,3,FALSE),"")</f>
        <v>GMAW</v>
      </c>
      <c r="I242" s="22" t="s">
        <v>1504</v>
      </c>
      <c r="J242" s="77" t="s">
        <v>1215</v>
      </c>
      <c r="K242" s="69" t="s">
        <v>1480</v>
      </c>
      <c r="L242" s="22" t="str">
        <f>IF($G242&lt;&gt;"",VLOOKUP($G242,'WPS '!C$5:M$209,8,FALSE),"")</f>
        <v>ER70S-6</v>
      </c>
      <c r="M242" s="76" t="s">
        <v>1088</v>
      </c>
      <c r="N242" s="21">
        <v>44393</v>
      </c>
      <c r="O242" s="21">
        <v>44400</v>
      </c>
      <c r="P242" s="21">
        <f t="shared" si="7"/>
        <v>46045</v>
      </c>
      <c r="Q242" s="164" t="str">
        <f>IF($G242&lt;&gt;"",VLOOKUP($G242,'WPS '!C$5:M$209,11,FALSE),"")</f>
        <v>AWS D1.1</v>
      </c>
      <c r="R242" s="147" t="str">
        <f>IF($G242&lt;&gt;"",VLOOKUP($G242,'WPS '!$C$5:$M$209,2,FALSE),"")</f>
        <v>OSR-WPS-D1.1-GM-034</v>
      </c>
      <c r="S242" s="30"/>
      <c r="T242" s="30"/>
      <c r="U242" s="30"/>
      <c r="V242" s="30"/>
      <c r="W242" s="30"/>
      <c r="X242" s="30"/>
      <c r="Y242" s="30"/>
      <c r="Z242" s="30"/>
      <c r="AA242" s="30"/>
      <c r="AB242" s="30"/>
      <c r="AC242" s="30"/>
      <c r="AD242" s="30"/>
      <c r="AE242" s="54"/>
      <c r="AF242" s="54"/>
      <c r="AG242" s="153">
        <v>9</v>
      </c>
    </row>
    <row r="243" spans="1:34" ht="45" customHeight="1">
      <c r="A243" s="293">
        <f t="shared" si="8"/>
        <v>236</v>
      </c>
      <c r="B243" s="28" t="s">
        <v>326</v>
      </c>
      <c r="C243" s="296" t="s">
        <v>1635</v>
      </c>
      <c r="D243" s="56">
        <f>IF(F243="","",SUBTOTAL(3,$F$6:F243))</f>
        <v>237</v>
      </c>
      <c r="E243" s="34" t="s">
        <v>19</v>
      </c>
      <c r="F243" s="107" t="s">
        <v>1771</v>
      </c>
      <c r="G243" s="40" t="s">
        <v>765</v>
      </c>
      <c r="H243" s="83" t="str">
        <f>IF($G243&lt;&gt;"",VLOOKUP($G243,'WPS '!C$5:M$209,3,FALSE),"")</f>
        <v>FCAW</v>
      </c>
      <c r="I243" s="22" t="s">
        <v>1000</v>
      </c>
      <c r="J243" s="77" t="s">
        <v>645</v>
      </c>
      <c r="K243" s="69" t="s">
        <v>1485</v>
      </c>
      <c r="L243" s="22" t="str">
        <f>IF($G243&lt;&gt;"",VLOOKUP($G243,'WPS '!C$5:M$209,8,FALSE),"")</f>
        <v>E71T-1C</v>
      </c>
      <c r="M243" s="76" t="s">
        <v>1091</v>
      </c>
      <c r="N243" s="21">
        <v>44393</v>
      </c>
      <c r="O243" s="21">
        <v>44400</v>
      </c>
      <c r="P243" s="21">
        <f t="shared" si="7"/>
        <v>46045</v>
      </c>
      <c r="Q243" s="164" t="str">
        <f>IF($G243&lt;&gt;"",VLOOKUP($G243,'WPS '!C$5:M$209,11,FALSE),"")</f>
        <v>AWS D1.1</v>
      </c>
      <c r="R243" s="147" t="str">
        <f>IF($G243&lt;&gt;"",VLOOKUP($G243,'WPS '!$C$5:$M$209,2,FALSE),"")</f>
        <v>OSR-WPS-D1.1-FC-037</v>
      </c>
      <c r="S243" s="30"/>
      <c r="T243" s="30" t="s">
        <v>356</v>
      </c>
      <c r="U243" s="30" t="s">
        <v>356</v>
      </c>
      <c r="V243" s="30" t="s">
        <v>356</v>
      </c>
      <c r="W243" s="30"/>
      <c r="X243" s="30"/>
      <c r="Y243" s="30"/>
      <c r="Z243" s="30"/>
      <c r="AA243" s="30"/>
      <c r="AB243" s="30"/>
      <c r="AC243" s="30"/>
      <c r="AD243" s="30"/>
      <c r="AE243" s="54"/>
      <c r="AF243" s="54"/>
      <c r="AG243" s="153">
        <v>9</v>
      </c>
    </row>
    <row r="244" spans="1:34" ht="45" customHeight="1">
      <c r="A244" s="293">
        <f t="shared" si="8"/>
        <v>237</v>
      </c>
      <c r="B244" s="28" t="s">
        <v>326</v>
      </c>
      <c r="C244" s="296" t="s">
        <v>1635</v>
      </c>
      <c r="D244" s="56">
        <f>IF(F244="","",SUBTOTAL(3,$F$6:F244))</f>
        <v>238</v>
      </c>
      <c r="E244" s="34" t="s">
        <v>19</v>
      </c>
      <c r="F244" s="107" t="s">
        <v>1771</v>
      </c>
      <c r="G244" s="39" t="s">
        <v>782</v>
      </c>
      <c r="H244" s="83" t="str">
        <f>IF($G244&lt;&gt;"",VLOOKUP($G244,'WPS '!C$5:M$209,3,FALSE),"")</f>
        <v>SMAW</v>
      </c>
      <c r="I244" s="22" t="s">
        <v>1492</v>
      </c>
      <c r="J244" s="77" t="s">
        <v>1215</v>
      </c>
      <c r="K244" s="69" t="s">
        <v>1480</v>
      </c>
      <c r="L244" s="22" t="str">
        <f>IF($G244&lt;&gt;"",VLOOKUP($G244,'WPS '!C$5:M$209,8,FALSE),"")</f>
        <v>E8016-B2</v>
      </c>
      <c r="M244" s="76" t="s">
        <v>1112</v>
      </c>
      <c r="N244" s="21">
        <v>44058</v>
      </c>
      <c r="O244" s="21">
        <v>44065</v>
      </c>
      <c r="P244" s="21">
        <f t="shared" si="7"/>
        <v>46075</v>
      </c>
      <c r="Q244" s="164" t="str">
        <f>IF($G244&lt;&gt;"",VLOOKUP($G244,'WPS '!C$5:M$209,11,FALSE),"")</f>
        <v>AWS D1.1</v>
      </c>
      <c r="R244" s="147" t="str">
        <f>IF($G244&lt;&gt;"",VLOOKUP($G244,'WPS '!$C$5:$M$209,2,FALSE),"")</f>
        <v>OSR-WPS-D1.1-SM-054</v>
      </c>
      <c r="S244" s="30"/>
      <c r="T244" s="30"/>
      <c r="U244" s="30"/>
      <c r="V244" s="32"/>
      <c r="W244" s="32"/>
      <c r="X244" s="32"/>
      <c r="Y244" s="32"/>
      <c r="Z244" s="32"/>
      <c r="AA244" s="32"/>
      <c r="AB244" s="32"/>
      <c r="AC244" s="62"/>
      <c r="AD244" s="62"/>
      <c r="AE244" s="146"/>
      <c r="AF244" s="146"/>
      <c r="AG244" s="153">
        <v>11</v>
      </c>
      <c r="AH244" s="163"/>
    </row>
    <row r="245" spans="1:34" ht="45" customHeight="1">
      <c r="A245" s="293">
        <f t="shared" si="8"/>
        <v>238</v>
      </c>
      <c r="B245" s="28" t="s">
        <v>326</v>
      </c>
      <c r="C245" s="296" t="s">
        <v>1635</v>
      </c>
      <c r="D245" s="56">
        <f>IF(F245="","",SUBTOTAL(3,$F$6:F245))</f>
        <v>239</v>
      </c>
      <c r="E245" s="34" t="s">
        <v>19</v>
      </c>
      <c r="F245" s="107" t="s">
        <v>1771</v>
      </c>
      <c r="G245" s="39" t="s">
        <v>786</v>
      </c>
      <c r="H245" s="83" t="str">
        <f>IF($G245&lt;&gt;"",VLOOKUP($G245,'WPS '!C$5:M$209,3,FALSE),"")</f>
        <v>FCAW</v>
      </c>
      <c r="I245" s="22" t="s">
        <v>1492</v>
      </c>
      <c r="J245" s="77" t="s">
        <v>1390</v>
      </c>
      <c r="K245" s="69" t="s">
        <v>1478</v>
      </c>
      <c r="L245" s="22" t="str">
        <f>IF($G245&lt;&gt;"",VLOOKUP($G245,'WPS '!C$5:M$209,8,FALSE),"")</f>
        <v>E71T-1C</v>
      </c>
      <c r="M245" s="76" t="s">
        <v>1026</v>
      </c>
      <c r="N245" s="21">
        <v>44911</v>
      </c>
      <c r="O245" s="21">
        <v>44921</v>
      </c>
      <c r="P245" s="21">
        <f t="shared" si="7"/>
        <v>46017</v>
      </c>
      <c r="Q245" s="164" t="str">
        <f>IF($G245&lt;&gt;"",VLOOKUP($G245,'WPS '!C$5:M$209,11,FALSE),"")</f>
        <v>AWS D1.1</v>
      </c>
      <c r="R245" s="147" t="str">
        <f>IF($G245&lt;&gt;"",VLOOKUP($G245,'WPS '!$C$5:$M$209,2,FALSE),"")</f>
        <v>OSR-WPS-D1.1-FC-058</v>
      </c>
      <c r="S245" s="30"/>
      <c r="T245" s="30"/>
      <c r="U245" s="30"/>
      <c r="V245" s="32"/>
      <c r="W245" s="32"/>
      <c r="X245" s="32"/>
      <c r="Y245" s="32"/>
      <c r="Z245" s="32"/>
      <c r="AA245" s="32"/>
      <c r="AB245" s="32"/>
      <c r="AC245" s="62"/>
      <c r="AD245" s="62"/>
      <c r="AE245" s="146"/>
      <c r="AF245" s="146"/>
      <c r="AG245" s="153">
        <v>6</v>
      </c>
      <c r="AH245" s="163"/>
    </row>
    <row r="246" spans="1:34" ht="45" customHeight="1">
      <c r="A246" s="293">
        <f t="shared" si="8"/>
        <v>239</v>
      </c>
      <c r="B246" s="28" t="s">
        <v>326</v>
      </c>
      <c r="C246" s="296" t="s">
        <v>1635</v>
      </c>
      <c r="D246" s="56">
        <f>IF(F246="","",SUBTOTAL(3,$F$6:F246))</f>
        <v>240</v>
      </c>
      <c r="E246" s="35" t="s">
        <v>19</v>
      </c>
      <c r="F246" s="106" t="s">
        <v>1771</v>
      </c>
      <c r="G246" s="40" t="s">
        <v>800</v>
      </c>
      <c r="H246" s="83" t="str">
        <f>IF($G246&lt;&gt;"",VLOOKUP($G246,'WPS '!C$5:M$209,3,FALSE),"")</f>
        <v>FCAW</v>
      </c>
      <c r="I246" s="22" t="s">
        <v>1508</v>
      </c>
      <c r="J246" s="77" t="s">
        <v>107</v>
      </c>
      <c r="K246" s="69" t="s">
        <v>1481</v>
      </c>
      <c r="L246" s="22" t="str">
        <f>IF($G246&lt;&gt;"",VLOOKUP($G246,'WPS '!C$5:M$209,8,FALSE),"")</f>
        <v>E309LT1-1/4</v>
      </c>
      <c r="M246" s="76" t="s">
        <v>1042</v>
      </c>
      <c r="N246" s="21">
        <v>45265</v>
      </c>
      <c r="O246" s="21">
        <v>45267</v>
      </c>
      <c r="P246" s="21">
        <f t="shared" si="7"/>
        <v>46180</v>
      </c>
      <c r="Q246" s="164" t="str">
        <f>IF($G246&lt;&gt;"",VLOOKUP($G246,'WPS '!C$5:M$209,11,FALSE),"")</f>
        <v>AWS D1.1</v>
      </c>
      <c r="R246" s="147" t="str">
        <f>IF($G246&lt;&gt;"",VLOOKUP($G246,'WPS '!$C$5:$M$209,2,FALSE),"")</f>
        <v>OSR-WPS-D1.1-FC-072</v>
      </c>
      <c r="S246" s="30"/>
      <c r="T246" s="30"/>
      <c r="U246" s="30"/>
      <c r="V246" s="30"/>
      <c r="W246" s="30"/>
      <c r="X246" s="30"/>
      <c r="Y246" s="30"/>
      <c r="Z246" s="30"/>
      <c r="AA246" s="30"/>
      <c r="AB246" s="30"/>
      <c r="AC246" s="30" t="s">
        <v>95</v>
      </c>
      <c r="AD246" s="30"/>
      <c r="AE246" s="54"/>
      <c r="AF246" s="54"/>
      <c r="AG246" s="154">
        <v>5</v>
      </c>
      <c r="AH246" s="163"/>
    </row>
    <row r="247" spans="1:34" ht="45" customHeight="1">
      <c r="A247" s="293">
        <f t="shared" si="8"/>
        <v>240</v>
      </c>
      <c r="B247" s="28" t="s">
        <v>326</v>
      </c>
      <c r="C247" s="296" t="s">
        <v>1635</v>
      </c>
      <c r="D247" s="56">
        <f>IF(F247="","",SUBTOTAL(3,$F$6:F247))</f>
        <v>241</v>
      </c>
      <c r="E247" s="35" t="s">
        <v>19</v>
      </c>
      <c r="F247" s="106" t="s">
        <v>1771</v>
      </c>
      <c r="G247" s="40" t="s">
        <v>805</v>
      </c>
      <c r="H247" s="83" t="str">
        <f>IF($G247&lt;&gt;"",VLOOKUP($G247,'WPS '!C$5:M$209,3,FALSE),"")</f>
        <v>FCAW</v>
      </c>
      <c r="I247" s="22" t="s">
        <v>1493</v>
      </c>
      <c r="J247" s="77" t="s">
        <v>1215</v>
      </c>
      <c r="K247" s="69" t="s">
        <v>1480</v>
      </c>
      <c r="L247" s="22" t="str">
        <f>IF($G247&lt;&gt;"",VLOOKUP($G247,'WPS '!C$5:M$209,8,FALSE),"")</f>
        <v>E71T-1C</v>
      </c>
      <c r="M247" s="76" t="s">
        <v>1038</v>
      </c>
      <c r="N247" s="21">
        <v>45265</v>
      </c>
      <c r="O247" s="21">
        <v>45267</v>
      </c>
      <c r="P247" s="21">
        <f t="shared" si="7"/>
        <v>46180</v>
      </c>
      <c r="Q247" s="164" t="str">
        <f>IF($G247&lt;&gt;"",VLOOKUP($G247,'WPS '!C$5:M$209,11,FALSE),"")</f>
        <v>AWS D1.1</v>
      </c>
      <c r="R247" s="147" t="str">
        <f>IF($G247&lt;&gt;"",VLOOKUP($G247,'WPS '!$C$5:$M$209,2,FALSE),"")</f>
        <v>OSR-WPS-D1.1-FC-077</v>
      </c>
      <c r="S247" s="30"/>
      <c r="T247" s="30"/>
      <c r="U247" s="30"/>
      <c r="V247" s="30"/>
      <c r="W247" s="30"/>
      <c r="X247" s="30"/>
      <c r="Y247" s="30"/>
      <c r="Z247" s="30"/>
      <c r="AA247" s="30"/>
      <c r="AB247" s="30"/>
      <c r="AC247" s="30"/>
      <c r="AD247" s="30"/>
      <c r="AE247" s="54"/>
      <c r="AF247" s="54"/>
      <c r="AG247" s="153">
        <v>5</v>
      </c>
      <c r="AH247" s="163"/>
    </row>
    <row r="248" spans="1:34" ht="45" customHeight="1">
      <c r="A248" s="293">
        <f t="shared" si="8"/>
        <v>241</v>
      </c>
      <c r="B248" s="28" t="s">
        <v>326</v>
      </c>
      <c r="C248" s="296" t="s">
        <v>1635</v>
      </c>
      <c r="D248" s="56">
        <f>IF(F248="","",SUBTOTAL(3,$F$6:F248))</f>
        <v>242</v>
      </c>
      <c r="E248" s="34" t="s">
        <v>19</v>
      </c>
      <c r="F248" s="107" t="s">
        <v>1771</v>
      </c>
      <c r="G248" s="40" t="s">
        <v>812</v>
      </c>
      <c r="H248" s="83" t="str">
        <f>IF($G248&lt;&gt;"",VLOOKUP($G248,'WPS '!C$5:M$209,3,FALSE),"")</f>
        <v>FCAW</v>
      </c>
      <c r="I248" s="22" t="s">
        <v>1384</v>
      </c>
      <c r="J248" s="77" t="s">
        <v>1390</v>
      </c>
      <c r="K248" s="69" t="s">
        <v>1486</v>
      </c>
      <c r="L248" s="22" t="str">
        <f>IF($G248&lt;&gt;"",VLOOKUP($G248,'WPS '!C$5:M$209,8,FALSE),"")</f>
        <v>E71T-1C</v>
      </c>
      <c r="M248" s="76" t="s">
        <v>1003</v>
      </c>
      <c r="N248" s="21">
        <v>45545</v>
      </c>
      <c r="O248" s="21">
        <v>45551</v>
      </c>
      <c r="P248" s="21">
        <f t="shared" si="7"/>
        <v>46097</v>
      </c>
      <c r="Q248" s="164" t="str">
        <f>IF($G248&lt;&gt;"",VLOOKUP($G248,'WPS '!C$5:M$209,11,FALSE),"")</f>
        <v>AWS D1.1</v>
      </c>
      <c r="R248" s="147" t="str">
        <f>IF($G248&lt;&gt;"",VLOOKUP($G248,'WPS '!$C$5:$M$209,2,FALSE),"")</f>
        <v>OSR-WPS-D1.1-FC-084</v>
      </c>
      <c r="S248" s="30"/>
      <c r="T248" s="30"/>
      <c r="U248" s="30" t="s">
        <v>356</v>
      </c>
      <c r="V248" s="30" t="s">
        <v>356</v>
      </c>
      <c r="W248" s="30"/>
      <c r="X248" s="30"/>
      <c r="Y248" s="30"/>
      <c r="Z248" s="30"/>
      <c r="AA248" s="30"/>
      <c r="AB248" s="30"/>
      <c r="AC248" s="30" t="s">
        <v>356</v>
      </c>
      <c r="AD248" s="30" t="s">
        <v>356</v>
      </c>
      <c r="AE248" s="54"/>
      <c r="AF248" s="54" t="s">
        <v>356</v>
      </c>
      <c r="AG248" s="153">
        <v>3</v>
      </c>
    </row>
    <row r="249" spans="1:34" ht="45" customHeight="1">
      <c r="A249" s="293">
        <f t="shared" si="8"/>
        <v>242</v>
      </c>
      <c r="B249" s="28" t="s">
        <v>326</v>
      </c>
      <c r="C249" s="296" t="s">
        <v>1635</v>
      </c>
      <c r="D249" s="56">
        <f>IF(F249="","",SUBTOTAL(3,$F$6:F249))</f>
        <v>243</v>
      </c>
      <c r="E249" s="34" t="s">
        <v>19</v>
      </c>
      <c r="F249" s="107" t="s">
        <v>1771</v>
      </c>
      <c r="G249" s="40" t="s">
        <v>814</v>
      </c>
      <c r="H249" s="83" t="str">
        <f>IF($G249&lt;&gt;"",VLOOKUP($G249,'WPS '!C$5:M$209,3,FALSE),"")</f>
        <v>FCAW</v>
      </c>
      <c r="I249" s="22" t="s">
        <v>1385</v>
      </c>
      <c r="J249" s="77" t="s">
        <v>1215</v>
      </c>
      <c r="K249" s="69" t="s">
        <v>1487</v>
      </c>
      <c r="L249" s="22" t="str">
        <f>IF($G249&lt;&gt;"",VLOOKUP($G249,'WPS '!C$5:M$209,8,FALSE),"")</f>
        <v>E71T-1C</v>
      </c>
      <c r="M249" s="76" t="s">
        <v>1007</v>
      </c>
      <c r="N249" s="21">
        <v>45553</v>
      </c>
      <c r="O249" s="21">
        <v>45555</v>
      </c>
      <c r="P249" s="21">
        <f t="shared" si="7"/>
        <v>46101</v>
      </c>
      <c r="Q249" s="164" t="str">
        <f>IF($G249&lt;&gt;"",VLOOKUP($G249,'WPS '!C$5:M$209,11,FALSE),"")</f>
        <v>AWS D1.1</v>
      </c>
      <c r="R249" s="147" t="str">
        <f>IF($G249&lt;&gt;"",VLOOKUP($G249,'WPS '!$C$5:$M$209,2,FALSE),"")</f>
        <v>OSR-WPS-D1.1-FC-086</v>
      </c>
      <c r="S249" s="30"/>
      <c r="T249" s="30"/>
      <c r="U249" s="30"/>
      <c r="V249" s="30"/>
      <c r="W249" s="30"/>
      <c r="X249" s="30"/>
      <c r="Y249" s="30"/>
      <c r="Z249" s="30"/>
      <c r="AA249" s="30"/>
      <c r="AB249" s="30"/>
      <c r="AC249" s="30" t="s">
        <v>356</v>
      </c>
      <c r="AD249" s="30" t="s">
        <v>356</v>
      </c>
      <c r="AE249" s="54"/>
      <c r="AF249" s="54"/>
      <c r="AG249" s="153">
        <v>3</v>
      </c>
    </row>
    <row r="250" spans="1:34" ht="45" customHeight="1">
      <c r="A250" s="293">
        <f t="shared" si="8"/>
        <v>243</v>
      </c>
      <c r="B250" s="28" t="s">
        <v>326</v>
      </c>
      <c r="C250" s="296" t="s">
        <v>1635</v>
      </c>
      <c r="D250" s="56">
        <f>IF(F250="","",SUBTOTAL(3,$F$6:F250))</f>
        <v>244</v>
      </c>
      <c r="E250" s="34" t="s">
        <v>19</v>
      </c>
      <c r="F250" s="107" t="s">
        <v>1771</v>
      </c>
      <c r="G250" s="40" t="s">
        <v>820</v>
      </c>
      <c r="H250" s="83" t="str">
        <f>IF($G250&lt;&gt;"",VLOOKUP($G250,'WPS '!C$5:M$209,3,FALSE),"")</f>
        <v>FCAW</v>
      </c>
      <c r="I250" s="22" t="s">
        <v>1383</v>
      </c>
      <c r="J250" s="77" t="s">
        <v>1390</v>
      </c>
      <c r="K250" s="69" t="s">
        <v>1484</v>
      </c>
      <c r="L250" s="22" t="str">
        <f>IF($G250&lt;&gt;"",VLOOKUP($G250,'WPS '!C$5:M$209,8,FALSE),"")</f>
        <v>E71T-1C</v>
      </c>
      <c r="M250" s="76" t="s">
        <v>1393</v>
      </c>
      <c r="N250" s="21">
        <v>45684</v>
      </c>
      <c r="O250" s="21">
        <v>45686</v>
      </c>
      <c r="P250" s="21">
        <f t="shared" ref="P250:P312" si="9">EDATE(O250,6*AG250)</f>
        <v>46051</v>
      </c>
      <c r="Q250" s="164" t="str">
        <f>IF($G250&lt;&gt;"",VLOOKUP($G250,'WPS '!C$5:M$209,11,FALSE),"")</f>
        <v>AWS D1.1</v>
      </c>
      <c r="R250" s="147" t="str">
        <f>IF($G250&lt;&gt;"",VLOOKUP($G250,'WPS '!$C$5:$M$209,2,FALSE),"")</f>
        <v>OSR-WPS-D1.1-FC-092</v>
      </c>
      <c r="S250" s="30"/>
      <c r="T250" s="30"/>
      <c r="U250" s="30"/>
      <c r="V250" s="30"/>
      <c r="W250" s="30"/>
      <c r="X250" s="30"/>
      <c r="Y250" s="30"/>
      <c r="Z250" s="30"/>
      <c r="AA250" s="30"/>
      <c r="AB250" s="30"/>
      <c r="AC250" s="30" t="s">
        <v>356</v>
      </c>
      <c r="AD250" s="30" t="s">
        <v>356</v>
      </c>
      <c r="AE250" s="54"/>
      <c r="AF250" s="54" t="s">
        <v>356</v>
      </c>
      <c r="AG250" s="153">
        <v>2</v>
      </c>
    </row>
    <row r="251" spans="1:34" ht="45" customHeight="1">
      <c r="A251" s="293">
        <f t="shared" si="8"/>
        <v>244</v>
      </c>
      <c r="B251" s="28" t="s">
        <v>326</v>
      </c>
      <c r="C251" s="296" t="s">
        <v>1635</v>
      </c>
      <c r="D251" s="56">
        <f>IF(F251="","",SUBTOTAL(3,$F$6:F251))</f>
        <v>245</v>
      </c>
      <c r="E251" s="34" t="s">
        <v>19</v>
      </c>
      <c r="F251" s="107" t="s">
        <v>1771</v>
      </c>
      <c r="G251" s="40" t="s">
        <v>1153</v>
      </c>
      <c r="H251" s="83" t="str">
        <f>IF($G251&lt;&gt;"",VLOOKUP($G251,'WPS '!C$5:M$209,3,FALSE),"")</f>
        <v>FCAW</v>
      </c>
      <c r="I251" s="22" t="s">
        <v>1398</v>
      </c>
      <c r="J251" s="77" t="s">
        <v>1215</v>
      </c>
      <c r="K251" s="69" t="s">
        <v>1292</v>
      </c>
      <c r="L251" s="22" t="str">
        <f>IF($G251&lt;&gt;"",VLOOKUP($G251,'WPS '!C$5:M$209,8,FALSE),"")</f>
        <v>E71T-1C</v>
      </c>
      <c r="M251" s="76" t="s">
        <v>1185</v>
      </c>
      <c r="N251" s="21">
        <v>45900</v>
      </c>
      <c r="O251" s="21">
        <v>45906</v>
      </c>
      <c r="P251" s="21">
        <f t="shared" si="9"/>
        <v>46271</v>
      </c>
      <c r="Q251" s="164" t="str">
        <f>IF($G251&lt;&gt;"",VLOOKUP($G251,'WPS '!C$5:M$209,11,FALSE),"")</f>
        <v>AWS D1.1</v>
      </c>
      <c r="R251" s="147" t="str">
        <f>IF($G251&lt;&gt;"",VLOOKUP($G251,'WPS '!$C$5:$M$209,2,FALSE),"")</f>
        <v>OSR-WPS-D1.1-FC-094</v>
      </c>
      <c r="S251" s="30"/>
      <c r="T251" s="30"/>
      <c r="U251" s="30"/>
      <c r="V251" s="30"/>
      <c r="W251" s="30"/>
      <c r="X251" s="30"/>
      <c r="Y251" s="30"/>
      <c r="Z251" s="30"/>
      <c r="AA251" s="30"/>
      <c r="AB251" s="30"/>
      <c r="AC251" s="30" t="s">
        <v>356</v>
      </c>
      <c r="AD251" s="30" t="s">
        <v>356</v>
      </c>
      <c r="AE251" s="54"/>
      <c r="AF251" s="54" t="s">
        <v>356</v>
      </c>
      <c r="AG251" s="153">
        <v>2</v>
      </c>
    </row>
    <row r="252" spans="1:34" ht="45" customHeight="1">
      <c r="A252" s="293">
        <f t="shared" si="8"/>
        <v>245</v>
      </c>
      <c r="B252" s="5" t="s">
        <v>1634</v>
      </c>
      <c r="C252" s="5" t="s">
        <v>328</v>
      </c>
      <c r="D252" s="56">
        <f>IF(F252="","",SUBTOTAL(3,$F$6:F252))</f>
        <v>246</v>
      </c>
      <c r="E252" s="35" t="s">
        <v>196</v>
      </c>
      <c r="F252" s="106" t="s">
        <v>1751</v>
      </c>
      <c r="G252" s="40" t="s">
        <v>701</v>
      </c>
      <c r="H252" s="83">
        <f>IF($G252&lt;&gt;"",VLOOKUP($G252,'WPS '!C$5:M$209,3,FALSE),"")</f>
        <v>136</v>
      </c>
      <c r="I252" s="22" t="s">
        <v>1250</v>
      </c>
      <c r="J252" s="22" t="s">
        <v>257</v>
      </c>
      <c r="K252" s="69" t="s">
        <v>884</v>
      </c>
      <c r="L252" s="22" t="str">
        <f>IF($G252&lt;&gt;"",VLOOKUP($G252,'WPS '!C$5:M$209,8,FALSE),"")</f>
        <v>E81T1-W2C</v>
      </c>
      <c r="M252" s="76" t="s">
        <v>197</v>
      </c>
      <c r="N252" s="21">
        <v>45808</v>
      </c>
      <c r="O252" s="21">
        <v>45812</v>
      </c>
      <c r="P252" s="21">
        <f t="shared" si="9"/>
        <v>46177</v>
      </c>
      <c r="Q252" s="164" t="s">
        <v>1811</v>
      </c>
      <c r="R252" s="147" t="str">
        <f>IF($G252&lt;&gt;"",VLOOKUP($G252,'WPS '!$C$5:$M$209,2,FALSE),"")</f>
        <v>OSR-WPS-ISO-PC-046</v>
      </c>
      <c r="S252" s="30"/>
      <c r="T252" s="30"/>
      <c r="U252" s="30"/>
      <c r="V252" s="30"/>
      <c r="W252" s="30"/>
      <c r="X252" s="30" t="s">
        <v>95</v>
      </c>
      <c r="Y252" s="30"/>
      <c r="Z252" s="30"/>
      <c r="AA252" s="30"/>
      <c r="AB252" s="30"/>
      <c r="AC252" s="30"/>
      <c r="AD252" s="30"/>
      <c r="AE252" s="54"/>
      <c r="AF252" s="54"/>
      <c r="AG252" s="66">
        <v>2</v>
      </c>
      <c r="AH252" s="115"/>
    </row>
    <row r="253" spans="1:34" ht="45" customHeight="1">
      <c r="A253" s="293">
        <f t="shared" si="8"/>
        <v>246</v>
      </c>
      <c r="B253" s="5" t="s">
        <v>327</v>
      </c>
      <c r="C253" s="296" t="s">
        <v>1635</v>
      </c>
      <c r="D253" s="56">
        <f>IF(F253="","",SUBTOTAL(3,$F$6:F253))</f>
        <v>247</v>
      </c>
      <c r="E253" s="34" t="s">
        <v>21</v>
      </c>
      <c r="F253" s="107" t="s">
        <v>1703</v>
      </c>
      <c r="G253" s="40" t="s">
        <v>661</v>
      </c>
      <c r="H253" s="83">
        <f>IF($G253&lt;&gt;"",VLOOKUP($G253,'WPS '!C$5:M$209,3,FALSE),"")</f>
        <v>136</v>
      </c>
      <c r="I253" s="22" t="s">
        <v>1251</v>
      </c>
      <c r="J253" s="22" t="s">
        <v>1682</v>
      </c>
      <c r="K253" s="69" t="s">
        <v>884</v>
      </c>
      <c r="L253" s="22" t="str">
        <f>IF($G253&lt;&gt;"",VLOOKUP($G253,'WPS '!C$5:M$209,8,FALSE),"")</f>
        <v>E71T-1C</v>
      </c>
      <c r="M253" s="76" t="s">
        <v>22</v>
      </c>
      <c r="N253" s="21">
        <v>45001</v>
      </c>
      <c r="O253" s="21">
        <v>45003</v>
      </c>
      <c r="P253" s="21">
        <f t="shared" si="9"/>
        <v>46099</v>
      </c>
      <c r="Q253" s="164" t="s">
        <v>1811</v>
      </c>
      <c r="R253" s="147" t="str">
        <f>IF($G253&lt;&gt;"",VLOOKUP($G253,'WPS '!$C$5:$M$209,2,FALSE),"")</f>
        <v>OSR-WPS-ISO-PC+PF-005</v>
      </c>
      <c r="S253" s="30"/>
      <c r="T253" s="30"/>
      <c r="U253" s="30"/>
      <c r="V253" s="30"/>
      <c r="W253" s="30" t="s">
        <v>356</v>
      </c>
      <c r="X253" s="30" t="s">
        <v>95</v>
      </c>
      <c r="Y253" s="30"/>
      <c r="Z253" s="30"/>
      <c r="AA253" s="30" t="s">
        <v>95</v>
      </c>
      <c r="AB253" s="30"/>
      <c r="AC253" s="30"/>
      <c r="AD253" s="30"/>
      <c r="AE253" s="54"/>
      <c r="AF253" s="54"/>
      <c r="AG253" s="66">
        <v>6</v>
      </c>
      <c r="AH253" s="115"/>
    </row>
    <row r="254" spans="1:34" ht="45" customHeight="1">
      <c r="A254" s="293">
        <f t="shared" si="8"/>
        <v>247</v>
      </c>
      <c r="B254" s="5" t="s">
        <v>327</v>
      </c>
      <c r="C254" s="296" t="s">
        <v>1635</v>
      </c>
      <c r="D254" s="56">
        <f>IF(F254="","",SUBTOTAL(3,$F$6:F254))</f>
        <v>248</v>
      </c>
      <c r="E254" s="34" t="s">
        <v>21</v>
      </c>
      <c r="F254" s="107" t="s">
        <v>1703</v>
      </c>
      <c r="G254" s="40" t="s">
        <v>667</v>
      </c>
      <c r="H254" s="83">
        <f>IF($G254&lt;&gt;"",VLOOKUP($G254,'WPS '!C$5:M$209,3,FALSE),"")</f>
        <v>136</v>
      </c>
      <c r="I254" s="22" t="s">
        <v>1565</v>
      </c>
      <c r="J254" s="22" t="s">
        <v>242</v>
      </c>
      <c r="K254" s="69" t="s">
        <v>884</v>
      </c>
      <c r="L254" s="22" t="str">
        <f>IF($G254&lt;&gt;"",VLOOKUP($G254,'WPS '!C$5:M$209,8,FALSE),"")</f>
        <v>E71T-1C</v>
      </c>
      <c r="M254" s="76" t="s">
        <v>87</v>
      </c>
      <c r="N254" s="21">
        <v>45133</v>
      </c>
      <c r="O254" s="21">
        <v>45138</v>
      </c>
      <c r="P254" s="21">
        <f t="shared" si="9"/>
        <v>46053</v>
      </c>
      <c r="Q254" s="164" t="s">
        <v>1811</v>
      </c>
      <c r="R254" s="147" t="str">
        <f>IF($G254&lt;&gt;"",VLOOKUP($G254,'WPS '!$C$5:$M$209,2,FALSE),"")</f>
        <v>OSR-WPS-ISO-PF-011</v>
      </c>
      <c r="S254" s="30"/>
      <c r="T254" s="30"/>
      <c r="U254" s="30"/>
      <c r="V254" s="30"/>
      <c r="W254" s="30"/>
      <c r="X254" s="30"/>
      <c r="Y254" s="30"/>
      <c r="Z254" s="30"/>
      <c r="AA254" s="30"/>
      <c r="AB254" s="30"/>
      <c r="AC254" s="30"/>
      <c r="AD254" s="30"/>
      <c r="AE254" s="54"/>
      <c r="AF254" s="54"/>
      <c r="AG254" s="66">
        <v>5</v>
      </c>
      <c r="AH254" s="115"/>
    </row>
    <row r="255" spans="1:34" ht="45" customHeight="1">
      <c r="A255" s="293">
        <f t="shared" si="8"/>
        <v>248</v>
      </c>
      <c r="B255" s="5" t="s">
        <v>327</v>
      </c>
      <c r="C255" s="296" t="s">
        <v>1635</v>
      </c>
      <c r="D255" s="56">
        <f>IF(F255="","",SUBTOTAL(3,$F$6:F255))</f>
        <v>249</v>
      </c>
      <c r="E255" s="34" t="s">
        <v>21</v>
      </c>
      <c r="F255" s="107" t="s">
        <v>1703</v>
      </c>
      <c r="G255" s="40" t="s">
        <v>701</v>
      </c>
      <c r="H255" s="83">
        <f>IF($G255&lt;&gt;"",VLOOKUP($G255,'WPS '!C$5:M$209,3,FALSE),"")</f>
        <v>136</v>
      </c>
      <c r="I255" s="22" t="s">
        <v>1250</v>
      </c>
      <c r="J255" s="22" t="s">
        <v>257</v>
      </c>
      <c r="K255" s="69" t="s">
        <v>884</v>
      </c>
      <c r="L255" s="22" t="str">
        <f>IF($G255&lt;&gt;"",VLOOKUP($G255,'WPS '!C$5:M$209,8,FALSE),"")</f>
        <v>E81T1-W2C</v>
      </c>
      <c r="M255" s="76" t="s">
        <v>141</v>
      </c>
      <c r="N255" s="21">
        <v>45724</v>
      </c>
      <c r="O255" s="21">
        <v>45731</v>
      </c>
      <c r="P255" s="21">
        <f t="shared" si="9"/>
        <v>46096</v>
      </c>
      <c r="Q255" s="164" t="s">
        <v>1811</v>
      </c>
      <c r="R255" s="147" t="str">
        <f>IF($G255&lt;&gt;"",VLOOKUP($G255,'WPS '!$C$5:$M$209,2,FALSE),"")</f>
        <v>OSR-WPS-ISO-PC-046</v>
      </c>
      <c r="S255" s="30"/>
      <c r="T255" s="30"/>
      <c r="U255" s="30"/>
      <c r="V255" s="30"/>
      <c r="W255" s="30"/>
      <c r="X255" s="30" t="s">
        <v>95</v>
      </c>
      <c r="Y255" s="30"/>
      <c r="Z255" s="30"/>
      <c r="AA255" s="30"/>
      <c r="AB255" s="30"/>
      <c r="AC255" s="30"/>
      <c r="AD255" s="30"/>
      <c r="AE255" s="54"/>
      <c r="AF255" s="54"/>
      <c r="AG255" s="66">
        <v>2</v>
      </c>
      <c r="AH255" s="115"/>
    </row>
    <row r="256" spans="1:34" ht="45" customHeight="1">
      <c r="A256" s="293">
        <f t="shared" si="8"/>
        <v>249</v>
      </c>
      <c r="B256" s="5" t="s">
        <v>326</v>
      </c>
      <c r="C256" s="296" t="s">
        <v>1635</v>
      </c>
      <c r="D256" s="56">
        <f>IF(F256="","",SUBTOTAL(3,$F$6:F256))</f>
        <v>250</v>
      </c>
      <c r="E256" s="34" t="s">
        <v>21</v>
      </c>
      <c r="F256" s="107" t="s">
        <v>1703</v>
      </c>
      <c r="G256" s="40" t="s">
        <v>704</v>
      </c>
      <c r="H256" s="83">
        <f>IF($G256&lt;&gt;"",VLOOKUP($G256,'WPS '!C$5:M$209,3,FALSE),"")</f>
        <v>136</v>
      </c>
      <c r="I256" s="22" t="s">
        <v>1251</v>
      </c>
      <c r="J256" s="22" t="s">
        <v>242</v>
      </c>
      <c r="K256" s="69" t="s">
        <v>884</v>
      </c>
      <c r="L256" s="22" t="str">
        <f>IF($G256&lt;&gt;"",VLOOKUP($G256,'WPS '!C$5:M$209,8,FALSE),"")</f>
        <v>E71T-1C</v>
      </c>
      <c r="M256" s="76" t="s">
        <v>904</v>
      </c>
      <c r="N256" s="21">
        <v>45796</v>
      </c>
      <c r="O256" s="21">
        <v>45799</v>
      </c>
      <c r="P256" s="21">
        <f t="shared" si="9"/>
        <v>46164</v>
      </c>
      <c r="Q256" s="164" t="s">
        <v>1811</v>
      </c>
      <c r="R256" s="147" t="str">
        <f>IF($G256&lt;&gt;"",VLOOKUP($G256,'WPS '!$C$5:$M$209,2,FALSE),"")</f>
        <v>OSR-WPS-ISO-PF-049</v>
      </c>
      <c r="S256" s="30"/>
      <c r="T256" s="30"/>
      <c r="U256" s="30"/>
      <c r="V256" s="30"/>
      <c r="W256" s="30"/>
      <c r="X256" s="30"/>
      <c r="Y256" s="30" t="s">
        <v>95</v>
      </c>
      <c r="Z256" s="30"/>
      <c r="AA256" s="30"/>
      <c r="AB256" s="30"/>
      <c r="AC256" s="30"/>
      <c r="AD256" s="30"/>
      <c r="AE256" s="54"/>
      <c r="AF256" s="54"/>
      <c r="AG256" s="66">
        <v>2</v>
      </c>
      <c r="AH256" s="115"/>
    </row>
    <row r="257" spans="1:34" ht="45" customHeight="1">
      <c r="A257" s="293">
        <f t="shared" si="8"/>
        <v>250</v>
      </c>
      <c r="B257" s="28" t="s">
        <v>1633</v>
      </c>
      <c r="C257" s="295" t="s">
        <v>1635</v>
      </c>
      <c r="D257" s="56">
        <f>IF(F257="","",SUBTOTAL(3,$F$6:F257))</f>
        <v>251</v>
      </c>
      <c r="E257" s="34" t="s">
        <v>21</v>
      </c>
      <c r="F257" s="107" t="s">
        <v>1703</v>
      </c>
      <c r="G257" s="39" t="s">
        <v>719</v>
      </c>
      <c r="H257" s="83" t="str">
        <f>IF($G257&lt;&gt;"",VLOOKUP($G257,'WPS '!C$5:M$209,3,FALSE),"")</f>
        <v>FCAW</v>
      </c>
      <c r="I257" s="22" t="s">
        <v>850</v>
      </c>
      <c r="J257" s="22" t="s">
        <v>1215</v>
      </c>
      <c r="K257" s="69" t="s">
        <v>964</v>
      </c>
      <c r="L257" s="22" t="str">
        <f>IF($G257&lt;&gt;"",VLOOKUP($G257,'WPS '!C$5:M$209,8,FALSE),"")</f>
        <v>E71T-1C</v>
      </c>
      <c r="M257" s="76" t="s">
        <v>321</v>
      </c>
      <c r="N257" s="21">
        <v>45586</v>
      </c>
      <c r="O257" s="21">
        <v>45590</v>
      </c>
      <c r="P257" s="21">
        <f t="shared" si="9"/>
        <v>46137</v>
      </c>
      <c r="Q257" s="164" t="str">
        <f>IF($G257&lt;&gt;"",VLOOKUP($G257,'WPS '!C$5:M$209,11,FALSE),"")</f>
        <v>ASME IX</v>
      </c>
      <c r="R257" s="147" t="str">
        <f>IF($G257&lt;&gt;"",VLOOKUP($G257,'WPS '!$C$5:$M$209,2,FALSE),"")</f>
        <v>OSR-WPS-ASME-FC-002</v>
      </c>
      <c r="S257" s="30" t="s">
        <v>356</v>
      </c>
      <c r="T257" s="30"/>
      <c r="U257" s="30"/>
      <c r="V257" s="30"/>
      <c r="W257" s="62"/>
      <c r="X257" s="30"/>
      <c r="Y257" s="32"/>
      <c r="Z257" s="32"/>
      <c r="AA257" s="32"/>
      <c r="AB257" s="62"/>
      <c r="AC257" s="62"/>
      <c r="AD257" s="62"/>
      <c r="AE257" s="146"/>
      <c r="AF257" s="146"/>
      <c r="AG257" s="67">
        <v>3</v>
      </c>
      <c r="AH257" s="18"/>
    </row>
    <row r="258" spans="1:34" ht="45" customHeight="1">
      <c r="A258" s="293">
        <f t="shared" si="8"/>
        <v>251</v>
      </c>
      <c r="B258" s="28" t="s">
        <v>1633</v>
      </c>
      <c r="C258" s="296" t="s">
        <v>1635</v>
      </c>
      <c r="D258" s="56">
        <f>IF(F258="","",SUBTOTAL(3,$F$6:F258))</f>
        <v>252</v>
      </c>
      <c r="E258" s="34" t="s">
        <v>21</v>
      </c>
      <c r="F258" s="107" t="s">
        <v>1703</v>
      </c>
      <c r="G258" s="39" t="s">
        <v>735</v>
      </c>
      <c r="H258" s="83" t="str">
        <f>IF($G258&lt;&gt;"",VLOOKUP($G258,'WPS '!C$5:M$209,3,FALSE),"")</f>
        <v>FCAW</v>
      </c>
      <c r="I258" s="22" t="s">
        <v>1499</v>
      </c>
      <c r="J258" s="77" t="s">
        <v>1215</v>
      </c>
      <c r="K258" s="69" t="s">
        <v>1480</v>
      </c>
      <c r="L258" s="22" t="str">
        <f>IF($G258&lt;&gt;"",VLOOKUP($G258,'WPS '!C$5:M$209,8,FALSE),"")</f>
        <v>E71T-1C</v>
      </c>
      <c r="M258" s="76" t="s">
        <v>1071</v>
      </c>
      <c r="N258" s="21">
        <v>44393</v>
      </c>
      <c r="O258" s="21">
        <v>44400</v>
      </c>
      <c r="P258" s="21">
        <f t="shared" si="9"/>
        <v>46045</v>
      </c>
      <c r="Q258" s="164" t="str">
        <f>IF($G258&lt;&gt;"",VLOOKUP($G258,'WPS '!C$5:M$209,11,FALSE),"")</f>
        <v>AWS D1.1</v>
      </c>
      <c r="R258" s="147" t="str">
        <f>IF($G258&lt;&gt;"",VLOOKUP($G258,'WPS '!$C$5:$M$209,2,FALSE),"")</f>
        <v>OSR-WPS-D1.1-FC-007</v>
      </c>
      <c r="S258" s="30"/>
      <c r="T258" s="30" t="s">
        <v>356</v>
      </c>
      <c r="U258" s="30" t="s">
        <v>356</v>
      </c>
      <c r="V258" s="32" t="s">
        <v>356</v>
      </c>
      <c r="W258" s="32"/>
      <c r="X258" s="32"/>
      <c r="Y258" s="32"/>
      <c r="Z258" s="32"/>
      <c r="AA258" s="32"/>
      <c r="AB258" s="32"/>
      <c r="AC258" s="62" t="s">
        <v>356</v>
      </c>
      <c r="AD258" s="62" t="s">
        <v>356</v>
      </c>
      <c r="AE258" s="146"/>
      <c r="AF258" s="146"/>
      <c r="AG258" s="153">
        <v>9</v>
      </c>
    </row>
    <row r="259" spans="1:34" ht="45" customHeight="1">
      <c r="A259" s="293">
        <f t="shared" si="8"/>
        <v>252</v>
      </c>
      <c r="B259" s="28" t="s">
        <v>1633</v>
      </c>
      <c r="C259" s="296" t="s">
        <v>1635</v>
      </c>
      <c r="D259" s="56">
        <f>IF(F259="","",SUBTOTAL(3,$F$6:F259))</f>
        <v>253</v>
      </c>
      <c r="E259" s="34" t="s">
        <v>21</v>
      </c>
      <c r="F259" s="107" t="s">
        <v>1703</v>
      </c>
      <c r="G259" s="40" t="s">
        <v>750</v>
      </c>
      <c r="H259" s="83" t="str">
        <f>IF($G259&lt;&gt;"",VLOOKUP($G259,'WPS '!C$5:M$209,3,FALSE),"")</f>
        <v>FCAW</v>
      </c>
      <c r="I259" s="22" t="s">
        <v>1492</v>
      </c>
      <c r="J259" s="77" t="s">
        <v>1215</v>
      </c>
      <c r="K259" s="69" t="s">
        <v>1480</v>
      </c>
      <c r="L259" s="22" t="str">
        <f>IF($G259&lt;&gt;"",VLOOKUP($G259,'WPS '!C$5:M$209,8,FALSE),"")</f>
        <v>E81T1-B2C</v>
      </c>
      <c r="M259" s="76" t="s">
        <v>1083</v>
      </c>
      <c r="N259" s="21">
        <v>44393</v>
      </c>
      <c r="O259" s="21">
        <v>44400</v>
      </c>
      <c r="P259" s="21">
        <f t="shared" si="9"/>
        <v>46045</v>
      </c>
      <c r="Q259" s="164" t="str">
        <f>IF($G259&lt;&gt;"",VLOOKUP($G259,'WPS '!C$5:M$209,11,FALSE),"")</f>
        <v>AWS D1.1</v>
      </c>
      <c r="R259" s="147" t="str">
        <f>IF($G259&lt;&gt;"",VLOOKUP($G259,'WPS '!$C$5:$M$209,2,FALSE),"")</f>
        <v>OSR-WPS-D1.1-FC-022</v>
      </c>
      <c r="S259" s="30"/>
      <c r="T259" s="30"/>
      <c r="U259" s="30"/>
      <c r="V259" s="30"/>
      <c r="W259" s="30"/>
      <c r="X259" s="30"/>
      <c r="Y259" s="30"/>
      <c r="Z259" s="30"/>
      <c r="AA259" s="30"/>
      <c r="AB259" s="30"/>
      <c r="AC259" s="30"/>
      <c r="AD259" s="30"/>
      <c r="AE259" s="54"/>
      <c r="AF259" s="54"/>
      <c r="AG259" s="153">
        <v>9</v>
      </c>
    </row>
    <row r="260" spans="1:34" ht="45" customHeight="1">
      <c r="A260" s="293">
        <f t="shared" si="8"/>
        <v>253</v>
      </c>
      <c r="B260" s="28" t="s">
        <v>1633</v>
      </c>
      <c r="C260" s="296" t="s">
        <v>1635</v>
      </c>
      <c r="D260" s="56">
        <f>IF(F260="","",SUBTOTAL(3,$F$6:F260))</f>
        <v>254</v>
      </c>
      <c r="E260" s="34" t="s">
        <v>21</v>
      </c>
      <c r="F260" s="107" t="s">
        <v>1703</v>
      </c>
      <c r="G260" s="40" t="s">
        <v>779</v>
      </c>
      <c r="H260" s="83" t="str">
        <f>IF($G260&lt;&gt;"",VLOOKUP($G260,'WPS '!C$5:M$209,3,FALSE),"")</f>
        <v>FCAW</v>
      </c>
      <c r="I260" s="22" t="s">
        <v>1501</v>
      </c>
      <c r="J260" s="77" t="s">
        <v>107</v>
      </c>
      <c r="K260" s="69" t="s">
        <v>1479</v>
      </c>
      <c r="L260" s="22" t="str">
        <f>IF($G260&lt;&gt;"",VLOOKUP($G260,'WPS '!C$5:M$209,8,FALSE),"")</f>
        <v>E309L</v>
      </c>
      <c r="M260" s="76" t="s">
        <v>1106</v>
      </c>
      <c r="N260" s="21">
        <v>44393</v>
      </c>
      <c r="O260" s="21">
        <v>44400</v>
      </c>
      <c r="P260" s="21">
        <f t="shared" si="9"/>
        <v>46045</v>
      </c>
      <c r="Q260" s="164" t="str">
        <f>IF($G260&lt;&gt;"",VLOOKUP($G260,'WPS '!C$5:M$209,11,FALSE),"")</f>
        <v>AWS D1.6</v>
      </c>
      <c r="R260" s="147" t="str">
        <f>IF($G260&lt;&gt;"",VLOOKUP($G260,'WPS '!$C$5:$M$209,2,FALSE),"")</f>
        <v>OSR-WPS-D1.6-FC-051</v>
      </c>
      <c r="S260" s="30"/>
      <c r="T260" s="30" t="s">
        <v>356</v>
      </c>
      <c r="U260" s="30"/>
      <c r="V260" s="30"/>
      <c r="W260" s="30"/>
      <c r="X260" s="30"/>
      <c r="Y260" s="30"/>
      <c r="Z260" s="30"/>
      <c r="AA260" s="30"/>
      <c r="AB260" s="30"/>
      <c r="AC260" s="62" t="s">
        <v>356</v>
      </c>
      <c r="AD260" s="30" t="s">
        <v>95</v>
      </c>
      <c r="AE260" s="54"/>
      <c r="AF260" s="54"/>
      <c r="AG260" s="153">
        <v>9</v>
      </c>
    </row>
    <row r="261" spans="1:34" ht="45" customHeight="1">
      <c r="A261" s="293">
        <f t="shared" si="8"/>
        <v>254</v>
      </c>
      <c r="B261" s="28" t="s">
        <v>1633</v>
      </c>
      <c r="C261" s="296" t="s">
        <v>1635</v>
      </c>
      <c r="D261" s="56">
        <f>IF(F261="","",SUBTOTAL(3,$F$6:F261))</f>
        <v>255</v>
      </c>
      <c r="E261" s="34" t="s">
        <v>21</v>
      </c>
      <c r="F261" s="107" t="s">
        <v>1703</v>
      </c>
      <c r="G261" s="40" t="s">
        <v>797</v>
      </c>
      <c r="H261" s="83" t="str">
        <f>IF($G261&lt;&gt;"",VLOOKUP($G261,'WPS '!C$5:M$209,3,FALSE),"")</f>
        <v>FCAW</v>
      </c>
      <c r="I261" s="22" t="s">
        <v>1494</v>
      </c>
      <c r="J261" s="77" t="s">
        <v>1215</v>
      </c>
      <c r="K261" s="69" t="s">
        <v>1480</v>
      </c>
      <c r="L261" s="22" t="str">
        <f>IF($G261&lt;&gt;"",VLOOKUP($G261,'WPS '!C$5:M$209,8,FALSE),"")</f>
        <v>E71T-1C</v>
      </c>
      <c r="M261" s="76" t="s">
        <v>1015</v>
      </c>
      <c r="N261" s="21">
        <v>45219</v>
      </c>
      <c r="O261" s="21">
        <v>45221</v>
      </c>
      <c r="P261" s="21">
        <f t="shared" si="9"/>
        <v>46134</v>
      </c>
      <c r="Q261" s="164" t="str">
        <f>IF($G261&lt;&gt;"",VLOOKUP($G261,'WPS '!C$5:M$209,11,FALSE),"")</f>
        <v>AWS D1.1</v>
      </c>
      <c r="R261" s="147" t="str">
        <f>IF($G261&lt;&gt;"",VLOOKUP($G261,'WPS '!$C$5:$M$209,2,FALSE),"")</f>
        <v>OSR-WPS-D1.1-FC-069</v>
      </c>
      <c r="S261" s="30"/>
      <c r="T261" s="30"/>
      <c r="U261" s="30"/>
      <c r="V261" s="30"/>
      <c r="W261" s="30"/>
      <c r="X261" s="30"/>
      <c r="Y261" s="30"/>
      <c r="Z261" s="30"/>
      <c r="AA261" s="30"/>
      <c r="AB261" s="30"/>
      <c r="AC261" s="30"/>
      <c r="AD261" s="30"/>
      <c r="AE261" s="54"/>
      <c r="AF261" s="54"/>
      <c r="AG261" s="153">
        <v>5</v>
      </c>
    </row>
    <row r="262" spans="1:34" ht="45" customHeight="1">
      <c r="A262" s="293">
        <f t="shared" si="8"/>
        <v>255</v>
      </c>
      <c r="B262" s="28" t="s">
        <v>1633</v>
      </c>
      <c r="C262" s="296" t="s">
        <v>1635</v>
      </c>
      <c r="D262" s="56">
        <f>IF(F262="","",SUBTOTAL(3,$F$6:F262))</f>
        <v>256</v>
      </c>
      <c r="E262" s="34" t="s">
        <v>21</v>
      </c>
      <c r="F262" s="107" t="s">
        <v>1703</v>
      </c>
      <c r="G262" s="40" t="s">
        <v>1158</v>
      </c>
      <c r="H262" s="83" t="str">
        <f>IF($G262&lt;&gt;"",VLOOKUP($G262,'WPS '!C$5:M$209,3,FALSE),"")</f>
        <v>FCAW</v>
      </c>
      <c r="I262" s="22" t="s">
        <v>1403</v>
      </c>
      <c r="J262" s="77" t="s">
        <v>1214</v>
      </c>
      <c r="K262" s="69" t="s">
        <v>1290</v>
      </c>
      <c r="L262" s="22" t="str">
        <f>IF($G262&lt;&gt;"",VLOOKUP($G262,'WPS '!C$5:M$209,8,FALSE),"")</f>
        <v>E71T-1C</v>
      </c>
      <c r="M262" s="76" t="s">
        <v>1196</v>
      </c>
      <c r="N262" s="21">
        <v>45900</v>
      </c>
      <c r="O262" s="21">
        <v>45906</v>
      </c>
      <c r="P262" s="21">
        <f t="shared" si="9"/>
        <v>46271</v>
      </c>
      <c r="Q262" s="164" t="str">
        <f>IF($G262&lt;&gt;"",VLOOKUP($G262,'WPS '!C$5:M$209,11,FALSE),"")</f>
        <v>AWS D1.1</v>
      </c>
      <c r="R262" s="147" t="str">
        <f>IF($G262&lt;&gt;"",VLOOKUP($G262,'WPS '!$C$5:$M$209,2,FALSE),"")</f>
        <v>OSR-WPS-D1.1-FC-095</v>
      </c>
      <c r="S262" s="30"/>
      <c r="T262" s="30"/>
      <c r="U262" s="30"/>
      <c r="V262" s="30"/>
      <c r="W262" s="30"/>
      <c r="X262" s="30"/>
      <c r="Y262" s="30"/>
      <c r="Z262" s="30"/>
      <c r="AA262" s="30"/>
      <c r="AB262" s="30"/>
      <c r="AC262" s="30" t="s">
        <v>95</v>
      </c>
      <c r="AD262" s="30" t="s">
        <v>356</v>
      </c>
      <c r="AE262" s="54"/>
      <c r="AF262" s="54"/>
      <c r="AG262" s="153">
        <v>2</v>
      </c>
    </row>
    <row r="263" spans="1:34" ht="45" customHeight="1">
      <c r="A263" s="293">
        <f t="shared" si="8"/>
        <v>256</v>
      </c>
      <c r="B263" s="5" t="s">
        <v>1636</v>
      </c>
      <c r="C263" s="296" t="s">
        <v>1635</v>
      </c>
      <c r="D263" s="56">
        <f>IF(F263="","",SUBTOTAL(3,$F$6:F263))</f>
        <v>257</v>
      </c>
      <c r="E263" s="35" t="s">
        <v>187</v>
      </c>
      <c r="F263" s="106" t="s">
        <v>1758</v>
      </c>
      <c r="G263" s="40" t="s">
        <v>700</v>
      </c>
      <c r="H263" s="83">
        <f>IF($G263&lt;&gt;"",VLOOKUP($G263,'WPS '!C$5:M$209,3,FALSE),"")</f>
        <v>136</v>
      </c>
      <c r="I263" s="22" t="s">
        <v>1250</v>
      </c>
      <c r="J263" s="22" t="s">
        <v>242</v>
      </c>
      <c r="K263" s="69" t="s">
        <v>884</v>
      </c>
      <c r="L263" s="22" t="str">
        <f>IF($G263&lt;&gt;"",VLOOKUP($G263,'WPS '!C$5:M$209,8,FALSE),"")</f>
        <v>E81T1-W2C</v>
      </c>
      <c r="M263" s="76" t="s">
        <v>188</v>
      </c>
      <c r="N263" s="21">
        <v>45797</v>
      </c>
      <c r="O263" s="21">
        <v>45799</v>
      </c>
      <c r="P263" s="21">
        <f t="shared" si="9"/>
        <v>46164</v>
      </c>
      <c r="Q263" s="164" t="s">
        <v>1811</v>
      </c>
      <c r="R263" s="147" t="str">
        <f>IF($G263&lt;&gt;"",VLOOKUP($G263,'WPS '!$C$5:$M$209,2,FALSE),"")</f>
        <v>OSR-WPS-ISO-PF-045</v>
      </c>
      <c r="S263" s="30"/>
      <c r="T263" s="30"/>
      <c r="U263" s="30"/>
      <c r="V263" s="30"/>
      <c r="W263" s="30"/>
      <c r="X263" s="30" t="s">
        <v>95</v>
      </c>
      <c r="Y263" s="30"/>
      <c r="Z263" s="30"/>
      <c r="AA263" s="30"/>
      <c r="AB263" s="30"/>
      <c r="AC263" s="30"/>
      <c r="AD263" s="30"/>
      <c r="AE263" s="54"/>
      <c r="AF263" s="54"/>
      <c r="AG263" s="66">
        <v>2</v>
      </c>
      <c r="AH263" s="115"/>
    </row>
    <row r="264" spans="1:34" ht="45" customHeight="1">
      <c r="A264" s="293">
        <f t="shared" ref="A264:A327" si="10">A263+1</f>
        <v>257</v>
      </c>
      <c r="B264" s="28" t="s">
        <v>1636</v>
      </c>
      <c r="C264" s="295" t="s">
        <v>1635</v>
      </c>
      <c r="D264" s="56">
        <f>IF(F264="","",SUBTOTAL(3,$F$6:F264))</f>
        <v>258</v>
      </c>
      <c r="E264" s="34" t="s">
        <v>187</v>
      </c>
      <c r="F264" s="107" t="s">
        <v>1758</v>
      </c>
      <c r="G264" s="39" t="s">
        <v>718</v>
      </c>
      <c r="H264" s="83" t="str">
        <f>IF($G264&lt;&gt;"",VLOOKUP($G264,'WPS '!C$5:M$209,3,FALSE),"")</f>
        <v>FCAW</v>
      </c>
      <c r="I264" s="22" t="s">
        <v>851</v>
      </c>
      <c r="J264" s="22" t="s">
        <v>1390</v>
      </c>
      <c r="K264" s="69" t="s">
        <v>247</v>
      </c>
      <c r="L264" s="22" t="str">
        <f>IF($G264&lt;&gt;"",VLOOKUP($G264,'WPS '!C$5:M$209,8,FALSE),"")</f>
        <v>E71T-1C</v>
      </c>
      <c r="M264" s="76" t="s">
        <v>271</v>
      </c>
      <c r="N264" s="21">
        <v>45863</v>
      </c>
      <c r="O264" s="21">
        <v>45865</v>
      </c>
      <c r="P264" s="21">
        <f t="shared" si="9"/>
        <v>46230</v>
      </c>
      <c r="Q264" s="164" t="str">
        <f>IF($G264&lt;&gt;"",VLOOKUP($G264,'WPS '!C$5:M$209,11,FALSE),"")</f>
        <v>ASME IX</v>
      </c>
      <c r="R264" s="147" t="str">
        <f>IF($G264&lt;&gt;"",VLOOKUP($G264,'WPS '!$C$5:$M$209,2,FALSE),"")</f>
        <v>OSR-WPS-ASME-FC-001</v>
      </c>
      <c r="S264" s="30" t="s">
        <v>356</v>
      </c>
      <c r="T264" s="30"/>
      <c r="U264" s="30"/>
      <c r="V264" s="30"/>
      <c r="W264" s="62"/>
      <c r="X264" s="30"/>
      <c r="Y264" s="31"/>
      <c r="Z264" s="31"/>
      <c r="AA264" s="31"/>
      <c r="AB264" s="62"/>
      <c r="AC264" s="62"/>
      <c r="AD264" s="62"/>
      <c r="AE264" s="146"/>
      <c r="AF264" s="146"/>
      <c r="AG264" s="67">
        <v>2</v>
      </c>
      <c r="AH264" s="18"/>
    </row>
    <row r="265" spans="1:34" ht="45" customHeight="1">
      <c r="A265" s="293">
        <f t="shared" si="10"/>
        <v>258</v>
      </c>
      <c r="B265" s="28" t="s">
        <v>1636</v>
      </c>
      <c r="C265" s="295" t="s">
        <v>1635</v>
      </c>
      <c r="D265" s="56">
        <f>IF(F265="","",SUBTOTAL(3,$F$6:F265))</f>
        <v>259</v>
      </c>
      <c r="E265" s="34" t="s">
        <v>187</v>
      </c>
      <c r="F265" s="107" t="s">
        <v>1758</v>
      </c>
      <c r="G265" s="39" t="s">
        <v>719</v>
      </c>
      <c r="H265" s="83" t="str">
        <f>IF($G265&lt;&gt;"",VLOOKUP($G265,'WPS '!C$5:M$209,3,FALSE),"")</f>
        <v>FCAW</v>
      </c>
      <c r="I265" s="22" t="s">
        <v>850</v>
      </c>
      <c r="J265" s="22" t="s">
        <v>1215</v>
      </c>
      <c r="K265" s="69" t="s">
        <v>964</v>
      </c>
      <c r="L265" s="22" t="str">
        <f>IF($G265&lt;&gt;"",VLOOKUP($G265,'WPS '!C$5:M$209,8,FALSE),"")</f>
        <v>E71T-1C</v>
      </c>
      <c r="M265" s="76" t="s">
        <v>835</v>
      </c>
      <c r="N265" s="21">
        <v>45871</v>
      </c>
      <c r="O265" s="21">
        <v>45873</v>
      </c>
      <c r="P265" s="21">
        <f t="shared" si="9"/>
        <v>46238</v>
      </c>
      <c r="Q265" s="164" t="str">
        <f>IF($G265&lt;&gt;"",VLOOKUP($G265,'WPS '!C$5:M$209,11,FALSE),"")</f>
        <v>ASME IX</v>
      </c>
      <c r="R265" s="147" t="str">
        <f>IF($G265&lt;&gt;"",VLOOKUP($G265,'WPS '!$C$5:$M$209,2,FALSE),"")</f>
        <v>OSR-WPS-ASME-FC-002</v>
      </c>
      <c r="S265" s="30" t="s">
        <v>356</v>
      </c>
      <c r="T265" s="30"/>
      <c r="U265" s="30"/>
      <c r="V265" s="30"/>
      <c r="W265" s="62"/>
      <c r="X265" s="30"/>
      <c r="Y265" s="31"/>
      <c r="Z265" s="31"/>
      <c r="AA265" s="31"/>
      <c r="AB265" s="62"/>
      <c r="AC265" s="62"/>
      <c r="AD265" s="62"/>
      <c r="AE265" s="146"/>
      <c r="AF265" s="146"/>
      <c r="AG265" s="67">
        <v>2</v>
      </c>
      <c r="AH265" s="18"/>
    </row>
    <row r="266" spans="1:34" ht="45" customHeight="1">
      <c r="A266" s="293">
        <f t="shared" si="10"/>
        <v>259</v>
      </c>
      <c r="B266" s="28" t="s">
        <v>1636</v>
      </c>
      <c r="C266" s="295" t="s">
        <v>1635</v>
      </c>
      <c r="D266" s="56">
        <f>IF(F266="","",SUBTOTAL(3,$F$6:F266))</f>
        <v>260</v>
      </c>
      <c r="E266" s="34" t="s">
        <v>187</v>
      </c>
      <c r="F266" s="107" t="s">
        <v>1758</v>
      </c>
      <c r="G266" s="39" t="s">
        <v>722</v>
      </c>
      <c r="H266" s="83" t="str">
        <f>IF($G266&lt;&gt;"",VLOOKUP($G266,'WPS '!C$5:M$209,3,FALSE),"")</f>
        <v>GTAW</v>
      </c>
      <c r="I266" s="22" t="s">
        <v>853</v>
      </c>
      <c r="J266" s="22" t="s">
        <v>1472</v>
      </c>
      <c r="K266" s="69" t="s">
        <v>1569</v>
      </c>
      <c r="L266" s="22" t="str">
        <f>IF($G266&lt;&gt;"",VLOOKUP($G266,'WPS '!C$5:M$209,8,FALSE),"")</f>
        <v>ERNiCr 3</v>
      </c>
      <c r="M266" s="76" t="s">
        <v>1567</v>
      </c>
      <c r="N266" s="21">
        <v>45871</v>
      </c>
      <c r="O266" s="21">
        <v>45873</v>
      </c>
      <c r="P266" s="21">
        <f t="shared" si="9"/>
        <v>46238</v>
      </c>
      <c r="Q266" s="164" t="str">
        <f>IF($G266&lt;&gt;"",VLOOKUP($G266,'WPS '!C$5:M$209,11,FALSE),"")</f>
        <v>ASME IX</v>
      </c>
      <c r="R266" s="147" t="str">
        <f>IF($G266&lt;&gt;"",VLOOKUP($G266,'WPS '!$C$5:$M$209,2,FALSE),"")</f>
        <v>OSR-WPS-ASME-GT-005</v>
      </c>
      <c r="S266" s="30" t="s">
        <v>356</v>
      </c>
      <c r="T266" s="30"/>
      <c r="U266" s="30"/>
      <c r="V266" s="30"/>
      <c r="W266" s="62"/>
      <c r="X266" s="30"/>
      <c r="Y266" s="31"/>
      <c r="Z266" s="31"/>
      <c r="AA266" s="31"/>
      <c r="AB266" s="62"/>
      <c r="AC266" s="62"/>
      <c r="AD266" s="62"/>
      <c r="AE266" s="146"/>
      <c r="AF266" s="146"/>
      <c r="AG266" s="67">
        <v>2</v>
      </c>
      <c r="AH266" s="18"/>
    </row>
    <row r="267" spans="1:34" ht="45" customHeight="1">
      <c r="A267" s="293">
        <f t="shared" si="10"/>
        <v>260</v>
      </c>
      <c r="B267" s="5" t="s">
        <v>1634</v>
      </c>
      <c r="C267" s="5" t="s">
        <v>328</v>
      </c>
      <c r="D267" s="56">
        <f>IF(F267="","",SUBTOTAL(3,$F$6:F267))</f>
        <v>261</v>
      </c>
      <c r="E267" s="36" t="s">
        <v>185</v>
      </c>
      <c r="F267" s="106" t="s">
        <v>1691</v>
      </c>
      <c r="G267" s="40" t="s">
        <v>700</v>
      </c>
      <c r="H267" s="83">
        <f>IF($G267&lt;&gt;"",VLOOKUP($G267,'WPS '!C$5:M$209,3,FALSE),"")</f>
        <v>136</v>
      </c>
      <c r="I267" s="22" t="s">
        <v>1250</v>
      </c>
      <c r="J267" s="22" t="s">
        <v>242</v>
      </c>
      <c r="K267" s="69" t="s">
        <v>884</v>
      </c>
      <c r="L267" s="22" t="str">
        <f>IF($G267&lt;&gt;"",VLOOKUP($G267,'WPS '!C$5:M$209,8,FALSE),"")</f>
        <v>E81T1-W2C</v>
      </c>
      <c r="M267" s="76" t="s">
        <v>186</v>
      </c>
      <c r="N267" s="21">
        <v>45785</v>
      </c>
      <c r="O267" s="21">
        <v>45787</v>
      </c>
      <c r="P267" s="21">
        <f t="shared" si="9"/>
        <v>46152</v>
      </c>
      <c r="Q267" s="164" t="s">
        <v>1811</v>
      </c>
      <c r="R267" s="147" t="str">
        <f>IF($G267&lt;&gt;"",VLOOKUP($G267,'WPS '!$C$5:$M$209,2,FALSE),"")</f>
        <v>OSR-WPS-ISO-PF-045</v>
      </c>
      <c r="S267" s="30"/>
      <c r="T267" s="30"/>
      <c r="U267" s="30"/>
      <c r="V267" s="30"/>
      <c r="W267" s="30"/>
      <c r="X267" s="30" t="s">
        <v>95</v>
      </c>
      <c r="Y267" s="30"/>
      <c r="Z267" s="30"/>
      <c r="AA267" s="30"/>
      <c r="AB267" s="30"/>
      <c r="AC267" s="30"/>
      <c r="AD267" s="30"/>
      <c r="AE267" s="54"/>
      <c r="AF267" s="54"/>
      <c r="AG267" s="66">
        <v>2</v>
      </c>
      <c r="AH267" s="115"/>
    </row>
    <row r="268" spans="1:34" ht="45" customHeight="1">
      <c r="A268" s="293">
        <f t="shared" si="10"/>
        <v>261</v>
      </c>
      <c r="B268" s="5" t="s">
        <v>327</v>
      </c>
      <c r="C268" s="296" t="s">
        <v>1635</v>
      </c>
      <c r="D268" s="56">
        <f>IF(F268="","",SUBTOTAL(3,$F$6:F268))</f>
        <v>262</v>
      </c>
      <c r="E268" s="34" t="s">
        <v>23</v>
      </c>
      <c r="F268" s="107" t="s">
        <v>1767</v>
      </c>
      <c r="G268" s="40" t="s">
        <v>660</v>
      </c>
      <c r="H268" s="83">
        <f>IF($G268&lt;&gt;"",VLOOKUP($G268,'WPS '!C$5:M$209,3,FALSE),"")</f>
        <v>136</v>
      </c>
      <c r="I268" s="22" t="s">
        <v>1250</v>
      </c>
      <c r="J268" s="22" t="s">
        <v>252</v>
      </c>
      <c r="K268" s="69" t="s">
        <v>884</v>
      </c>
      <c r="L268" s="22" t="str">
        <f>IF($G268&lt;&gt;"",VLOOKUP($G268,'WPS '!C$5:M$209,8,FALSE),"")</f>
        <v>E71T-1C</v>
      </c>
      <c r="M268" s="76" t="s">
        <v>24</v>
      </c>
      <c r="N268" s="21">
        <v>44913</v>
      </c>
      <c r="O268" s="21">
        <v>44915</v>
      </c>
      <c r="P268" s="21">
        <f t="shared" si="9"/>
        <v>46011</v>
      </c>
      <c r="Q268" s="164" t="s">
        <v>1811</v>
      </c>
      <c r="R268" s="147" t="str">
        <f>IF($G268&lt;&gt;"",VLOOKUP($G268,'WPS '!$C$5:$M$209,2,FALSE),"")</f>
        <v>OSR-WPS-ISO-004</v>
      </c>
      <c r="S268" s="30"/>
      <c r="T268" s="30"/>
      <c r="U268" s="30"/>
      <c r="V268" s="30"/>
      <c r="W268" s="30"/>
      <c r="X268" s="30"/>
      <c r="Y268" s="30"/>
      <c r="Z268" s="30"/>
      <c r="AA268" s="30"/>
      <c r="AB268" s="30"/>
      <c r="AC268" s="30"/>
      <c r="AD268" s="30"/>
      <c r="AE268" s="54"/>
      <c r="AF268" s="54"/>
      <c r="AG268" s="66">
        <v>6</v>
      </c>
      <c r="AH268" s="115"/>
    </row>
    <row r="269" spans="1:34" ht="45" customHeight="1">
      <c r="A269" s="293">
        <f t="shared" si="10"/>
        <v>262</v>
      </c>
      <c r="B269" s="5" t="s">
        <v>327</v>
      </c>
      <c r="C269" s="296" t="s">
        <v>1635</v>
      </c>
      <c r="D269" s="56">
        <f>IF(F269="","",SUBTOTAL(3,$F$6:F269))</f>
        <v>263</v>
      </c>
      <c r="E269" s="34" t="s">
        <v>23</v>
      </c>
      <c r="F269" s="107" t="s">
        <v>1767</v>
      </c>
      <c r="G269" s="40" t="s">
        <v>662</v>
      </c>
      <c r="H269" s="83">
        <f>IF($G269&lt;&gt;"",VLOOKUP($G269,'WPS '!C$5:M$209,3,FALSE),"")</f>
        <v>136</v>
      </c>
      <c r="I269" s="22" t="s">
        <v>1251</v>
      </c>
      <c r="J269" s="22" t="s">
        <v>1683</v>
      </c>
      <c r="K269" s="69" t="s">
        <v>884</v>
      </c>
      <c r="L269" s="22" t="str">
        <f>IF($G269&lt;&gt;"",VLOOKUP($G269,'WPS '!C$5:M$209,8,FALSE),"")</f>
        <v>E71T-1C</v>
      </c>
      <c r="M269" s="76" t="s">
        <v>25</v>
      </c>
      <c r="N269" s="21">
        <v>44995</v>
      </c>
      <c r="O269" s="21">
        <v>45000</v>
      </c>
      <c r="P269" s="21">
        <f t="shared" si="9"/>
        <v>46096</v>
      </c>
      <c r="Q269" s="164" t="s">
        <v>1811</v>
      </c>
      <c r="R269" s="147" t="str">
        <f>IF($G269&lt;&gt;"",VLOOKUP($G269,'WPS '!$C$5:$M$209,2,FALSE),"")</f>
        <v>OSR-WPS-ISO-PB-006</v>
      </c>
      <c r="S269" s="30"/>
      <c r="T269" s="30"/>
      <c r="U269" s="30"/>
      <c r="V269" s="30"/>
      <c r="W269" s="30" t="s">
        <v>356</v>
      </c>
      <c r="X269" s="30" t="s">
        <v>95</v>
      </c>
      <c r="Y269" s="30"/>
      <c r="Z269" s="30"/>
      <c r="AA269" s="30"/>
      <c r="AB269" s="30"/>
      <c r="AC269" s="30"/>
      <c r="AD269" s="30"/>
      <c r="AE269" s="54"/>
      <c r="AF269" s="54"/>
      <c r="AG269" s="66">
        <v>6</v>
      </c>
      <c r="AH269" s="115"/>
    </row>
    <row r="270" spans="1:34" ht="45" customHeight="1">
      <c r="A270" s="293">
        <f t="shared" si="10"/>
        <v>263</v>
      </c>
      <c r="B270" s="5" t="s">
        <v>327</v>
      </c>
      <c r="C270" s="296" t="s">
        <v>1635</v>
      </c>
      <c r="D270" s="56">
        <f>IF(F270="","",SUBTOTAL(3,$F$6:F270))</f>
        <v>264</v>
      </c>
      <c r="E270" s="34" t="s">
        <v>23</v>
      </c>
      <c r="F270" s="107" t="s">
        <v>1767</v>
      </c>
      <c r="G270" s="40" t="s">
        <v>826</v>
      </c>
      <c r="H270" s="83">
        <f>IF($G270&lt;&gt;"",VLOOKUP($G270,'WPS '!C$5:M$209,3,FALSE),"")</f>
        <v>136</v>
      </c>
      <c r="I270" s="22" t="s">
        <v>1250</v>
      </c>
      <c r="J270" s="22" t="s">
        <v>251</v>
      </c>
      <c r="K270" s="69" t="s">
        <v>884</v>
      </c>
      <c r="L270" s="22" t="str">
        <f>IF($G270&lt;&gt;"",VLOOKUP($G270,'WPS '!C$5:M$209,8,FALSE),"")</f>
        <v>E308LT1-1/-4</v>
      </c>
      <c r="M270" s="76" t="s">
        <v>67</v>
      </c>
      <c r="N270" s="21">
        <v>45381</v>
      </c>
      <c r="O270" s="21">
        <v>45385</v>
      </c>
      <c r="P270" s="21">
        <f t="shared" si="9"/>
        <v>46115</v>
      </c>
      <c r="Q270" s="164" t="s">
        <v>1811</v>
      </c>
      <c r="R270" s="147" t="str">
        <f>IF($G270&lt;&gt;"",VLOOKUP($G270,'WPS '!$C$5:$M$209,2,FALSE),"")</f>
        <v>OSR-WPS-ISO-018M</v>
      </c>
      <c r="S270" s="30"/>
      <c r="T270" s="30"/>
      <c r="U270" s="30"/>
      <c r="V270" s="30"/>
      <c r="W270" s="30"/>
      <c r="X270" s="30"/>
      <c r="Y270" s="30"/>
      <c r="Z270" s="30"/>
      <c r="AA270" s="30"/>
      <c r="AB270" s="30"/>
      <c r="AC270" s="30"/>
      <c r="AD270" s="30"/>
      <c r="AE270" s="54"/>
      <c r="AF270" s="54"/>
      <c r="AG270" s="66">
        <v>4</v>
      </c>
      <c r="AH270" s="115"/>
    </row>
    <row r="271" spans="1:34" ht="45" customHeight="1">
      <c r="A271" s="293">
        <f t="shared" si="10"/>
        <v>264</v>
      </c>
      <c r="B271" s="5" t="s">
        <v>327</v>
      </c>
      <c r="C271" s="296" t="s">
        <v>1635</v>
      </c>
      <c r="D271" s="56">
        <f>IF(F271="","",SUBTOTAL(3,$F$6:F271))</f>
        <v>265</v>
      </c>
      <c r="E271" s="34" t="s">
        <v>23</v>
      </c>
      <c r="F271" s="107" t="s">
        <v>1767</v>
      </c>
      <c r="G271" s="40" t="s">
        <v>675</v>
      </c>
      <c r="H271" s="83">
        <f>IF($G271&lt;&gt;"",VLOOKUP($G271,'WPS '!C$5:M$209,3,FALSE),"")</f>
        <v>136</v>
      </c>
      <c r="I271" s="22" t="s">
        <v>1251</v>
      </c>
      <c r="J271" s="22" t="s">
        <v>1675</v>
      </c>
      <c r="K271" s="69" t="s">
        <v>884</v>
      </c>
      <c r="L271" s="22" t="str">
        <f>IF($G271&lt;&gt;"",VLOOKUP($G271,'WPS '!C$5:M$209,8,FALSE),"")</f>
        <v>E71T-1C</v>
      </c>
      <c r="M271" s="76" t="s">
        <v>64</v>
      </c>
      <c r="N271" s="21">
        <v>45453</v>
      </c>
      <c r="O271" s="21">
        <v>45458</v>
      </c>
      <c r="P271" s="21">
        <f t="shared" si="9"/>
        <v>46006</v>
      </c>
      <c r="Q271" s="164" t="s">
        <v>1811</v>
      </c>
      <c r="R271" s="147" t="str">
        <f>IF($G271&lt;&gt;"",VLOOKUP($G271,'WPS '!$C$5:$M$209,2,FALSE),"")</f>
        <v>OSR-WPS-ISO-PE-020</v>
      </c>
      <c r="S271" s="30"/>
      <c r="T271" s="30"/>
      <c r="U271" s="30"/>
      <c r="V271" s="30"/>
      <c r="W271" s="30"/>
      <c r="X271" s="30"/>
      <c r="Y271" s="30" t="s">
        <v>95</v>
      </c>
      <c r="Z271" s="30"/>
      <c r="AA271" s="30" t="s">
        <v>356</v>
      </c>
      <c r="AB271" s="30" t="s">
        <v>95</v>
      </c>
      <c r="AC271" s="30"/>
      <c r="AD271" s="30"/>
      <c r="AE271" s="54"/>
      <c r="AF271" s="54"/>
      <c r="AG271" s="66">
        <v>3</v>
      </c>
      <c r="AH271" s="115"/>
    </row>
    <row r="272" spans="1:34" ht="45" customHeight="1">
      <c r="A272" s="293">
        <f t="shared" si="10"/>
        <v>265</v>
      </c>
      <c r="B272" s="5" t="s">
        <v>327</v>
      </c>
      <c r="C272" s="296" t="s">
        <v>1635</v>
      </c>
      <c r="D272" s="56">
        <f>IF(F272="","",SUBTOTAL(3,$F$6:F272))</f>
        <v>266</v>
      </c>
      <c r="E272" s="34" t="s">
        <v>23</v>
      </c>
      <c r="F272" s="107" t="s">
        <v>1767</v>
      </c>
      <c r="G272" s="40" t="s">
        <v>700</v>
      </c>
      <c r="H272" s="83">
        <f>IF($G272&lt;&gt;"",VLOOKUP($G272,'WPS '!C$5:M$209,3,FALSE),"")</f>
        <v>136</v>
      </c>
      <c r="I272" s="22" t="s">
        <v>1250</v>
      </c>
      <c r="J272" s="22" t="s">
        <v>242</v>
      </c>
      <c r="K272" s="69" t="s">
        <v>884</v>
      </c>
      <c r="L272" s="22" t="str">
        <f>IF($G272&lt;&gt;"",VLOOKUP($G272,'WPS '!C$5:M$209,8,FALSE),"")</f>
        <v>E81T1-W2C</v>
      </c>
      <c r="M272" s="76" t="s">
        <v>142</v>
      </c>
      <c r="N272" s="21">
        <v>45724</v>
      </c>
      <c r="O272" s="21">
        <v>45731</v>
      </c>
      <c r="P272" s="21">
        <f t="shared" si="9"/>
        <v>46096</v>
      </c>
      <c r="Q272" s="164" t="s">
        <v>1811</v>
      </c>
      <c r="R272" s="147" t="str">
        <f>IF($G272&lt;&gt;"",VLOOKUP($G272,'WPS '!$C$5:$M$209,2,FALSE),"")</f>
        <v>OSR-WPS-ISO-PF-045</v>
      </c>
      <c r="S272" s="30"/>
      <c r="T272" s="30"/>
      <c r="U272" s="30"/>
      <c r="V272" s="30"/>
      <c r="W272" s="30"/>
      <c r="X272" s="30" t="s">
        <v>95</v>
      </c>
      <c r="Y272" s="30"/>
      <c r="Z272" s="30"/>
      <c r="AA272" s="30"/>
      <c r="AB272" s="30"/>
      <c r="AC272" s="30"/>
      <c r="AD272" s="30"/>
      <c r="AE272" s="54"/>
      <c r="AF272" s="54"/>
      <c r="AG272" s="66">
        <v>2</v>
      </c>
      <c r="AH272" s="115"/>
    </row>
    <row r="273" spans="1:34" ht="45" customHeight="1">
      <c r="A273" s="293">
        <f t="shared" si="10"/>
        <v>266</v>
      </c>
      <c r="B273" s="5" t="s">
        <v>327</v>
      </c>
      <c r="C273" s="296" t="s">
        <v>1635</v>
      </c>
      <c r="D273" s="56">
        <f>IF(F273="","",SUBTOTAL(3,$F$6:F273))</f>
        <v>267</v>
      </c>
      <c r="E273" s="34" t="s">
        <v>23</v>
      </c>
      <c r="F273" s="107" t="s">
        <v>1767</v>
      </c>
      <c r="G273" s="40" t="s">
        <v>714</v>
      </c>
      <c r="H273" s="83">
        <f>IF($G273&lt;&gt;"",VLOOKUP($G273,'WPS '!C$5:M$209,3,FALSE),"")</f>
        <v>136</v>
      </c>
      <c r="I273" s="22" t="s">
        <v>1251</v>
      </c>
      <c r="J273" s="22" t="s">
        <v>889</v>
      </c>
      <c r="K273" s="69" t="s">
        <v>884</v>
      </c>
      <c r="L273" s="22" t="str">
        <f>IF($G273&lt;&gt;"",VLOOKUP($G273,'WPS '!C$5:M$209,8,FALSE),"")</f>
        <v>E71T-1C</v>
      </c>
      <c r="M273" s="76" t="s">
        <v>908</v>
      </c>
      <c r="N273" s="21">
        <v>45808</v>
      </c>
      <c r="O273" s="21">
        <v>45814</v>
      </c>
      <c r="P273" s="21">
        <f t="shared" si="9"/>
        <v>46179</v>
      </c>
      <c r="Q273" s="164" t="s">
        <v>1811</v>
      </c>
      <c r="R273" s="147" t="str">
        <f>IF($G273&lt;&gt;"",VLOOKUP($G273,'WPS '!$C$5:$M$209,2,FALSE),"")</f>
        <v>OSR-WPS-ISO-PF-059</v>
      </c>
      <c r="S273" s="30"/>
      <c r="T273" s="30"/>
      <c r="U273" s="30"/>
      <c r="V273" s="30"/>
      <c r="W273" s="30"/>
      <c r="X273" s="30"/>
      <c r="Y273" s="30" t="s">
        <v>356</v>
      </c>
      <c r="Z273" s="30"/>
      <c r="AA273" s="30"/>
      <c r="AB273" s="30"/>
      <c r="AC273" s="30"/>
      <c r="AD273" s="30"/>
      <c r="AE273" s="54"/>
      <c r="AF273" s="54"/>
      <c r="AG273" s="66">
        <v>2</v>
      </c>
      <c r="AH273" s="115"/>
    </row>
    <row r="274" spans="1:34" ht="45" customHeight="1">
      <c r="A274" s="293">
        <f t="shared" si="10"/>
        <v>267</v>
      </c>
      <c r="B274" s="28" t="s">
        <v>327</v>
      </c>
      <c r="C274" s="295" t="s">
        <v>1635</v>
      </c>
      <c r="D274" s="56">
        <f>IF(F274="","",SUBTOTAL(3,$F$6:F274))</f>
        <v>268</v>
      </c>
      <c r="E274" s="34" t="s">
        <v>23</v>
      </c>
      <c r="F274" s="107" t="s">
        <v>1767</v>
      </c>
      <c r="G274" s="39" t="s">
        <v>719</v>
      </c>
      <c r="H274" s="83" t="str">
        <f>IF($G274&lt;&gt;"",VLOOKUP($G274,'WPS '!C$5:M$209,3,FALSE),"")</f>
        <v>FCAW</v>
      </c>
      <c r="I274" s="22" t="s">
        <v>850</v>
      </c>
      <c r="J274" s="22" t="s">
        <v>1658</v>
      </c>
      <c r="K274" s="69" t="s">
        <v>964</v>
      </c>
      <c r="L274" s="22" t="str">
        <f>IF($G274&lt;&gt;"",VLOOKUP($G274,'WPS '!C$5:M$209,8,FALSE),"")</f>
        <v>E71T-1C</v>
      </c>
      <c r="M274" s="76" t="s">
        <v>279</v>
      </c>
      <c r="N274" s="21">
        <v>45586</v>
      </c>
      <c r="O274" s="21">
        <v>45590</v>
      </c>
      <c r="P274" s="21">
        <f t="shared" si="9"/>
        <v>46137</v>
      </c>
      <c r="Q274" s="164" t="str">
        <f>IF($G274&lt;&gt;"",VLOOKUP($G274,'WPS '!C$5:M$209,11,FALSE),"")</f>
        <v>ASME IX</v>
      </c>
      <c r="R274" s="147" t="str">
        <f>IF($G274&lt;&gt;"",VLOOKUP($G274,'WPS '!$C$5:$M$209,2,FALSE),"")</f>
        <v>OSR-WPS-ASME-FC-002</v>
      </c>
      <c r="S274" s="30" t="s">
        <v>356</v>
      </c>
      <c r="T274" s="30"/>
      <c r="U274" s="30"/>
      <c r="V274" s="30"/>
      <c r="W274" s="62"/>
      <c r="X274" s="30"/>
      <c r="Y274" s="32"/>
      <c r="Z274" s="32"/>
      <c r="AA274" s="32"/>
      <c r="AB274" s="62"/>
      <c r="AC274" s="62"/>
      <c r="AD274" s="62"/>
      <c r="AE274" s="146"/>
      <c r="AF274" s="146"/>
      <c r="AG274" s="67">
        <v>3</v>
      </c>
      <c r="AH274" s="18"/>
    </row>
    <row r="275" spans="1:34" ht="45" customHeight="1">
      <c r="A275" s="293">
        <f t="shared" si="10"/>
        <v>268</v>
      </c>
      <c r="B275" s="28" t="s">
        <v>327</v>
      </c>
      <c r="C275" s="295" t="s">
        <v>1635</v>
      </c>
      <c r="D275" s="56">
        <f>IF(F275="","",SUBTOTAL(3,$F$6:F275))</f>
        <v>269</v>
      </c>
      <c r="E275" s="98" t="s">
        <v>23</v>
      </c>
      <c r="F275" s="111" t="s">
        <v>1767</v>
      </c>
      <c r="G275" s="105" t="s">
        <v>1684</v>
      </c>
      <c r="H275" s="100" t="str">
        <f>IF($G275&lt;&gt;"",VLOOKUP($G275,'WPS '!C$5:M$209,3,FALSE),"")</f>
        <v>GMAW</v>
      </c>
      <c r="I275" s="101" t="s">
        <v>1783</v>
      </c>
      <c r="J275" s="101" t="s">
        <v>1472</v>
      </c>
      <c r="K275" s="102" t="s">
        <v>1784</v>
      </c>
      <c r="L275" s="101" t="str">
        <f>IF($G275&lt;&gt;"",VLOOKUP($G275,'WPS '!C$5:M$209,8,FALSE),"")</f>
        <v>ER70S-6</v>
      </c>
      <c r="M275" s="103" t="s">
        <v>1785</v>
      </c>
      <c r="N275" s="104">
        <v>45560</v>
      </c>
      <c r="O275" s="104">
        <v>45592</v>
      </c>
      <c r="P275" s="104">
        <f t="shared" si="9"/>
        <v>46139</v>
      </c>
      <c r="Q275" s="165" t="str">
        <f>IF($G275&lt;&gt;"",VLOOKUP($G275,'WPS '!C$5:M$209,11,FALSE),"")</f>
        <v>ASME IX</v>
      </c>
      <c r="R275" s="147" t="str">
        <f>IF($G275&lt;&gt;"",VLOOKUP($G275,'WPS '!$C$5:$M$209,2,FALSE),"")</f>
        <v>OSR-WPS-ASME-GM-018</v>
      </c>
      <c r="S275" s="30" t="s">
        <v>356</v>
      </c>
      <c r="T275" s="30"/>
      <c r="U275" s="30"/>
      <c r="V275" s="30"/>
      <c r="W275" s="62"/>
      <c r="X275" s="30"/>
      <c r="Y275" s="32"/>
      <c r="Z275" s="32"/>
      <c r="AA275" s="32"/>
      <c r="AB275" s="62"/>
      <c r="AC275" s="62"/>
      <c r="AD275" s="62"/>
      <c r="AE275" s="146"/>
      <c r="AF275" s="146"/>
      <c r="AG275" s="18">
        <v>3</v>
      </c>
      <c r="AH275" s="18"/>
    </row>
    <row r="276" spans="1:34" ht="45" customHeight="1">
      <c r="A276" s="293">
        <f t="shared" si="10"/>
        <v>269</v>
      </c>
      <c r="B276" s="28" t="s">
        <v>327</v>
      </c>
      <c r="C276" s="295" t="s">
        <v>1635</v>
      </c>
      <c r="D276" s="56">
        <f>IF(F276="","",SUBTOTAL(3,$F$6:F276))</f>
        <v>270</v>
      </c>
      <c r="E276" s="34" t="s">
        <v>23</v>
      </c>
      <c r="F276" s="107" t="s">
        <v>1767</v>
      </c>
      <c r="G276" s="39" t="s">
        <v>1608</v>
      </c>
      <c r="H276" s="83" t="str">
        <f>IF($G276&lt;&gt;"",VLOOKUP($G276,'WPS '!C$5:M$209,3,FALSE),"")</f>
        <v>FCAW</v>
      </c>
      <c r="I276" s="22" t="s">
        <v>1626</v>
      </c>
      <c r="J276" s="22" t="s">
        <v>1390</v>
      </c>
      <c r="K276" s="69" t="s">
        <v>1624</v>
      </c>
      <c r="L276" s="22" t="str">
        <f>IF($G276&lt;&gt;"",VLOOKUP($G276,'WPS '!C$5:M$209,8,FALSE),"")</f>
        <v>E71T-1C</v>
      </c>
      <c r="M276" s="76" t="s">
        <v>1625</v>
      </c>
      <c r="N276" s="21">
        <v>45945</v>
      </c>
      <c r="O276" s="21">
        <v>45945</v>
      </c>
      <c r="P276" s="21">
        <f t="shared" si="9"/>
        <v>46310</v>
      </c>
      <c r="Q276" s="164" t="str">
        <f>IF($G276&lt;&gt;"",VLOOKUP($G276,'WPS '!C$5:M$209,11,FALSE),"")</f>
        <v>ASME IX</v>
      </c>
      <c r="R276" s="147" t="str">
        <f>IF($G276&lt;&gt;"",VLOOKUP($G276,'WPS '!$C$5:$M$209,2,FALSE),"")</f>
        <v>OSR-WPS-ASME-FC-022</v>
      </c>
      <c r="S276" s="30" t="s">
        <v>356</v>
      </c>
      <c r="T276" s="30"/>
      <c r="U276" s="30"/>
      <c r="V276" s="30"/>
      <c r="W276" s="62"/>
      <c r="X276" s="30"/>
      <c r="Y276" s="32"/>
      <c r="Z276" s="32"/>
      <c r="AA276" s="32"/>
      <c r="AB276" s="62"/>
      <c r="AC276" s="62"/>
      <c r="AD276" s="62"/>
      <c r="AE276" s="146"/>
      <c r="AF276" s="146"/>
      <c r="AG276" s="67">
        <v>2</v>
      </c>
      <c r="AH276" s="18"/>
    </row>
    <row r="277" spans="1:34" ht="45" customHeight="1">
      <c r="A277" s="293">
        <f t="shared" si="10"/>
        <v>270</v>
      </c>
      <c r="B277" s="28" t="s">
        <v>327</v>
      </c>
      <c r="C277" s="296" t="s">
        <v>1635</v>
      </c>
      <c r="D277" s="56">
        <f>IF(F277="","",SUBTOTAL(3,$F$6:F277))</f>
        <v>271</v>
      </c>
      <c r="E277" s="34" t="s">
        <v>23</v>
      </c>
      <c r="F277" s="107" t="s">
        <v>1767</v>
      </c>
      <c r="G277" s="40" t="s">
        <v>732</v>
      </c>
      <c r="H277" s="83" t="str">
        <f>IF($G277&lt;&gt;"",VLOOKUP($G277,'WPS '!C$5:M$209,3,FALSE),"")</f>
        <v>FCAW</v>
      </c>
      <c r="I277" s="22" t="s">
        <v>1499</v>
      </c>
      <c r="J277" s="77" t="s">
        <v>1390</v>
      </c>
      <c r="K277" s="69" t="s">
        <v>1478</v>
      </c>
      <c r="L277" s="22" t="str">
        <f>IF($G277&lt;&gt;"",VLOOKUP($G277,'WPS '!C$5:M$209,8,FALSE),"")</f>
        <v>E71T-1C</v>
      </c>
      <c r="M277" s="76" t="s">
        <v>1063</v>
      </c>
      <c r="N277" s="21">
        <v>44212</v>
      </c>
      <c r="O277" s="21">
        <v>44400</v>
      </c>
      <c r="P277" s="21">
        <f t="shared" si="9"/>
        <v>46045</v>
      </c>
      <c r="Q277" s="164" t="str">
        <f>IF($G277&lt;&gt;"",VLOOKUP($G277,'WPS '!C$5:M$209,11,FALSE),"")</f>
        <v>AWS D1.1</v>
      </c>
      <c r="R277" s="147" t="str">
        <f>IF($G277&lt;&gt;"",VLOOKUP($G277,'WPS '!$C$5:$M$209,2,FALSE),"")</f>
        <v>OSR-WPS-D1.1-FC-003</v>
      </c>
      <c r="S277" s="30"/>
      <c r="T277" s="30" t="s">
        <v>356</v>
      </c>
      <c r="U277" s="30"/>
      <c r="V277" s="30" t="s">
        <v>356</v>
      </c>
      <c r="W277" s="30"/>
      <c r="X277" s="30"/>
      <c r="Y277" s="30"/>
      <c r="Z277" s="30"/>
      <c r="AA277" s="30"/>
      <c r="AB277" s="30"/>
      <c r="AC277" s="30"/>
      <c r="AD277" s="30"/>
      <c r="AE277" s="54"/>
      <c r="AF277" s="54" t="s">
        <v>356</v>
      </c>
      <c r="AG277" s="153">
        <v>9</v>
      </c>
    </row>
    <row r="278" spans="1:34" ht="45" customHeight="1">
      <c r="A278" s="293">
        <f t="shared" si="10"/>
        <v>271</v>
      </c>
      <c r="B278" s="28" t="s">
        <v>327</v>
      </c>
      <c r="C278" s="296" t="s">
        <v>1635</v>
      </c>
      <c r="D278" s="56">
        <f>IF(F278="","",SUBTOTAL(3,$F$6:F278))</f>
        <v>272</v>
      </c>
      <c r="E278" s="34" t="s">
        <v>23</v>
      </c>
      <c r="F278" s="107" t="s">
        <v>1767</v>
      </c>
      <c r="G278" s="39" t="s">
        <v>764</v>
      </c>
      <c r="H278" s="83" t="str">
        <f>IF($G278&lt;&gt;"",VLOOKUP($G278,'WPS '!C$5:M$209,3,FALSE),"")</f>
        <v>FCAW</v>
      </c>
      <c r="I278" s="22" t="s">
        <v>1496</v>
      </c>
      <c r="J278" s="77" t="s">
        <v>1658</v>
      </c>
      <c r="K278" s="69" t="s">
        <v>1482</v>
      </c>
      <c r="L278" s="22" t="str">
        <f>IF($G278&lt;&gt;"",VLOOKUP($G278,'WPS '!C$5:M$209,8,FALSE),"")</f>
        <v>E308LT1-1</v>
      </c>
      <c r="M278" s="76" t="s">
        <v>1090</v>
      </c>
      <c r="N278" s="21">
        <v>44393</v>
      </c>
      <c r="O278" s="21">
        <v>44400</v>
      </c>
      <c r="P278" s="21">
        <f t="shared" si="9"/>
        <v>46045</v>
      </c>
      <c r="Q278" s="164" t="str">
        <f>IF($G278&lt;&gt;"",VLOOKUP($G278,'WPS '!C$5:M$209,11,FALSE),"")</f>
        <v>AWS D1.6</v>
      </c>
      <c r="R278" s="147" t="str">
        <f>IF($G278&lt;&gt;"",VLOOKUP($G278,'WPS '!$C$5:$M$209,2,FALSE),"")</f>
        <v>OSR-WPS-D1.6-FC-036</v>
      </c>
      <c r="S278" s="30"/>
      <c r="T278" s="30" t="s">
        <v>356</v>
      </c>
      <c r="U278" s="30" t="s">
        <v>356</v>
      </c>
      <c r="V278" s="32"/>
      <c r="W278" s="32"/>
      <c r="X278" s="32"/>
      <c r="Y278" s="32"/>
      <c r="Z278" s="32"/>
      <c r="AA278" s="32"/>
      <c r="AB278" s="32"/>
      <c r="AC278" s="62" t="s">
        <v>356</v>
      </c>
      <c r="AD278" s="62" t="s">
        <v>356</v>
      </c>
      <c r="AE278" s="146"/>
      <c r="AF278" s="146"/>
      <c r="AG278" s="153">
        <v>9</v>
      </c>
    </row>
    <row r="279" spans="1:34" ht="45" customHeight="1">
      <c r="A279" s="293">
        <f t="shared" si="10"/>
        <v>272</v>
      </c>
      <c r="B279" s="28" t="s">
        <v>327</v>
      </c>
      <c r="C279" s="296" t="s">
        <v>1635</v>
      </c>
      <c r="D279" s="56">
        <f>IF(F279="","",SUBTOTAL(3,$F$6:F279))</f>
        <v>273</v>
      </c>
      <c r="E279" s="36" t="s">
        <v>23</v>
      </c>
      <c r="F279" s="106" t="s">
        <v>1767</v>
      </c>
      <c r="G279" s="40" t="s">
        <v>779</v>
      </c>
      <c r="H279" s="83" t="str">
        <f>IF($G279&lt;&gt;"",VLOOKUP($G279,'WPS '!C$5:M$209,3,FALSE),"")</f>
        <v>FCAW</v>
      </c>
      <c r="I279" s="22" t="s">
        <v>1501</v>
      </c>
      <c r="J279" s="77" t="s">
        <v>1658</v>
      </c>
      <c r="K279" s="69" t="s">
        <v>1479</v>
      </c>
      <c r="L279" s="22" t="str">
        <f>IF($G279&lt;&gt;"",VLOOKUP($G279,'WPS '!C$5:M$209,8,FALSE),"")</f>
        <v>E309L</v>
      </c>
      <c r="M279" s="76" t="s">
        <v>1107</v>
      </c>
      <c r="N279" s="21">
        <v>44393</v>
      </c>
      <c r="O279" s="21">
        <v>44400</v>
      </c>
      <c r="P279" s="21">
        <f t="shared" si="9"/>
        <v>46045</v>
      </c>
      <c r="Q279" s="164" t="str">
        <f>IF($G279&lt;&gt;"",VLOOKUP($G279,'WPS '!C$5:M$209,11,FALSE),"")</f>
        <v>AWS D1.6</v>
      </c>
      <c r="R279" s="147" t="str">
        <f>IF($G279&lt;&gt;"",VLOOKUP($G279,'WPS '!$C$5:$M$209,2,FALSE),"")</f>
        <v>OSR-WPS-D1.6-FC-051</v>
      </c>
      <c r="S279" s="30"/>
      <c r="T279" s="30" t="s">
        <v>356</v>
      </c>
      <c r="U279" s="30"/>
      <c r="V279" s="30"/>
      <c r="W279" s="30"/>
      <c r="X279" s="30"/>
      <c r="Y279" s="30"/>
      <c r="Z279" s="30"/>
      <c r="AA279" s="30"/>
      <c r="AB279" s="30"/>
      <c r="AC279" s="62" t="s">
        <v>356</v>
      </c>
      <c r="AD279" s="30" t="s">
        <v>95</v>
      </c>
      <c r="AE279" s="54" t="s">
        <v>356</v>
      </c>
      <c r="AF279" s="54"/>
      <c r="AG279" s="153">
        <v>9</v>
      </c>
    </row>
    <row r="280" spans="1:34" ht="45" customHeight="1">
      <c r="A280" s="293">
        <f t="shared" si="10"/>
        <v>273</v>
      </c>
      <c r="B280" s="28" t="s">
        <v>327</v>
      </c>
      <c r="C280" s="296" t="s">
        <v>1635</v>
      </c>
      <c r="D280" s="56">
        <f>IF(F280="","",SUBTOTAL(3,$F$6:F280))</f>
        <v>274</v>
      </c>
      <c r="E280" s="34" t="s">
        <v>23</v>
      </c>
      <c r="F280" s="107" t="s">
        <v>1767</v>
      </c>
      <c r="G280" s="39" t="s">
        <v>785</v>
      </c>
      <c r="H280" s="83" t="str">
        <f>IF($G280&lt;&gt;"",VLOOKUP($G280,'WPS '!C$5:M$209,3,FALSE),"")</f>
        <v>FCAW</v>
      </c>
      <c r="I280" s="22" t="s">
        <v>1503</v>
      </c>
      <c r="J280" s="77" t="s">
        <v>1407</v>
      </c>
      <c r="K280" s="69" t="s">
        <v>1409</v>
      </c>
      <c r="L280" s="22" t="str">
        <f>IF($G280&lt;&gt;"",VLOOKUP($G280,'WPS '!C$5:M$209,8,FALSE),"")</f>
        <v>E71T-1C</v>
      </c>
      <c r="M280" s="76" t="s">
        <v>1111</v>
      </c>
      <c r="N280" s="78">
        <v>44482</v>
      </c>
      <c r="O280" s="21">
        <v>44487</v>
      </c>
      <c r="P280" s="21">
        <f t="shared" si="9"/>
        <v>46130</v>
      </c>
      <c r="Q280" s="164" t="str">
        <f>IF($G280&lt;&gt;"",VLOOKUP($G280,'WPS '!C$5:M$209,11,FALSE),"")</f>
        <v>AWS D1.1</v>
      </c>
      <c r="R280" s="147" t="str">
        <f>IF($G280&lt;&gt;"",VLOOKUP($G280,'WPS '!$C$5:$M$209,2,FALSE),"")</f>
        <v>OSR-WPS-D1.1-FC-057</v>
      </c>
      <c r="S280" s="30"/>
      <c r="T280" s="30"/>
      <c r="U280" s="30"/>
      <c r="V280" s="31"/>
      <c r="W280" s="31"/>
      <c r="X280" s="31"/>
      <c r="Y280" s="31"/>
      <c r="Z280" s="31"/>
      <c r="AA280" s="31"/>
      <c r="AB280" s="31"/>
      <c r="AC280" s="62"/>
      <c r="AD280" s="62"/>
      <c r="AE280" s="146"/>
      <c r="AF280" s="146"/>
      <c r="AG280" s="153">
        <v>9</v>
      </c>
    </row>
    <row r="281" spans="1:34" s="2" customFormat="1" ht="45" customHeight="1">
      <c r="A281" s="293">
        <f t="shared" si="10"/>
        <v>274</v>
      </c>
      <c r="B281" s="28" t="s">
        <v>327</v>
      </c>
      <c r="C281" s="296" t="s">
        <v>1635</v>
      </c>
      <c r="D281" s="56">
        <f>IF(F281="","",SUBTOTAL(3,$F$6:F281))</f>
        <v>275</v>
      </c>
      <c r="E281" s="36" t="s">
        <v>23</v>
      </c>
      <c r="F281" s="106" t="s">
        <v>1767</v>
      </c>
      <c r="G281" s="40" t="s">
        <v>794</v>
      </c>
      <c r="H281" s="83" t="str">
        <f>IF($G281&lt;&gt;"",VLOOKUP($G281,'WPS '!C$5:M$209,3,FALSE),"")</f>
        <v>FCAW</v>
      </c>
      <c r="I281" s="22" t="s">
        <v>1383</v>
      </c>
      <c r="J281" s="77" t="s">
        <v>1390</v>
      </c>
      <c r="K281" s="69" t="s">
        <v>1478</v>
      </c>
      <c r="L281" s="22" t="str">
        <f>IF($G281&lt;&gt;"",VLOOKUP($G281,'WPS '!C$5:M$209,8,FALSE),"")</f>
        <v>E71T-1C</v>
      </c>
      <c r="M281" s="76" t="s">
        <v>1031</v>
      </c>
      <c r="N281" s="21">
        <v>44958</v>
      </c>
      <c r="O281" s="21">
        <v>44961</v>
      </c>
      <c r="P281" s="21">
        <f t="shared" si="9"/>
        <v>46057</v>
      </c>
      <c r="Q281" s="164" t="str">
        <f>IF($G281&lt;&gt;"",VLOOKUP($G281,'WPS '!C$5:M$209,11,FALSE),"")</f>
        <v>AWS D1.1</v>
      </c>
      <c r="R281" s="147" t="str">
        <f>IF($G281&lt;&gt;"",VLOOKUP($G281,'WPS '!$C$5:$M$209,2,FALSE),"")</f>
        <v>OSR-WPS-D1.1-FC-066</v>
      </c>
      <c r="S281" s="30"/>
      <c r="T281" s="30"/>
      <c r="U281" s="30"/>
      <c r="V281" s="30"/>
      <c r="W281" s="30"/>
      <c r="X281" s="30"/>
      <c r="Y281" s="30"/>
      <c r="Z281" s="30"/>
      <c r="AA281" s="30"/>
      <c r="AB281" s="30"/>
      <c r="AC281" s="30"/>
      <c r="AD281" s="30"/>
      <c r="AE281" s="54"/>
      <c r="AF281" s="54"/>
      <c r="AG281" s="153">
        <v>6</v>
      </c>
    </row>
    <row r="282" spans="1:34" s="2" customFormat="1" ht="45" customHeight="1">
      <c r="A282" s="293">
        <f t="shared" si="10"/>
        <v>275</v>
      </c>
      <c r="B282" s="28" t="s">
        <v>327</v>
      </c>
      <c r="C282" s="296" t="s">
        <v>1635</v>
      </c>
      <c r="D282" s="56">
        <f>IF(F282="","",SUBTOTAL(3,$F$6:F282))</f>
        <v>276</v>
      </c>
      <c r="E282" s="36" t="s">
        <v>23</v>
      </c>
      <c r="F282" s="106" t="s">
        <v>1767</v>
      </c>
      <c r="G282" s="40" t="s">
        <v>799</v>
      </c>
      <c r="H282" s="83" t="str">
        <f>IF($G282&lt;&gt;"",VLOOKUP($G282,'WPS '!C$5:M$209,3,FALSE),"")</f>
        <v>FCAW</v>
      </c>
      <c r="I282" s="22" t="s">
        <v>1018</v>
      </c>
      <c r="J282" s="77" t="s">
        <v>1658</v>
      </c>
      <c r="K282" s="69" t="s">
        <v>1479</v>
      </c>
      <c r="L282" s="22" t="str">
        <f>IF($G282&lt;&gt;"",VLOOKUP($G282,'WPS '!C$5:M$209,8,FALSE),"")</f>
        <v>EC409</v>
      </c>
      <c r="M282" s="76" t="s">
        <v>1019</v>
      </c>
      <c r="N282" s="21">
        <v>45216</v>
      </c>
      <c r="O282" s="21">
        <v>44400</v>
      </c>
      <c r="P282" s="21">
        <f t="shared" si="9"/>
        <v>46045</v>
      </c>
      <c r="Q282" s="164" t="str">
        <f>IF($G282&lt;&gt;"",VLOOKUP($G282,'WPS '!C$5:M$209,11,FALSE),"")</f>
        <v>AWS D1.1</v>
      </c>
      <c r="R282" s="147" t="str">
        <f>IF($G282&lt;&gt;"",VLOOKUP($G282,'WPS '!$C$5:$M$209,2,FALSE),"")</f>
        <v>OSR-WPS-D1.1-FC-071</v>
      </c>
      <c r="S282" s="30"/>
      <c r="T282" s="30"/>
      <c r="U282" s="30"/>
      <c r="V282" s="30"/>
      <c r="W282" s="30"/>
      <c r="X282" s="30"/>
      <c r="Y282" s="30"/>
      <c r="Z282" s="30"/>
      <c r="AA282" s="30"/>
      <c r="AB282" s="30"/>
      <c r="AC282" s="30"/>
      <c r="AD282" s="30"/>
      <c r="AE282" s="54"/>
      <c r="AF282" s="54"/>
      <c r="AG282" s="153">
        <v>9</v>
      </c>
    </row>
    <row r="283" spans="1:34" s="2" customFormat="1" ht="45" customHeight="1">
      <c r="A283" s="293">
        <f t="shared" si="10"/>
        <v>276</v>
      </c>
      <c r="B283" s="28" t="s">
        <v>327</v>
      </c>
      <c r="C283" s="296" t="s">
        <v>1635</v>
      </c>
      <c r="D283" s="56">
        <f>IF(F283="","",SUBTOTAL(3,$F$6:F283))</f>
        <v>277</v>
      </c>
      <c r="E283" s="34" t="s">
        <v>23</v>
      </c>
      <c r="F283" s="107" t="s">
        <v>1767</v>
      </c>
      <c r="G283" s="39" t="s">
        <v>1191</v>
      </c>
      <c r="H283" s="83" t="str">
        <f>IF($G283&lt;&gt;"",VLOOKUP($G283,'WPS '!C$5:M$209,3,FALSE),"")</f>
        <v>GTAW
FCAW</v>
      </c>
      <c r="I283" s="22" t="s">
        <v>1212</v>
      </c>
      <c r="J283" s="77" t="s">
        <v>1213</v>
      </c>
      <c r="K283" s="69" t="s">
        <v>1399</v>
      </c>
      <c r="L283" s="22" t="str">
        <f>IF($G283&lt;&gt;"",VLOOKUP($G283,'WPS '!C$5:M$209,8,FALSE),"")</f>
        <v>ER 308L
E308LT1-1/-4</v>
      </c>
      <c r="M283" s="76" t="s">
        <v>1211</v>
      </c>
      <c r="N283" s="21">
        <v>45898</v>
      </c>
      <c r="O283" s="21">
        <v>45906</v>
      </c>
      <c r="P283" s="21">
        <f t="shared" si="9"/>
        <v>46271</v>
      </c>
      <c r="Q283" s="164" t="str">
        <f>IF($G283&lt;&gt;"",VLOOKUP($G283,'WPS '!C$5:M$209,11,FALSE),"")</f>
        <v>AWS D1.6</v>
      </c>
      <c r="R283" s="147" t="str">
        <f>IF($G283&lt;&gt;"",VLOOKUP($G283,'WPS '!$C$5:$M$209,2,FALSE),"")</f>
        <v>OSR-WPS-D1.6-GT+FC-105</v>
      </c>
      <c r="S283" s="30"/>
      <c r="T283" s="30"/>
      <c r="U283" s="30"/>
      <c r="V283" s="30"/>
      <c r="W283" s="30"/>
      <c r="X283" s="30"/>
      <c r="Y283" s="30"/>
      <c r="Z283" s="30"/>
      <c r="AA283" s="30"/>
      <c r="AB283" s="30"/>
      <c r="AC283" s="30" t="s">
        <v>95</v>
      </c>
      <c r="AD283" s="30" t="s">
        <v>356</v>
      </c>
      <c r="AE283" s="54"/>
      <c r="AF283" s="54" t="s">
        <v>356</v>
      </c>
      <c r="AG283" s="153">
        <v>2</v>
      </c>
    </row>
    <row r="284" spans="1:34" s="2" customFormat="1" ht="45" customHeight="1">
      <c r="A284" s="293">
        <f t="shared" si="10"/>
        <v>277</v>
      </c>
      <c r="B284" s="5" t="s">
        <v>326</v>
      </c>
      <c r="C284" s="296" t="s">
        <v>1635</v>
      </c>
      <c r="D284" s="56">
        <f>IF(F284="","",SUBTOTAL(3,$F$6:F284))</f>
        <v>278</v>
      </c>
      <c r="E284" s="34" t="s">
        <v>26</v>
      </c>
      <c r="F284" s="107" t="s">
        <v>1766</v>
      </c>
      <c r="G284" s="40" t="s">
        <v>661</v>
      </c>
      <c r="H284" s="83">
        <f>IF($G284&lt;&gt;"",VLOOKUP($G284,'WPS '!C$5:M$209,3,FALSE),"")</f>
        <v>136</v>
      </c>
      <c r="I284" s="22" t="s">
        <v>1251</v>
      </c>
      <c r="J284" s="22" t="s">
        <v>1682</v>
      </c>
      <c r="K284" s="69" t="s">
        <v>884</v>
      </c>
      <c r="L284" s="22" t="str">
        <f>IF($G284&lt;&gt;"",VLOOKUP($G284,'WPS '!C$5:M$209,8,FALSE),"")</f>
        <v>E71T-1C</v>
      </c>
      <c r="M284" s="76" t="s">
        <v>27</v>
      </c>
      <c r="N284" s="21">
        <v>45001</v>
      </c>
      <c r="O284" s="21">
        <v>45003</v>
      </c>
      <c r="P284" s="21">
        <f t="shared" si="9"/>
        <v>46099</v>
      </c>
      <c r="Q284" s="164" t="s">
        <v>1811</v>
      </c>
      <c r="R284" s="147" t="str">
        <f>IF($G284&lt;&gt;"",VLOOKUP($G284,'WPS '!$C$5:$M$209,2,FALSE),"")</f>
        <v>OSR-WPS-ISO-PC+PF-005</v>
      </c>
      <c r="S284" s="30"/>
      <c r="T284" s="30"/>
      <c r="U284" s="30"/>
      <c r="V284" s="30"/>
      <c r="W284" s="30" t="s">
        <v>356</v>
      </c>
      <c r="X284" s="30" t="s">
        <v>95</v>
      </c>
      <c r="Y284" s="30"/>
      <c r="Z284" s="30"/>
      <c r="AA284" s="30"/>
      <c r="AB284" s="30"/>
      <c r="AC284" s="30"/>
      <c r="AD284" s="30"/>
      <c r="AE284" s="54"/>
      <c r="AF284" s="54"/>
      <c r="AG284" s="66">
        <v>6</v>
      </c>
      <c r="AH284" s="115"/>
    </row>
    <row r="285" spans="1:34" s="2" customFormat="1" ht="45" customHeight="1">
      <c r="A285" s="293">
        <f t="shared" si="10"/>
        <v>278</v>
      </c>
      <c r="B285" s="5" t="s">
        <v>326</v>
      </c>
      <c r="C285" s="296" t="s">
        <v>1635</v>
      </c>
      <c r="D285" s="56">
        <f>IF(F285="","",SUBTOTAL(3,$F$6:F285))</f>
        <v>279</v>
      </c>
      <c r="E285" s="34" t="s">
        <v>26</v>
      </c>
      <c r="F285" s="107" t="s">
        <v>1766</v>
      </c>
      <c r="G285" s="40" t="s">
        <v>684</v>
      </c>
      <c r="H285" s="83">
        <f>IF($G285&lt;&gt;"",VLOOKUP($G285,'WPS '!C$5:M$209,3,FALSE),"")</f>
        <v>136</v>
      </c>
      <c r="I285" s="22" t="s">
        <v>1252</v>
      </c>
      <c r="J285" s="22" t="s">
        <v>256</v>
      </c>
      <c r="K285" s="69" t="s">
        <v>884</v>
      </c>
      <c r="L285" s="22" t="str">
        <f>IF($G285&lt;&gt;"",VLOOKUP($G285,'WPS '!C$5:M$209,8,FALSE),"")</f>
        <v>E81T1-Ni1J-C</v>
      </c>
      <c r="M285" s="76" t="s">
        <v>75</v>
      </c>
      <c r="N285" s="21">
        <v>45498</v>
      </c>
      <c r="O285" s="21">
        <v>45502</v>
      </c>
      <c r="P285" s="21">
        <f t="shared" si="9"/>
        <v>46051</v>
      </c>
      <c r="Q285" s="164" t="s">
        <v>1811</v>
      </c>
      <c r="R285" s="147" t="str">
        <f>IF($G285&lt;&gt;"",VLOOKUP($G285,'WPS '!$C$5:$M$209,2,FALSE),"")</f>
        <v>OSR-WPS-ISO-PF-029</v>
      </c>
      <c r="S285" s="30"/>
      <c r="T285" s="30"/>
      <c r="U285" s="30"/>
      <c r="V285" s="30"/>
      <c r="W285" s="30"/>
      <c r="X285" s="30"/>
      <c r="Y285" s="30"/>
      <c r="Z285" s="30"/>
      <c r="AA285" s="30"/>
      <c r="AB285" s="30"/>
      <c r="AC285" s="30"/>
      <c r="AD285" s="30"/>
      <c r="AE285" s="54"/>
      <c r="AF285" s="54"/>
      <c r="AG285" s="67">
        <v>3</v>
      </c>
      <c r="AH285" s="115"/>
    </row>
    <row r="286" spans="1:34" s="2" customFormat="1" ht="45" customHeight="1">
      <c r="A286" s="293">
        <f t="shared" si="10"/>
        <v>279</v>
      </c>
      <c r="B286" s="5" t="s">
        <v>326</v>
      </c>
      <c r="C286" s="296" t="s">
        <v>1635</v>
      </c>
      <c r="D286" s="56">
        <f>IF(F286="","",SUBTOTAL(3,$F$6:F286))</f>
        <v>280</v>
      </c>
      <c r="E286" s="34" t="s">
        <v>26</v>
      </c>
      <c r="F286" s="107" t="s">
        <v>1766</v>
      </c>
      <c r="G286" s="40" t="s">
        <v>701</v>
      </c>
      <c r="H286" s="83">
        <f>IF($G286&lt;&gt;"",VLOOKUP($G286,'WPS '!C$5:M$209,3,FALSE),"")</f>
        <v>136</v>
      </c>
      <c r="I286" s="22" t="s">
        <v>1250</v>
      </c>
      <c r="J286" s="22" t="s">
        <v>257</v>
      </c>
      <c r="K286" s="69" t="s">
        <v>884</v>
      </c>
      <c r="L286" s="22" t="str">
        <f>IF($G286&lt;&gt;"",VLOOKUP($G286,'WPS '!C$5:M$209,8,FALSE),"")</f>
        <v>E81T1-W2C</v>
      </c>
      <c r="M286" s="76" t="s">
        <v>143</v>
      </c>
      <c r="N286" s="21">
        <v>45724</v>
      </c>
      <c r="O286" s="21">
        <v>45731</v>
      </c>
      <c r="P286" s="21">
        <f t="shared" si="9"/>
        <v>46096</v>
      </c>
      <c r="Q286" s="164" t="s">
        <v>1811</v>
      </c>
      <c r="R286" s="147" t="str">
        <f>IF($G286&lt;&gt;"",VLOOKUP($G286,'WPS '!$C$5:$M$209,2,FALSE),"")</f>
        <v>OSR-WPS-ISO-PC-046</v>
      </c>
      <c r="S286" s="30"/>
      <c r="T286" s="30"/>
      <c r="U286" s="30"/>
      <c r="V286" s="30"/>
      <c r="W286" s="30"/>
      <c r="X286" s="30" t="s">
        <v>95</v>
      </c>
      <c r="Y286" s="30"/>
      <c r="Z286" s="30"/>
      <c r="AA286" s="30"/>
      <c r="AB286" s="30"/>
      <c r="AC286" s="30"/>
      <c r="AD286" s="30"/>
      <c r="AE286" s="54"/>
      <c r="AF286" s="54"/>
      <c r="AG286" s="66">
        <v>2</v>
      </c>
      <c r="AH286" s="115"/>
    </row>
    <row r="287" spans="1:34" s="2" customFormat="1" ht="45" customHeight="1">
      <c r="A287" s="293">
        <f t="shared" si="10"/>
        <v>280</v>
      </c>
      <c r="B287" s="5" t="s">
        <v>326</v>
      </c>
      <c r="C287" s="296" t="s">
        <v>1635</v>
      </c>
      <c r="D287" s="56">
        <f>IF(F287="","",SUBTOTAL(3,$F$6:F287))</f>
        <v>281</v>
      </c>
      <c r="E287" s="34" t="s">
        <v>26</v>
      </c>
      <c r="F287" s="107" t="s">
        <v>1766</v>
      </c>
      <c r="G287" s="40" t="s">
        <v>708</v>
      </c>
      <c r="H287" s="83">
        <f>IF($G287&lt;&gt;"",VLOOKUP($G287,'WPS '!C$5:M$209,3,FALSE),"")</f>
        <v>136</v>
      </c>
      <c r="I287" s="22" t="s">
        <v>1251</v>
      </c>
      <c r="J287" s="22" t="s">
        <v>242</v>
      </c>
      <c r="K287" s="69" t="s">
        <v>884</v>
      </c>
      <c r="L287" s="22" t="str">
        <f>IF($G287&lt;&gt;"",VLOOKUP($G287,'WPS '!C$5:M$209,8,FALSE),"")</f>
        <v>E71T-1C</v>
      </c>
      <c r="M287" s="76" t="s">
        <v>90</v>
      </c>
      <c r="N287" s="21">
        <v>45787</v>
      </c>
      <c r="O287" s="21">
        <v>45799</v>
      </c>
      <c r="P287" s="21">
        <f t="shared" si="9"/>
        <v>46164</v>
      </c>
      <c r="Q287" s="164" t="s">
        <v>1811</v>
      </c>
      <c r="R287" s="147" t="str">
        <f>IF($G287&lt;&gt;"",VLOOKUP($G287,'WPS '!$C$5:$M$209,2,FALSE),"")</f>
        <v>OSR-WPS-ISO-PF-053</v>
      </c>
      <c r="S287" s="30"/>
      <c r="T287" s="30"/>
      <c r="U287" s="30"/>
      <c r="V287" s="30"/>
      <c r="W287" s="30"/>
      <c r="X287" s="30"/>
      <c r="Y287" s="30" t="s">
        <v>95</v>
      </c>
      <c r="Z287" s="30"/>
      <c r="AA287" s="30"/>
      <c r="AB287" s="30"/>
      <c r="AC287" s="30"/>
      <c r="AD287" s="30"/>
      <c r="AE287" s="54"/>
      <c r="AF287" s="54"/>
      <c r="AG287" s="66">
        <v>2</v>
      </c>
      <c r="AH287" s="115"/>
    </row>
    <row r="288" spans="1:34" s="2" customFormat="1" ht="45" customHeight="1">
      <c r="A288" s="293">
        <f t="shared" si="10"/>
        <v>281</v>
      </c>
      <c r="B288" s="5" t="s">
        <v>326</v>
      </c>
      <c r="C288" s="296" t="s">
        <v>1635</v>
      </c>
      <c r="D288" s="56">
        <f>IF(F288="","",SUBTOTAL(3,$F$6:F288))</f>
        <v>282</v>
      </c>
      <c r="E288" s="34" t="s">
        <v>26</v>
      </c>
      <c r="F288" s="107" t="s">
        <v>1766</v>
      </c>
      <c r="G288" s="40" t="s">
        <v>1237</v>
      </c>
      <c r="H288" s="83">
        <f>IF($G288&lt;&gt;"",VLOOKUP($G288,'WPS '!C$5:M$209,3,FALSE),"")</f>
        <v>136</v>
      </c>
      <c r="I288" s="22" t="s">
        <v>1251</v>
      </c>
      <c r="J288" s="22" t="s">
        <v>244</v>
      </c>
      <c r="K288" s="69" t="s">
        <v>884</v>
      </c>
      <c r="L288" s="22" t="str">
        <f>IF($G288&lt;&gt;"",VLOOKUP($G288,'WPS '!C$5:M$209,8,FALSE),"")</f>
        <v>E71T-1C</v>
      </c>
      <c r="M288" s="76" t="s">
        <v>1260</v>
      </c>
      <c r="N288" s="21">
        <v>45906</v>
      </c>
      <c r="O288" s="21">
        <v>45909</v>
      </c>
      <c r="P288" s="21">
        <f t="shared" si="9"/>
        <v>46274</v>
      </c>
      <c r="Q288" s="164" t="s">
        <v>1811</v>
      </c>
      <c r="R288" s="147" t="str">
        <f>IF($G288&lt;&gt;"",VLOOKUP($G288,'WPS '!$C$5:$M$209,2,FALSE),"")</f>
        <v>OSR-WPS-ISO-PF-077</v>
      </c>
      <c r="S288" s="30"/>
      <c r="T288" s="30"/>
      <c r="U288" s="30"/>
      <c r="V288" s="30"/>
      <c r="W288" s="30"/>
      <c r="X288" s="30"/>
      <c r="Y288" s="30"/>
      <c r="Z288" s="30" t="s">
        <v>95</v>
      </c>
      <c r="AA288" s="30"/>
      <c r="AB288" s="30"/>
      <c r="AC288" s="30"/>
      <c r="AD288" s="30"/>
      <c r="AE288" s="54"/>
      <c r="AF288" s="54"/>
      <c r="AG288" s="66">
        <v>2</v>
      </c>
      <c r="AH288" s="115"/>
    </row>
    <row r="289" spans="1:34" s="2" customFormat="1" ht="45" customHeight="1">
      <c r="A289" s="293">
        <f t="shared" si="10"/>
        <v>282</v>
      </c>
      <c r="B289" s="28" t="s">
        <v>326</v>
      </c>
      <c r="C289" s="295" t="s">
        <v>1635</v>
      </c>
      <c r="D289" s="56">
        <f>IF(F289="","",SUBTOTAL(3,$F$6:F289))</f>
        <v>283</v>
      </c>
      <c r="E289" s="34" t="s">
        <v>26</v>
      </c>
      <c r="F289" s="107" t="s">
        <v>1766</v>
      </c>
      <c r="G289" s="39" t="s">
        <v>719</v>
      </c>
      <c r="H289" s="83" t="str">
        <f>IF($G289&lt;&gt;"",VLOOKUP($G289,'WPS '!C$5:M$209,3,FALSE),"")</f>
        <v>FCAW</v>
      </c>
      <c r="I289" s="22" t="s">
        <v>850</v>
      </c>
      <c r="J289" s="22" t="s">
        <v>1215</v>
      </c>
      <c r="K289" s="69" t="s">
        <v>964</v>
      </c>
      <c r="L289" s="22" t="str">
        <f>IF($G289&lt;&gt;"",VLOOKUP($G289,'WPS '!C$5:M$209,8,FALSE),"")</f>
        <v>E71T-1C</v>
      </c>
      <c r="M289" s="76" t="s">
        <v>275</v>
      </c>
      <c r="N289" s="21">
        <v>45586</v>
      </c>
      <c r="O289" s="21">
        <v>45590</v>
      </c>
      <c r="P289" s="21">
        <f t="shared" si="9"/>
        <v>46137</v>
      </c>
      <c r="Q289" s="164" t="str">
        <f>IF($G289&lt;&gt;"",VLOOKUP($G289,'WPS '!C$5:M$209,11,FALSE),"")</f>
        <v>ASME IX</v>
      </c>
      <c r="R289" s="147" t="str">
        <f>IF($G289&lt;&gt;"",VLOOKUP($G289,'WPS '!$C$5:$M$209,2,FALSE),"")</f>
        <v>OSR-WPS-ASME-FC-002</v>
      </c>
      <c r="S289" s="30" t="s">
        <v>356</v>
      </c>
      <c r="T289" s="30"/>
      <c r="U289" s="30"/>
      <c r="V289" s="30"/>
      <c r="W289" s="62"/>
      <c r="X289" s="30"/>
      <c r="Y289" s="32"/>
      <c r="Z289" s="32"/>
      <c r="AA289" s="32"/>
      <c r="AB289" s="62"/>
      <c r="AC289" s="62"/>
      <c r="AD289" s="62"/>
      <c r="AE289" s="146"/>
      <c r="AF289" s="146"/>
      <c r="AG289" s="67">
        <v>3</v>
      </c>
      <c r="AH289" s="18"/>
    </row>
    <row r="290" spans="1:34" s="2" customFormat="1" ht="45" customHeight="1">
      <c r="A290" s="293">
        <f t="shared" si="10"/>
        <v>283</v>
      </c>
      <c r="B290" s="28" t="s">
        <v>326</v>
      </c>
      <c r="C290" s="296" t="s">
        <v>1635</v>
      </c>
      <c r="D290" s="56">
        <f>IF(F290="","",SUBTOTAL(3,$F$6:F290))</f>
        <v>284</v>
      </c>
      <c r="E290" s="34" t="s">
        <v>26</v>
      </c>
      <c r="F290" s="107" t="s">
        <v>1766</v>
      </c>
      <c r="G290" s="40" t="s">
        <v>735</v>
      </c>
      <c r="H290" s="83" t="str">
        <f>IF($G290&lt;&gt;"",VLOOKUP($G290,'WPS '!C$5:M$209,3,FALSE),"")</f>
        <v>FCAW</v>
      </c>
      <c r="I290" s="22" t="s">
        <v>1499</v>
      </c>
      <c r="J290" s="77" t="s">
        <v>1215</v>
      </c>
      <c r="K290" s="69" t="s">
        <v>1480</v>
      </c>
      <c r="L290" s="22" t="str">
        <f>IF($G290&lt;&gt;"",VLOOKUP($G290,'WPS '!C$5:M$209,8,FALSE),"")</f>
        <v>E71T-1C</v>
      </c>
      <c r="M290" s="76" t="s">
        <v>1072</v>
      </c>
      <c r="N290" s="21">
        <v>44393</v>
      </c>
      <c r="O290" s="21">
        <v>44400</v>
      </c>
      <c r="P290" s="21">
        <f t="shared" si="9"/>
        <v>46045</v>
      </c>
      <c r="Q290" s="164" t="str">
        <f>IF($G290&lt;&gt;"",VLOOKUP($G290,'WPS '!C$5:M$209,11,FALSE),"")</f>
        <v>AWS D1.1</v>
      </c>
      <c r="R290" s="147" t="str">
        <f>IF($G290&lt;&gt;"",VLOOKUP($G290,'WPS '!$C$5:$M$209,2,FALSE),"")</f>
        <v>OSR-WPS-D1.1-FC-007</v>
      </c>
      <c r="S290" s="30"/>
      <c r="T290" s="30" t="s">
        <v>356</v>
      </c>
      <c r="U290" s="30" t="s">
        <v>356</v>
      </c>
      <c r="V290" s="30" t="s">
        <v>356</v>
      </c>
      <c r="W290" s="30"/>
      <c r="X290" s="30"/>
      <c r="Y290" s="30"/>
      <c r="Z290" s="30"/>
      <c r="AA290" s="30"/>
      <c r="AB290" s="30"/>
      <c r="AC290" s="30" t="s">
        <v>356</v>
      </c>
      <c r="AD290" s="30" t="s">
        <v>356</v>
      </c>
      <c r="AE290" s="54" t="s">
        <v>356</v>
      </c>
      <c r="AF290" s="54"/>
      <c r="AG290" s="153">
        <v>9</v>
      </c>
    </row>
    <row r="291" spans="1:34" ht="45" customHeight="1">
      <c r="A291" s="293">
        <f t="shared" si="10"/>
        <v>284</v>
      </c>
      <c r="B291" s="28" t="s">
        <v>326</v>
      </c>
      <c r="C291" s="296" t="s">
        <v>1635</v>
      </c>
      <c r="D291" s="56">
        <f>IF(F291="","",SUBTOTAL(3,$F$6:F291))</f>
        <v>285</v>
      </c>
      <c r="E291" s="34" t="s">
        <v>26</v>
      </c>
      <c r="F291" s="107" t="s">
        <v>1766</v>
      </c>
      <c r="G291" s="40" t="s">
        <v>750</v>
      </c>
      <c r="H291" s="83" t="str">
        <f>IF($G291&lt;&gt;"",VLOOKUP($G291,'WPS '!C$5:M$209,3,FALSE),"")</f>
        <v>FCAW</v>
      </c>
      <c r="I291" s="22" t="s">
        <v>1492</v>
      </c>
      <c r="J291" s="77" t="s">
        <v>1215</v>
      </c>
      <c r="K291" s="69" t="s">
        <v>1480</v>
      </c>
      <c r="L291" s="22" t="str">
        <f>IF($G291&lt;&gt;"",VLOOKUP($G291,'WPS '!C$5:M$209,8,FALSE),"")</f>
        <v>E81T1-B2C</v>
      </c>
      <c r="M291" s="76" t="s">
        <v>1084</v>
      </c>
      <c r="N291" s="21">
        <v>44393</v>
      </c>
      <c r="O291" s="21">
        <v>44400</v>
      </c>
      <c r="P291" s="21">
        <f t="shared" si="9"/>
        <v>46045</v>
      </c>
      <c r="Q291" s="164" t="str">
        <f>IF($G291&lt;&gt;"",VLOOKUP($G291,'WPS '!C$5:M$209,11,FALSE),"")</f>
        <v>AWS D1.1</v>
      </c>
      <c r="R291" s="147" t="str">
        <f>IF($G291&lt;&gt;"",VLOOKUP($G291,'WPS '!$C$5:$M$209,2,FALSE),"")</f>
        <v>OSR-WPS-D1.1-FC-022</v>
      </c>
      <c r="S291" s="30"/>
      <c r="T291" s="30"/>
      <c r="U291" s="30"/>
      <c r="V291" s="30"/>
      <c r="W291" s="30"/>
      <c r="X291" s="30"/>
      <c r="Y291" s="30"/>
      <c r="Z291" s="30"/>
      <c r="AA291" s="30"/>
      <c r="AB291" s="30"/>
      <c r="AC291" s="30"/>
      <c r="AD291" s="30"/>
      <c r="AE291" s="54"/>
      <c r="AF291" s="54"/>
      <c r="AG291" s="153">
        <v>9</v>
      </c>
    </row>
    <row r="292" spans="1:34" ht="45" customHeight="1">
      <c r="A292" s="293">
        <f t="shared" si="10"/>
        <v>285</v>
      </c>
      <c r="B292" s="28" t="s">
        <v>326</v>
      </c>
      <c r="C292" s="296" t="s">
        <v>1635</v>
      </c>
      <c r="D292" s="56">
        <f>IF(F292="","",SUBTOTAL(3,$F$6:F292))</f>
        <v>286</v>
      </c>
      <c r="E292" s="34" t="s">
        <v>26</v>
      </c>
      <c r="F292" s="107" t="s">
        <v>1766</v>
      </c>
      <c r="G292" s="40" t="s">
        <v>1153</v>
      </c>
      <c r="H292" s="83" t="str">
        <f>IF($G292&lt;&gt;"",VLOOKUP($G292,'WPS '!C$5:M$209,3,FALSE),"")</f>
        <v>FCAW</v>
      </c>
      <c r="I292" s="22" t="s">
        <v>1403</v>
      </c>
      <c r="J292" s="77" t="s">
        <v>1214</v>
      </c>
      <c r="K292" s="69" t="s">
        <v>1290</v>
      </c>
      <c r="L292" s="22" t="str">
        <f>IF($G292&lt;&gt;"",VLOOKUP($G292,'WPS '!C$5:M$209,8,FALSE),"")</f>
        <v>E71T-1C</v>
      </c>
      <c r="M292" s="76" t="s">
        <v>1183</v>
      </c>
      <c r="N292" s="21">
        <v>45900</v>
      </c>
      <c r="O292" s="21">
        <v>45906</v>
      </c>
      <c r="P292" s="21">
        <f t="shared" si="9"/>
        <v>46271</v>
      </c>
      <c r="Q292" s="164" t="str">
        <f>IF($G292&lt;&gt;"",VLOOKUP($G292,'WPS '!C$5:M$209,11,FALSE),"")</f>
        <v>AWS D1.1</v>
      </c>
      <c r="R292" s="147" t="str">
        <f>IF($G292&lt;&gt;"",VLOOKUP($G292,'WPS '!$C$5:$M$209,2,FALSE),"")</f>
        <v>OSR-WPS-D1.1-FC-094</v>
      </c>
      <c r="S292" s="30"/>
      <c r="T292" s="30"/>
      <c r="U292" s="30"/>
      <c r="V292" s="30"/>
      <c r="W292" s="30"/>
      <c r="X292" s="30"/>
      <c r="Y292" s="30"/>
      <c r="Z292" s="30"/>
      <c r="AA292" s="30"/>
      <c r="AB292" s="30"/>
      <c r="AC292" s="30" t="s">
        <v>95</v>
      </c>
      <c r="AD292" s="30" t="s">
        <v>356</v>
      </c>
      <c r="AE292" s="54"/>
      <c r="AF292" s="54" t="s">
        <v>356</v>
      </c>
      <c r="AG292" s="153">
        <v>2</v>
      </c>
    </row>
    <row r="293" spans="1:34" ht="45" customHeight="1">
      <c r="A293" s="293">
        <f t="shared" si="10"/>
        <v>286</v>
      </c>
      <c r="B293" s="5" t="s">
        <v>326</v>
      </c>
      <c r="C293" s="296" t="s">
        <v>1635</v>
      </c>
      <c r="D293" s="56">
        <f>IF(F293="","",SUBTOTAL(3,$F$6:F293))</f>
        <v>287</v>
      </c>
      <c r="E293" s="34" t="s">
        <v>117</v>
      </c>
      <c r="F293" s="108" t="s">
        <v>1689</v>
      </c>
      <c r="G293" s="40" t="s">
        <v>661</v>
      </c>
      <c r="H293" s="83">
        <f>IF($G293&lt;&gt;"",VLOOKUP($G293,'WPS '!C$5:M$209,3,FALSE),"")</f>
        <v>136</v>
      </c>
      <c r="I293" s="22" t="s">
        <v>1250</v>
      </c>
      <c r="J293" s="22" t="s">
        <v>1683</v>
      </c>
      <c r="K293" s="69" t="s">
        <v>884</v>
      </c>
      <c r="L293" s="22" t="str">
        <f>IF($G293&lt;&gt;"",VLOOKUP($G293,'WPS '!C$5:M$209,8,FALSE),"")</f>
        <v>E71T-1C</v>
      </c>
      <c r="M293" s="76" t="s">
        <v>60</v>
      </c>
      <c r="N293" s="21">
        <v>45359</v>
      </c>
      <c r="O293" s="21">
        <v>45362</v>
      </c>
      <c r="P293" s="21">
        <f t="shared" si="9"/>
        <v>46092</v>
      </c>
      <c r="Q293" s="164" t="s">
        <v>1811</v>
      </c>
      <c r="R293" s="147" t="str">
        <f>IF($G293&lt;&gt;"",VLOOKUP($G293,'WPS '!$C$5:$M$209,2,FALSE),"")</f>
        <v>OSR-WPS-ISO-PC+PF-005</v>
      </c>
      <c r="S293" s="30"/>
      <c r="T293" s="30"/>
      <c r="U293" s="30"/>
      <c r="V293" s="30"/>
      <c r="W293" s="30" t="s">
        <v>356</v>
      </c>
      <c r="X293" s="30" t="s">
        <v>95</v>
      </c>
      <c r="Y293" s="30"/>
      <c r="Z293" s="30"/>
      <c r="AA293" s="30"/>
      <c r="AB293" s="30"/>
      <c r="AC293" s="30"/>
      <c r="AD293" s="30"/>
      <c r="AE293" s="54"/>
      <c r="AF293" s="54"/>
      <c r="AG293" s="66">
        <v>4</v>
      </c>
      <c r="AH293" s="115"/>
    </row>
    <row r="294" spans="1:34" ht="45" customHeight="1">
      <c r="A294" s="293">
        <f t="shared" si="10"/>
        <v>287</v>
      </c>
      <c r="B294" s="5" t="s">
        <v>326</v>
      </c>
      <c r="C294" s="296" t="s">
        <v>1635</v>
      </c>
      <c r="D294" s="56">
        <f>IF(F294="","",SUBTOTAL(3,$F$6:F294))</f>
        <v>288</v>
      </c>
      <c r="E294" s="34" t="s">
        <v>117</v>
      </c>
      <c r="F294" s="108" t="s">
        <v>1689</v>
      </c>
      <c r="G294" s="40" t="s">
        <v>701</v>
      </c>
      <c r="H294" s="83">
        <f>IF($G294&lt;&gt;"",VLOOKUP($G294,'WPS '!C$5:M$209,3,FALSE),"")</f>
        <v>136</v>
      </c>
      <c r="I294" s="22" t="s">
        <v>1250</v>
      </c>
      <c r="J294" s="22" t="s">
        <v>257</v>
      </c>
      <c r="K294" s="69" t="s">
        <v>884</v>
      </c>
      <c r="L294" s="22" t="str">
        <f>IF($G294&lt;&gt;"",VLOOKUP($G294,'WPS '!C$5:M$209,8,FALSE),"")</f>
        <v>E81T1-W2C</v>
      </c>
      <c r="M294" s="76" t="s">
        <v>146</v>
      </c>
      <c r="N294" s="21">
        <v>45724</v>
      </c>
      <c r="O294" s="21">
        <v>45731</v>
      </c>
      <c r="P294" s="21">
        <f t="shared" si="9"/>
        <v>46096</v>
      </c>
      <c r="Q294" s="164" t="s">
        <v>1811</v>
      </c>
      <c r="R294" s="147" t="str">
        <f>IF($G294&lt;&gt;"",VLOOKUP($G294,'WPS '!$C$5:$M$209,2,FALSE),"")</f>
        <v>OSR-WPS-ISO-PC-046</v>
      </c>
      <c r="S294" s="30"/>
      <c r="T294" s="30"/>
      <c r="U294" s="30"/>
      <c r="V294" s="30"/>
      <c r="W294" s="30"/>
      <c r="X294" s="30" t="s">
        <v>95</v>
      </c>
      <c r="Y294" s="30"/>
      <c r="Z294" s="30"/>
      <c r="AA294" s="30"/>
      <c r="AB294" s="30"/>
      <c r="AC294" s="30"/>
      <c r="AD294" s="30"/>
      <c r="AE294" s="54"/>
      <c r="AF294" s="54"/>
      <c r="AG294" s="66">
        <v>2</v>
      </c>
      <c r="AH294" s="115"/>
    </row>
    <row r="295" spans="1:34" ht="45" customHeight="1">
      <c r="A295" s="293">
        <f t="shared" si="10"/>
        <v>288</v>
      </c>
      <c r="B295" s="5" t="s">
        <v>326</v>
      </c>
      <c r="C295" s="296" t="s">
        <v>1635</v>
      </c>
      <c r="D295" s="56">
        <f>IF(F295="","",SUBTOTAL(3,$F$6:F295))</f>
        <v>289</v>
      </c>
      <c r="E295" s="34" t="s">
        <v>117</v>
      </c>
      <c r="F295" s="107" t="s">
        <v>1689</v>
      </c>
      <c r="G295" s="40" t="s">
        <v>681</v>
      </c>
      <c r="H295" s="83">
        <f>IF($G295&lt;&gt;"",VLOOKUP($G295,'WPS '!C$5:M$209,3,FALSE),"")</f>
        <v>136</v>
      </c>
      <c r="I295" s="22" t="s">
        <v>1250</v>
      </c>
      <c r="J295" s="22" t="s">
        <v>1676</v>
      </c>
      <c r="K295" s="69" t="s">
        <v>884</v>
      </c>
      <c r="L295" s="22" t="str">
        <f>IF($G295&lt;&gt;"",VLOOKUP($G295,'WPS '!C$5:M$209,8,FALSE),"")</f>
        <v>E71T-1C</v>
      </c>
      <c r="M295" s="76" t="s">
        <v>263</v>
      </c>
      <c r="N295" s="21">
        <v>45862</v>
      </c>
      <c r="O295" s="21">
        <v>45864</v>
      </c>
      <c r="P295" s="21">
        <f t="shared" si="9"/>
        <v>46229</v>
      </c>
      <c r="Q295" s="164" t="s">
        <v>1811</v>
      </c>
      <c r="R295" s="147" t="str">
        <f>IF($G295&lt;&gt;"",VLOOKUP($G295,'WPS '!$C$5:$M$209,2,FALSE),"")</f>
        <v>OSR-WPS-ISO-PF-026</v>
      </c>
      <c r="S295" s="30"/>
      <c r="T295" s="30"/>
      <c r="U295" s="30"/>
      <c r="V295" s="30"/>
      <c r="W295" s="30"/>
      <c r="X295" s="30"/>
      <c r="Y295" s="30"/>
      <c r="Z295" s="30"/>
      <c r="AA295" s="30"/>
      <c r="AB295" s="30" t="s">
        <v>95</v>
      </c>
      <c r="AC295" s="30"/>
      <c r="AD295" s="30"/>
      <c r="AE295" s="54"/>
      <c r="AF295" s="54"/>
      <c r="AG295" s="66">
        <v>2</v>
      </c>
      <c r="AH295" s="115"/>
    </row>
    <row r="296" spans="1:34" ht="45" customHeight="1">
      <c r="A296" s="293">
        <f t="shared" si="10"/>
        <v>289</v>
      </c>
      <c r="B296" s="5" t="s">
        <v>326</v>
      </c>
      <c r="C296" s="296" t="s">
        <v>1635</v>
      </c>
      <c r="D296" s="56">
        <f>IF(F296="","",SUBTOTAL(3,$F$6:F296))</f>
        <v>290</v>
      </c>
      <c r="E296" s="34" t="s">
        <v>117</v>
      </c>
      <c r="F296" s="107" t="s">
        <v>1689</v>
      </c>
      <c r="G296" s="40" t="s">
        <v>1237</v>
      </c>
      <c r="H296" s="83">
        <f>IF($G296&lt;&gt;"",VLOOKUP($G296,'WPS '!C$5:M$209,3,FALSE),"")</f>
        <v>136</v>
      </c>
      <c r="I296" s="22" t="s">
        <v>1250</v>
      </c>
      <c r="J296" s="22" t="s">
        <v>931</v>
      </c>
      <c r="K296" s="69" t="s">
        <v>884</v>
      </c>
      <c r="L296" s="22" t="str">
        <f>IF($G296&lt;&gt;"",VLOOKUP($G296,'WPS '!C$5:M$209,8,FALSE),"")</f>
        <v>E71T-1C</v>
      </c>
      <c r="M296" s="76" t="s">
        <v>1262</v>
      </c>
      <c r="N296" s="21">
        <v>45906</v>
      </c>
      <c r="O296" s="21">
        <v>45909</v>
      </c>
      <c r="P296" s="21">
        <f t="shared" si="9"/>
        <v>46274</v>
      </c>
      <c r="Q296" s="164" t="s">
        <v>1811</v>
      </c>
      <c r="R296" s="147" t="str">
        <f>IF($G296&lt;&gt;"",VLOOKUP($G296,'WPS '!$C$5:$M$209,2,FALSE),"")</f>
        <v>OSR-WPS-ISO-PF-077</v>
      </c>
      <c r="S296" s="30"/>
      <c r="T296" s="30"/>
      <c r="U296" s="30"/>
      <c r="V296" s="30"/>
      <c r="W296" s="30"/>
      <c r="X296" s="30"/>
      <c r="Y296" s="30"/>
      <c r="Z296" s="30" t="s">
        <v>95</v>
      </c>
      <c r="AA296" s="30"/>
      <c r="AB296" s="30"/>
      <c r="AC296" s="30"/>
      <c r="AD296" s="30"/>
      <c r="AE296" s="54"/>
      <c r="AF296" s="54"/>
      <c r="AG296" s="66">
        <v>2</v>
      </c>
      <c r="AH296" s="115"/>
    </row>
    <row r="297" spans="1:34" ht="45" customHeight="1">
      <c r="A297" s="293">
        <f t="shared" si="10"/>
        <v>290</v>
      </c>
      <c r="B297" s="28" t="s">
        <v>326</v>
      </c>
      <c r="C297" s="295" t="s">
        <v>1635</v>
      </c>
      <c r="D297" s="56">
        <f>IF(F297="","",SUBTOTAL(3,$F$6:F297))</f>
        <v>291</v>
      </c>
      <c r="E297" s="34" t="s">
        <v>117</v>
      </c>
      <c r="F297" s="107" t="s">
        <v>1689</v>
      </c>
      <c r="G297" s="39" t="s">
        <v>719</v>
      </c>
      <c r="H297" s="83" t="str">
        <f>IF($G297&lt;&gt;"",VLOOKUP($G297,'WPS '!C$5:M$209,3,FALSE),"")</f>
        <v>FCAW</v>
      </c>
      <c r="I297" s="22" t="s">
        <v>850</v>
      </c>
      <c r="J297" s="22" t="s">
        <v>1215</v>
      </c>
      <c r="K297" s="69" t="s">
        <v>964</v>
      </c>
      <c r="L297" s="22" t="str">
        <f>IF($G297&lt;&gt;"",VLOOKUP($G297,'WPS '!C$5:M$209,8,FALSE),"")</f>
        <v>E71T-1C</v>
      </c>
      <c r="M297" s="76" t="s">
        <v>309</v>
      </c>
      <c r="N297" s="21">
        <v>45586</v>
      </c>
      <c r="O297" s="21">
        <v>45590</v>
      </c>
      <c r="P297" s="21">
        <f t="shared" si="9"/>
        <v>46137</v>
      </c>
      <c r="Q297" s="164" t="str">
        <f>IF($G297&lt;&gt;"",VLOOKUP($G297,'WPS '!C$5:M$209,11,FALSE),"")</f>
        <v>ASME IX</v>
      </c>
      <c r="R297" s="147" t="str">
        <f>IF($G297&lt;&gt;"",VLOOKUP($G297,'WPS '!$C$5:$M$209,2,FALSE),"")</f>
        <v>OSR-WPS-ASME-FC-002</v>
      </c>
      <c r="S297" s="30" t="s">
        <v>356</v>
      </c>
      <c r="T297" s="30"/>
      <c r="U297" s="30"/>
      <c r="V297" s="30"/>
      <c r="W297" s="62"/>
      <c r="X297" s="30"/>
      <c r="Y297" s="32"/>
      <c r="Z297" s="32"/>
      <c r="AA297" s="32"/>
      <c r="AB297" s="62"/>
      <c r="AC297" s="62"/>
      <c r="AD297" s="62"/>
      <c r="AE297" s="146"/>
      <c r="AF297" s="146"/>
      <c r="AG297" s="67">
        <v>3</v>
      </c>
      <c r="AH297" s="18"/>
    </row>
    <row r="298" spans="1:34" ht="45" customHeight="1">
      <c r="A298" s="293">
        <f t="shared" si="10"/>
        <v>291</v>
      </c>
      <c r="B298" s="28" t="s">
        <v>326</v>
      </c>
      <c r="C298" s="295" t="s">
        <v>1635</v>
      </c>
      <c r="D298" s="56">
        <f>IF(F298="","",SUBTOTAL(3,$F$6:F298))</f>
        <v>292</v>
      </c>
      <c r="E298" s="34" t="s">
        <v>117</v>
      </c>
      <c r="F298" s="107" t="s">
        <v>1689</v>
      </c>
      <c r="G298" s="40" t="s">
        <v>724</v>
      </c>
      <c r="H298" s="83" t="str">
        <f>IF($G298&lt;&gt;"",VLOOKUP($G298,'WPS '!C$5:M$209,3,FALSE),"")</f>
        <v>SMAW</v>
      </c>
      <c r="I298" s="22" t="s">
        <v>853</v>
      </c>
      <c r="J298" s="22" t="s">
        <v>1472</v>
      </c>
      <c r="K298" s="69" t="s">
        <v>105</v>
      </c>
      <c r="L298" s="22" t="str">
        <f>IF($G298&lt;&gt;"",VLOOKUP($G298,'WPS '!C$5:M$209,8,FALSE),"")</f>
        <v>ERNiCr 3</v>
      </c>
      <c r="M298" s="76" t="s">
        <v>310</v>
      </c>
      <c r="N298" s="21">
        <v>45720</v>
      </c>
      <c r="O298" s="21">
        <v>45724</v>
      </c>
      <c r="P298" s="21">
        <f t="shared" si="9"/>
        <v>46089</v>
      </c>
      <c r="Q298" s="164" t="str">
        <f>IF($G298&lt;&gt;"",VLOOKUP($G298,'WPS '!C$5:M$209,11,FALSE),"")</f>
        <v>ASME IX</v>
      </c>
      <c r="R298" s="147" t="str">
        <f>IF($G298&lt;&gt;"",VLOOKUP($G298,'WPS '!$C$5:$M$209,2,FALSE),"")</f>
        <v>OSR-WPS-ASME-SM-007</v>
      </c>
      <c r="S298" s="30" t="s">
        <v>95</v>
      </c>
      <c r="T298" s="30"/>
      <c r="U298" s="30"/>
      <c r="V298" s="30"/>
      <c r="W298" s="62"/>
      <c r="X298" s="30"/>
      <c r="Y298" s="32"/>
      <c r="Z298" s="32"/>
      <c r="AA298" s="32"/>
      <c r="AB298" s="62"/>
      <c r="AC298" s="62"/>
      <c r="AD298" s="62"/>
      <c r="AE298" s="146"/>
      <c r="AF298" s="146"/>
      <c r="AG298" s="66">
        <v>2</v>
      </c>
      <c r="AH298" s="28" t="s">
        <v>1533</v>
      </c>
    </row>
    <row r="299" spans="1:34" ht="45" customHeight="1">
      <c r="A299" s="293">
        <f t="shared" si="10"/>
        <v>292</v>
      </c>
      <c r="B299" s="28" t="s">
        <v>326</v>
      </c>
      <c r="C299" s="296" t="s">
        <v>1635</v>
      </c>
      <c r="D299" s="56">
        <f>IF(F299="","",SUBTOTAL(3,$F$6:F299))</f>
        <v>293</v>
      </c>
      <c r="E299" s="34" t="s">
        <v>117</v>
      </c>
      <c r="F299" s="107" t="s">
        <v>1689</v>
      </c>
      <c r="G299" s="39" t="s">
        <v>735</v>
      </c>
      <c r="H299" s="83" t="str">
        <f>IF($G299&lt;&gt;"",VLOOKUP($G299,'WPS '!C$5:M$209,3,FALSE),"")</f>
        <v>FCAW</v>
      </c>
      <c r="I299" s="22" t="s">
        <v>1499</v>
      </c>
      <c r="J299" s="77" t="s">
        <v>1215</v>
      </c>
      <c r="K299" s="69" t="s">
        <v>1480</v>
      </c>
      <c r="L299" s="22" t="str">
        <f>IF($G299&lt;&gt;"",VLOOKUP($G299,'WPS '!C$5:M$209,8,FALSE),"")</f>
        <v>E71T-1C</v>
      </c>
      <c r="M299" s="76" t="s">
        <v>1073</v>
      </c>
      <c r="N299" s="21">
        <v>44393</v>
      </c>
      <c r="O299" s="21">
        <v>44400</v>
      </c>
      <c r="P299" s="21">
        <f t="shared" si="9"/>
        <v>46045</v>
      </c>
      <c r="Q299" s="164" t="str">
        <f>IF($G299&lt;&gt;"",VLOOKUP($G299,'WPS '!C$5:M$209,11,FALSE),"")</f>
        <v>AWS D1.1</v>
      </c>
      <c r="R299" s="147" t="str">
        <f>IF($G299&lt;&gt;"",VLOOKUP($G299,'WPS '!$C$5:$M$209,2,FALSE),"")</f>
        <v>OSR-WPS-D1.1-FC-007</v>
      </c>
      <c r="S299" s="30"/>
      <c r="T299" s="30" t="s">
        <v>356</v>
      </c>
      <c r="U299" s="30" t="s">
        <v>356</v>
      </c>
      <c r="V299" s="32" t="s">
        <v>356</v>
      </c>
      <c r="W299" s="32"/>
      <c r="X299" s="32"/>
      <c r="Y299" s="32"/>
      <c r="Z299" s="32"/>
      <c r="AA299" s="32"/>
      <c r="AB299" s="32"/>
      <c r="AC299" s="62" t="s">
        <v>356</v>
      </c>
      <c r="AD299" s="62" t="s">
        <v>356</v>
      </c>
      <c r="AE299" s="146"/>
      <c r="AF299" s="146"/>
      <c r="AG299" s="153">
        <v>9</v>
      </c>
    </row>
    <row r="300" spans="1:34" ht="45" customHeight="1">
      <c r="A300" s="293">
        <f t="shared" si="10"/>
        <v>293</v>
      </c>
      <c r="B300" s="28" t="s">
        <v>326</v>
      </c>
      <c r="C300" s="296" t="s">
        <v>1635</v>
      </c>
      <c r="D300" s="56">
        <f>IF(F300="","",SUBTOTAL(3,$F$6:F300))</f>
        <v>294</v>
      </c>
      <c r="E300" s="34" t="s">
        <v>117</v>
      </c>
      <c r="F300" s="108" t="s">
        <v>1689</v>
      </c>
      <c r="G300" s="40" t="s">
        <v>773</v>
      </c>
      <c r="H300" s="83" t="str">
        <f>IF($G300&lt;&gt;"",VLOOKUP($G300,'WPS '!C$5:M$209,3,FALSE),"")</f>
        <v>FCAW</v>
      </c>
      <c r="I300" s="22" t="s">
        <v>1383</v>
      </c>
      <c r="J300" s="77" t="s">
        <v>104</v>
      </c>
      <c r="K300" s="69" t="s">
        <v>1001</v>
      </c>
      <c r="L300" s="22" t="str">
        <f>IF($G300&lt;&gt;"",VLOOKUP($G300,'WPS '!C$5:M$209,8,FALSE),"")</f>
        <v>E71T-1C</v>
      </c>
      <c r="M300" s="76" t="s">
        <v>1099</v>
      </c>
      <c r="N300" s="21">
        <v>44393</v>
      </c>
      <c r="O300" s="21">
        <v>44400</v>
      </c>
      <c r="P300" s="21">
        <f t="shared" si="9"/>
        <v>46045</v>
      </c>
      <c r="Q300" s="164" t="str">
        <f>IF($G300&lt;&gt;"",VLOOKUP($G300,'WPS '!C$5:M$209,11,FALSE),"")</f>
        <v>AWS D1.1</v>
      </c>
      <c r="R300" s="147" t="str">
        <f>IF($G300&lt;&gt;"",VLOOKUP($G300,'WPS '!$C$5:$M$209,2,FALSE),"")</f>
        <v>OSR-WPS-D1.1-FC-045</v>
      </c>
      <c r="S300" s="30"/>
      <c r="T300" s="30"/>
      <c r="U300" s="30"/>
      <c r="V300" s="31"/>
      <c r="W300" s="31"/>
      <c r="X300" s="31"/>
      <c r="Y300" s="31"/>
      <c r="Z300" s="31"/>
      <c r="AA300" s="31"/>
      <c r="AB300" s="31"/>
      <c r="AC300" s="62"/>
      <c r="AD300" s="62"/>
      <c r="AE300" s="146"/>
      <c r="AF300" s="146"/>
      <c r="AG300" s="153">
        <v>9</v>
      </c>
    </row>
    <row r="301" spans="1:34" ht="45" customHeight="1">
      <c r="A301" s="293">
        <f t="shared" si="10"/>
        <v>294</v>
      </c>
      <c r="B301" s="28" t="s">
        <v>326</v>
      </c>
      <c r="C301" s="296" t="s">
        <v>1635</v>
      </c>
      <c r="D301" s="56">
        <f>IF(F301="","",SUBTOTAL(3,$F$6:F301))</f>
        <v>295</v>
      </c>
      <c r="E301" s="34" t="s">
        <v>117</v>
      </c>
      <c r="F301" s="108" t="s">
        <v>1689</v>
      </c>
      <c r="G301" s="40" t="s">
        <v>776</v>
      </c>
      <c r="H301" s="83" t="str">
        <f>IF($G301&lt;&gt;"",VLOOKUP($G301,'WPS '!C$5:M$209,3,FALSE),"")</f>
        <v>FCAW</v>
      </c>
      <c r="I301" s="22" t="s">
        <v>1383</v>
      </c>
      <c r="J301" s="77" t="s">
        <v>104</v>
      </c>
      <c r="K301" s="69" t="s">
        <v>1400</v>
      </c>
      <c r="L301" s="22" t="str">
        <f>IF($G301&lt;&gt;"",VLOOKUP($G301,'WPS '!C$5:M$209,8,FALSE),"")</f>
        <v>E71T-1C</v>
      </c>
      <c r="M301" s="76" t="s">
        <v>1102</v>
      </c>
      <c r="N301" s="21">
        <v>44393</v>
      </c>
      <c r="O301" s="21">
        <v>44400</v>
      </c>
      <c r="P301" s="21">
        <f t="shared" si="9"/>
        <v>46045</v>
      </c>
      <c r="Q301" s="164" t="str">
        <f>IF($G301&lt;&gt;"",VLOOKUP($G301,'WPS '!C$5:M$209,11,FALSE),"")</f>
        <v>AWS D1.1</v>
      </c>
      <c r="R301" s="147" t="str">
        <f>IF($G301&lt;&gt;"",VLOOKUP($G301,'WPS '!$C$5:$M$209,2,FALSE),"")</f>
        <v>OSR-WPS-D1.1-FC-048</v>
      </c>
      <c r="S301" s="30"/>
      <c r="T301" s="30"/>
      <c r="U301" s="30"/>
      <c r="V301" s="31"/>
      <c r="W301" s="31"/>
      <c r="X301" s="31"/>
      <c r="Y301" s="31"/>
      <c r="Z301" s="31"/>
      <c r="AA301" s="31"/>
      <c r="AB301" s="31"/>
      <c r="AC301" s="62"/>
      <c r="AD301" s="62"/>
      <c r="AE301" s="146"/>
      <c r="AF301" s="146"/>
      <c r="AG301" s="153">
        <v>9</v>
      </c>
    </row>
    <row r="302" spans="1:34" ht="45" customHeight="1">
      <c r="A302" s="293">
        <f t="shared" si="10"/>
        <v>295</v>
      </c>
      <c r="B302" s="28" t="s">
        <v>326</v>
      </c>
      <c r="C302" s="296" t="s">
        <v>1635</v>
      </c>
      <c r="D302" s="56">
        <f>IF(F302="","",SUBTOTAL(3,$F$6:F302))</f>
        <v>296</v>
      </c>
      <c r="E302" s="34" t="s">
        <v>117</v>
      </c>
      <c r="F302" s="108" t="s">
        <v>1689</v>
      </c>
      <c r="G302" s="40" t="s">
        <v>786</v>
      </c>
      <c r="H302" s="83" t="str">
        <f>IF($G302&lt;&gt;"",VLOOKUP($G302,'WPS '!C$5:M$209,3,FALSE),"")</f>
        <v>FCAW</v>
      </c>
      <c r="I302" s="22" t="s">
        <v>1492</v>
      </c>
      <c r="J302" s="77" t="s">
        <v>1390</v>
      </c>
      <c r="K302" s="69" t="s">
        <v>1480</v>
      </c>
      <c r="L302" s="22" t="str">
        <f>IF($G302&lt;&gt;"",VLOOKUP($G302,'WPS '!C$5:M$209,8,FALSE),"")</f>
        <v>E71T-1C</v>
      </c>
      <c r="M302" s="76" t="s">
        <v>1024</v>
      </c>
      <c r="N302" s="21">
        <v>44911</v>
      </c>
      <c r="O302" s="21">
        <v>44921</v>
      </c>
      <c r="P302" s="21">
        <f t="shared" si="9"/>
        <v>46017</v>
      </c>
      <c r="Q302" s="164" t="str">
        <f>IF($G302&lt;&gt;"",VLOOKUP($G302,'WPS '!C$5:M$209,11,FALSE),"")</f>
        <v>AWS D1.1</v>
      </c>
      <c r="R302" s="147" t="str">
        <f>IF($G302&lt;&gt;"",VLOOKUP($G302,'WPS '!$C$5:$M$209,2,FALSE),"")</f>
        <v>OSR-WPS-D1.1-FC-058</v>
      </c>
      <c r="S302" s="30"/>
      <c r="T302" s="30"/>
      <c r="U302" s="30"/>
      <c r="V302" s="31"/>
      <c r="W302" s="31"/>
      <c r="X302" s="31"/>
      <c r="Y302" s="31"/>
      <c r="Z302" s="31"/>
      <c r="AA302" s="31"/>
      <c r="AB302" s="31"/>
      <c r="AC302" s="62"/>
      <c r="AD302" s="62"/>
      <c r="AE302" s="146"/>
      <c r="AF302" s="146"/>
      <c r="AG302" s="153">
        <v>6</v>
      </c>
    </row>
    <row r="303" spans="1:34" ht="45" customHeight="1">
      <c r="A303" s="293">
        <f t="shared" si="10"/>
        <v>296</v>
      </c>
      <c r="B303" s="28" t="s">
        <v>326</v>
      </c>
      <c r="C303" s="296" t="s">
        <v>1635</v>
      </c>
      <c r="D303" s="56">
        <f>IF(F303="","",SUBTOTAL(3,$F$6:F303))</f>
        <v>297</v>
      </c>
      <c r="E303" s="34" t="s">
        <v>117</v>
      </c>
      <c r="F303" s="108" t="s">
        <v>1689</v>
      </c>
      <c r="G303" s="40" t="s">
        <v>1174</v>
      </c>
      <c r="H303" s="83" t="str">
        <f>IF($G303&lt;&gt;"",VLOOKUP($G303,'WPS '!C$5:M$209,3,FALSE),"")</f>
        <v>FCAW</v>
      </c>
      <c r="I303" s="22" t="s">
        <v>1206</v>
      </c>
      <c r="J303" s="77" t="s">
        <v>1214</v>
      </c>
      <c r="K303" s="69" t="s">
        <v>1290</v>
      </c>
      <c r="L303" s="22" t="str">
        <f>IF($G303&lt;&gt;"",VLOOKUP($G303,'WPS '!C$5:M$209,8,FALSE),"")</f>
        <v>E71T-1C</v>
      </c>
      <c r="M303" s="76" t="s">
        <v>1209</v>
      </c>
      <c r="N303" s="21">
        <v>45900</v>
      </c>
      <c r="O303" s="21">
        <v>45906</v>
      </c>
      <c r="P303" s="21">
        <f t="shared" si="9"/>
        <v>46271</v>
      </c>
      <c r="Q303" s="164" t="str">
        <f>IF($G303&lt;&gt;"",VLOOKUP($G303,'WPS '!C$5:M$209,11,FALSE),"")</f>
        <v>AWS D1.1</v>
      </c>
      <c r="R303" s="147" t="str">
        <f>IF($G303&lt;&gt;"",VLOOKUP($G303,'WPS '!$C$5:$M$209,2,FALSE),"")</f>
        <v>OSR-WPS-D1.1-FC-100</v>
      </c>
      <c r="S303" s="30"/>
      <c r="T303" s="30"/>
      <c r="U303" s="30"/>
      <c r="V303" s="31"/>
      <c r="W303" s="31"/>
      <c r="X303" s="31"/>
      <c r="Y303" s="31"/>
      <c r="Z303" s="31"/>
      <c r="AA303" s="31"/>
      <c r="AB303" s="31"/>
      <c r="AC303" s="62" t="s">
        <v>95</v>
      </c>
      <c r="AD303" s="62"/>
      <c r="AE303" s="146"/>
      <c r="AF303" s="146"/>
      <c r="AG303" s="153">
        <v>2</v>
      </c>
    </row>
    <row r="304" spans="1:34" ht="45" customHeight="1">
      <c r="A304" s="293">
        <f t="shared" si="10"/>
        <v>297</v>
      </c>
      <c r="B304" s="5" t="s">
        <v>327</v>
      </c>
      <c r="C304" s="296" t="s">
        <v>1635</v>
      </c>
      <c r="D304" s="56">
        <f>IF(F304="","",SUBTOTAL(3,$F$6:F304))</f>
        <v>298</v>
      </c>
      <c r="E304" s="34" t="s">
        <v>28</v>
      </c>
      <c r="F304" s="107" t="s">
        <v>1748</v>
      </c>
      <c r="G304" s="40" t="s">
        <v>660</v>
      </c>
      <c r="H304" s="83">
        <f>IF($G304&lt;&gt;"",VLOOKUP($G304,'WPS '!C$5:M$209,3,FALSE),"")</f>
        <v>136</v>
      </c>
      <c r="I304" s="22" t="s">
        <v>1250</v>
      </c>
      <c r="J304" s="22" t="s">
        <v>243</v>
      </c>
      <c r="K304" s="69" t="s">
        <v>922</v>
      </c>
      <c r="L304" s="22" t="str">
        <f>IF($G304&lt;&gt;"",VLOOKUP($G304,'WPS '!C$5:M$209,8,FALSE),"")</f>
        <v>E71T-1C</v>
      </c>
      <c r="M304" s="76" t="s">
        <v>29</v>
      </c>
      <c r="N304" s="21">
        <v>44912</v>
      </c>
      <c r="O304" s="21">
        <v>44913</v>
      </c>
      <c r="P304" s="21">
        <f t="shared" si="9"/>
        <v>46009</v>
      </c>
      <c r="Q304" s="164" t="s">
        <v>1811</v>
      </c>
      <c r="R304" s="147" t="str">
        <f>IF($G304&lt;&gt;"",VLOOKUP($G304,'WPS '!$C$5:$M$209,2,FALSE),"")</f>
        <v>OSR-WPS-ISO-004</v>
      </c>
      <c r="S304" s="30"/>
      <c r="T304" s="30"/>
      <c r="U304" s="30"/>
      <c r="V304" s="30"/>
      <c r="W304" s="30"/>
      <c r="X304" s="30"/>
      <c r="Y304" s="30"/>
      <c r="Z304" s="30"/>
      <c r="AA304" s="30"/>
      <c r="AB304" s="30"/>
      <c r="AC304" s="30"/>
      <c r="AD304" s="30"/>
      <c r="AE304" s="54"/>
      <c r="AF304" s="54"/>
      <c r="AG304" s="66">
        <v>6</v>
      </c>
      <c r="AH304" s="115"/>
    </row>
    <row r="305" spans="1:34" ht="45" customHeight="1">
      <c r="A305" s="293">
        <f t="shared" si="10"/>
        <v>298</v>
      </c>
      <c r="B305" s="5" t="s">
        <v>327</v>
      </c>
      <c r="C305" s="296" t="s">
        <v>1635</v>
      </c>
      <c r="D305" s="56">
        <f>IF(F305="","",SUBTOTAL(3,$F$6:F305))</f>
        <v>299</v>
      </c>
      <c r="E305" s="34" t="s">
        <v>28</v>
      </c>
      <c r="F305" s="107" t="s">
        <v>1748</v>
      </c>
      <c r="G305" s="40" t="s">
        <v>663</v>
      </c>
      <c r="H305" s="83">
        <f>IF($G305&lt;&gt;"",VLOOKUP($G305,'WPS '!C$5:M$209,3,FALSE),"")</f>
        <v>136</v>
      </c>
      <c r="I305" s="22" t="s">
        <v>1251</v>
      </c>
      <c r="J305" s="22" t="s">
        <v>1683</v>
      </c>
      <c r="K305" s="69" t="s">
        <v>922</v>
      </c>
      <c r="L305" s="22" t="str">
        <f>IF($G305&lt;&gt;"",VLOOKUP($G305,'WPS '!C$5:M$209,8,FALSE),"")</f>
        <v>E71T-1C</v>
      </c>
      <c r="M305" s="76" t="s">
        <v>30</v>
      </c>
      <c r="N305" s="21">
        <v>44995</v>
      </c>
      <c r="O305" s="21">
        <v>45000</v>
      </c>
      <c r="P305" s="21">
        <f t="shared" si="9"/>
        <v>46096</v>
      </c>
      <c r="Q305" s="164" t="s">
        <v>1811</v>
      </c>
      <c r="R305" s="147" t="str">
        <f>IF($G305&lt;&gt;"",VLOOKUP($G305,'WPS '!$C$5:$M$209,2,FALSE),"")</f>
        <v>OSR-WPS-ISO-PB-007</v>
      </c>
      <c r="S305" s="30"/>
      <c r="T305" s="30"/>
      <c r="U305" s="30"/>
      <c r="V305" s="30"/>
      <c r="W305" s="30" t="s">
        <v>356</v>
      </c>
      <c r="X305" s="30" t="s">
        <v>95</v>
      </c>
      <c r="Y305" s="30"/>
      <c r="Z305" s="30"/>
      <c r="AA305" s="30" t="s">
        <v>95</v>
      </c>
      <c r="AB305" s="30"/>
      <c r="AC305" s="30"/>
      <c r="AD305" s="30"/>
      <c r="AE305" s="54"/>
      <c r="AF305" s="54"/>
      <c r="AG305" s="66">
        <v>6</v>
      </c>
      <c r="AH305" s="115"/>
    </row>
    <row r="306" spans="1:34" ht="45" customHeight="1">
      <c r="A306" s="293">
        <f t="shared" si="10"/>
        <v>299</v>
      </c>
      <c r="B306" s="5" t="s">
        <v>327</v>
      </c>
      <c r="C306" s="296" t="s">
        <v>1635</v>
      </c>
      <c r="D306" s="56">
        <f>IF(F306="","",SUBTOTAL(3,$F$6:F306))</f>
        <v>300</v>
      </c>
      <c r="E306" s="34" t="s">
        <v>28</v>
      </c>
      <c r="F306" s="107" t="s">
        <v>1748</v>
      </c>
      <c r="G306" s="40" t="s">
        <v>672</v>
      </c>
      <c r="H306" s="83">
        <f>IF($G306&lt;&gt;"",VLOOKUP($G306,'WPS '!C$5:M$209,3,FALSE),"")</f>
        <v>141</v>
      </c>
      <c r="I306" s="22" t="s">
        <v>1250</v>
      </c>
      <c r="J306" s="22" t="s">
        <v>258</v>
      </c>
      <c r="K306" s="69" t="s">
        <v>884</v>
      </c>
      <c r="L306" s="22" t="str">
        <f>IF($G306&lt;&gt;"",VLOOKUP($G306,'WPS '!C$5:M$209,8,FALSE),"")</f>
        <v>ER316L</v>
      </c>
      <c r="M306" s="76" t="s">
        <v>53</v>
      </c>
      <c r="N306" s="21">
        <v>45358</v>
      </c>
      <c r="O306" s="21">
        <v>45365</v>
      </c>
      <c r="P306" s="21">
        <f t="shared" si="9"/>
        <v>46095</v>
      </c>
      <c r="Q306" s="164" t="s">
        <v>1811</v>
      </c>
      <c r="R306" s="147" t="str">
        <f>IF($G306&lt;&gt;"",VLOOKUP($G306,'WPS '!$C$5:$M$209,2,FALSE),"")</f>
        <v>OSR-WPS-ISO-PC-016</v>
      </c>
      <c r="S306" s="30"/>
      <c r="T306" s="30"/>
      <c r="U306" s="30"/>
      <c r="V306" s="30"/>
      <c r="W306" s="30"/>
      <c r="X306" s="30"/>
      <c r="Y306" s="30"/>
      <c r="Z306" s="30"/>
      <c r="AA306" s="30"/>
      <c r="AB306" s="30"/>
      <c r="AC306" s="30"/>
      <c r="AD306" s="30"/>
      <c r="AE306" s="54"/>
      <c r="AF306" s="54"/>
      <c r="AG306" s="66">
        <v>4</v>
      </c>
      <c r="AH306" s="115"/>
    </row>
    <row r="307" spans="1:34" ht="45" customHeight="1">
      <c r="A307" s="293">
        <f t="shared" si="10"/>
        <v>300</v>
      </c>
      <c r="B307" s="5" t="s">
        <v>327</v>
      </c>
      <c r="C307" s="296" t="s">
        <v>1635</v>
      </c>
      <c r="D307" s="56">
        <f>IF(F307="","",SUBTOTAL(3,$F$6:F307))</f>
        <v>301</v>
      </c>
      <c r="E307" s="34" t="s">
        <v>28</v>
      </c>
      <c r="F307" s="107" t="s">
        <v>1748</v>
      </c>
      <c r="G307" s="40" t="s">
        <v>674</v>
      </c>
      <c r="H307" s="83">
        <f>IF($G307&lt;&gt;"",VLOOKUP($G307,'WPS '!C$5:M$209,3,FALSE),"")</f>
        <v>141</v>
      </c>
      <c r="I307" s="22" t="s">
        <v>942</v>
      </c>
      <c r="J307" s="22" t="s">
        <v>251</v>
      </c>
      <c r="K307" s="69" t="s">
        <v>1604</v>
      </c>
      <c r="L307" s="22" t="str">
        <f>IF($G307&lt;&gt;"",VLOOKUP($G307,'WPS '!C$5:M$209,8,FALSE),"")</f>
        <v>ER316L</v>
      </c>
      <c r="M307" s="76" t="s">
        <v>92</v>
      </c>
      <c r="N307" s="21">
        <v>45432</v>
      </c>
      <c r="O307" s="21">
        <v>45437</v>
      </c>
      <c r="P307" s="21">
        <f t="shared" si="9"/>
        <v>46167</v>
      </c>
      <c r="Q307" s="164" t="s">
        <v>1811</v>
      </c>
      <c r="R307" s="147" t="str">
        <f>IF($G307&lt;&gt;"",VLOOKUP($G307,'WPS '!$C$5:$M$209,2,FALSE),"")</f>
        <v>OSR-WPS-ISO-019</v>
      </c>
      <c r="S307" s="30"/>
      <c r="T307" s="30"/>
      <c r="U307" s="30"/>
      <c r="V307" s="30"/>
      <c r="W307" s="30"/>
      <c r="X307" s="30"/>
      <c r="Y307" s="30" t="s">
        <v>95</v>
      </c>
      <c r="Z307" s="30"/>
      <c r="AA307" s="30"/>
      <c r="AB307" s="30"/>
      <c r="AC307" s="30"/>
      <c r="AD307" s="30"/>
      <c r="AE307" s="54"/>
      <c r="AF307" s="54"/>
      <c r="AG307" s="190">
        <v>4</v>
      </c>
      <c r="AH307" s="115"/>
    </row>
    <row r="308" spans="1:34" s="2" customFormat="1" ht="45" customHeight="1">
      <c r="A308" s="293">
        <f t="shared" si="10"/>
        <v>301</v>
      </c>
      <c r="B308" s="5" t="s">
        <v>327</v>
      </c>
      <c r="C308" s="296" t="s">
        <v>1635</v>
      </c>
      <c r="D308" s="56">
        <f>IF(F308="","",SUBTOTAL(3,$F$6:F308))</f>
        <v>302</v>
      </c>
      <c r="E308" s="34" t="s">
        <v>28</v>
      </c>
      <c r="F308" s="107" t="s">
        <v>1748</v>
      </c>
      <c r="G308" s="40" t="s">
        <v>674</v>
      </c>
      <c r="H308" s="83">
        <f>IF($G308&lt;&gt;"",VLOOKUP($G308,'WPS '!C$5:M$209,3,FALSE),"")</f>
        <v>141</v>
      </c>
      <c r="I308" s="22" t="s">
        <v>941</v>
      </c>
      <c r="J308" s="22" t="s">
        <v>254</v>
      </c>
      <c r="K308" s="69" t="s">
        <v>1604</v>
      </c>
      <c r="L308" s="22" t="str">
        <f>IF($G308&lt;&gt;"",VLOOKUP($G308,'WPS '!C$5:M$209,8,FALSE),"")</f>
        <v>ER316L</v>
      </c>
      <c r="M308" s="76" t="s">
        <v>911</v>
      </c>
      <c r="N308" s="21">
        <v>45448</v>
      </c>
      <c r="O308" s="21">
        <v>45451</v>
      </c>
      <c r="P308" s="21">
        <f t="shared" si="9"/>
        <v>46181</v>
      </c>
      <c r="Q308" s="164" t="s">
        <v>1811</v>
      </c>
      <c r="R308" s="147" t="str">
        <f>IF($G308&lt;&gt;"",VLOOKUP($G308,'WPS '!$C$5:$M$209,2,FALSE),"")</f>
        <v>OSR-WPS-ISO-019</v>
      </c>
      <c r="S308" s="30"/>
      <c r="T308" s="30"/>
      <c r="U308" s="30"/>
      <c r="V308" s="30"/>
      <c r="W308" s="30"/>
      <c r="X308" s="30"/>
      <c r="Y308" s="30" t="s">
        <v>95</v>
      </c>
      <c r="Z308" s="30"/>
      <c r="AA308" s="30"/>
      <c r="AB308" s="30"/>
      <c r="AC308" s="30"/>
      <c r="AD308" s="30"/>
      <c r="AE308" s="54"/>
      <c r="AF308" s="54"/>
      <c r="AG308" s="192">
        <v>4</v>
      </c>
      <c r="AH308" s="115"/>
    </row>
    <row r="309" spans="1:34" s="2" customFormat="1" ht="45" customHeight="1">
      <c r="A309" s="293">
        <f t="shared" si="10"/>
        <v>302</v>
      </c>
      <c r="B309" s="5" t="s">
        <v>327</v>
      </c>
      <c r="C309" s="296" t="s">
        <v>1635</v>
      </c>
      <c r="D309" s="56">
        <f>IF(F309="","",SUBTOTAL(3,$F$6:F309))</f>
        <v>303</v>
      </c>
      <c r="E309" s="34" t="s">
        <v>28</v>
      </c>
      <c r="F309" s="107" t="s">
        <v>1748</v>
      </c>
      <c r="G309" s="40" t="s">
        <v>707</v>
      </c>
      <c r="H309" s="83">
        <f>IF($G309&lt;&gt;"",VLOOKUP($G309,'WPS '!C$5:M$209,3,FALSE),"")</f>
        <v>136</v>
      </c>
      <c r="I309" s="22" t="s">
        <v>915</v>
      </c>
      <c r="J309" s="22" t="s">
        <v>243</v>
      </c>
      <c r="K309" s="69" t="s">
        <v>874</v>
      </c>
      <c r="L309" s="22" t="str">
        <f>IF($G309&lt;&gt;"",VLOOKUP($G309,'WPS '!C$5:M$209,8,FALSE),"")</f>
        <v>E71T-1C</v>
      </c>
      <c r="M309" s="76" t="s">
        <v>910</v>
      </c>
      <c r="N309" s="21">
        <v>45795</v>
      </c>
      <c r="O309" s="21">
        <v>45799</v>
      </c>
      <c r="P309" s="21">
        <f t="shared" si="9"/>
        <v>46164</v>
      </c>
      <c r="Q309" s="164" t="s">
        <v>1811</v>
      </c>
      <c r="R309" s="147" t="str">
        <f>IF($G309&lt;&gt;"",VLOOKUP($G309,'WPS '!$C$5:$M$209,2,FALSE),"")</f>
        <v>OSR-WPS-ISO-PB-052</v>
      </c>
      <c r="S309" s="30"/>
      <c r="T309" s="30"/>
      <c r="U309" s="30"/>
      <c r="V309" s="30"/>
      <c r="W309" s="30"/>
      <c r="X309" s="30"/>
      <c r="Y309" s="30"/>
      <c r="Z309" s="30"/>
      <c r="AA309" s="30"/>
      <c r="AB309" s="30"/>
      <c r="AC309" s="30"/>
      <c r="AD309" s="30"/>
      <c r="AE309" s="54"/>
      <c r="AF309" s="54"/>
      <c r="AG309" s="66">
        <v>2</v>
      </c>
      <c r="AH309" s="115"/>
    </row>
    <row r="310" spans="1:34" s="2" customFormat="1" ht="45" customHeight="1">
      <c r="A310" s="293">
        <f t="shared" si="10"/>
        <v>303</v>
      </c>
      <c r="B310" s="5" t="s">
        <v>327</v>
      </c>
      <c r="C310" s="296" t="s">
        <v>1635</v>
      </c>
      <c r="D310" s="56">
        <f>IF(F310="","",SUBTOTAL(3,$F$6:F310))</f>
        <v>304</v>
      </c>
      <c r="E310" s="34" t="s">
        <v>28</v>
      </c>
      <c r="F310" s="107" t="s">
        <v>1748</v>
      </c>
      <c r="G310" s="40" t="s">
        <v>716</v>
      </c>
      <c r="H310" s="83" t="str">
        <f>IF($G310&lt;&gt;"",VLOOKUP($G310,'WPS '!C$5:M$209,3,FALSE),"")</f>
        <v>141</v>
      </c>
      <c r="I310" s="22" t="s">
        <v>1251</v>
      </c>
      <c r="J310" s="22" t="s">
        <v>251</v>
      </c>
      <c r="K310" s="69" t="s">
        <v>884</v>
      </c>
      <c r="L310" s="22" t="str">
        <f>IF($G310&lt;&gt;"",VLOOKUP($G310,'WPS '!C$5:M$209,8,FALSE),"")</f>
        <v>ER309L</v>
      </c>
      <c r="M310" s="76" t="s">
        <v>882</v>
      </c>
      <c r="N310" s="21">
        <v>45506</v>
      </c>
      <c r="O310" s="21">
        <v>45511</v>
      </c>
      <c r="P310" s="21">
        <f t="shared" si="9"/>
        <v>46060</v>
      </c>
      <c r="Q310" s="164" t="s">
        <v>1811</v>
      </c>
      <c r="R310" s="147" t="str">
        <f>IF($G310&lt;&gt;"",VLOOKUP($G310,'WPS '!$C$5:$M$209,2,FALSE),"")</f>
        <v>OSR-WPS-ISO-PA-061</v>
      </c>
      <c r="S310" s="30"/>
      <c r="T310" s="30"/>
      <c r="U310" s="30"/>
      <c r="V310" s="30"/>
      <c r="W310" s="30"/>
      <c r="X310" s="30"/>
      <c r="Y310" s="30" t="s">
        <v>95</v>
      </c>
      <c r="Z310" s="30"/>
      <c r="AA310" s="30"/>
      <c r="AB310" s="30"/>
      <c r="AC310" s="30"/>
      <c r="AD310" s="30"/>
      <c r="AE310" s="54"/>
      <c r="AF310" s="54"/>
      <c r="AG310" s="67">
        <v>3</v>
      </c>
      <c r="AH310" s="115"/>
    </row>
    <row r="311" spans="1:34" s="2" customFormat="1" ht="45" customHeight="1">
      <c r="A311" s="293">
        <f t="shared" si="10"/>
        <v>304</v>
      </c>
      <c r="B311" s="28" t="s">
        <v>327</v>
      </c>
      <c r="C311" s="295" t="s">
        <v>1635</v>
      </c>
      <c r="D311" s="56">
        <f>IF(F311="","",SUBTOTAL(3,$F$6:F311))</f>
        <v>305</v>
      </c>
      <c r="E311" s="34" t="s">
        <v>28</v>
      </c>
      <c r="F311" s="107" t="s">
        <v>1748</v>
      </c>
      <c r="G311" s="39" t="s">
        <v>719</v>
      </c>
      <c r="H311" s="83" t="str">
        <f>IF($G311&lt;&gt;"",VLOOKUP($G311,'WPS '!C$5:M$209,3,FALSE),"")</f>
        <v>FCAW</v>
      </c>
      <c r="I311" s="22" t="s">
        <v>850</v>
      </c>
      <c r="J311" s="22" t="s">
        <v>1215</v>
      </c>
      <c r="K311" s="69" t="s">
        <v>964</v>
      </c>
      <c r="L311" s="22" t="str">
        <f>IF($G311&lt;&gt;"",VLOOKUP($G311,'WPS '!C$5:M$209,8,FALSE),"")</f>
        <v>E71T-1C</v>
      </c>
      <c r="M311" s="76" t="s">
        <v>299</v>
      </c>
      <c r="N311" s="21">
        <v>45586</v>
      </c>
      <c r="O311" s="21">
        <v>45590</v>
      </c>
      <c r="P311" s="21">
        <f t="shared" si="9"/>
        <v>46137</v>
      </c>
      <c r="Q311" s="164" t="str">
        <f>IF($G311&lt;&gt;"",VLOOKUP($G311,'WPS '!C$5:M$209,11,FALSE),"")</f>
        <v>ASME IX</v>
      </c>
      <c r="R311" s="147" t="str">
        <f>IF($G311&lt;&gt;"",VLOOKUP($G311,'WPS '!$C$5:$M$209,2,FALSE),"")</f>
        <v>OSR-WPS-ASME-FC-002</v>
      </c>
      <c r="S311" s="30" t="s">
        <v>356</v>
      </c>
      <c r="T311" s="30"/>
      <c r="U311" s="30"/>
      <c r="V311" s="30"/>
      <c r="W311" s="62"/>
      <c r="X311" s="30"/>
      <c r="Y311" s="32"/>
      <c r="Z311" s="32"/>
      <c r="AA311" s="32"/>
      <c r="AB311" s="62"/>
      <c r="AC311" s="62"/>
      <c r="AD311" s="62"/>
      <c r="AE311" s="146"/>
      <c r="AF311" s="146"/>
      <c r="AG311" s="67">
        <v>3</v>
      </c>
      <c r="AH311" s="18"/>
    </row>
    <row r="312" spans="1:34" ht="45" customHeight="1">
      <c r="A312" s="293">
        <f t="shared" si="10"/>
        <v>305</v>
      </c>
      <c r="B312" s="28" t="s">
        <v>327</v>
      </c>
      <c r="C312" s="295" t="s">
        <v>1635</v>
      </c>
      <c r="D312" s="56">
        <f>IF(F312="","",SUBTOTAL(3,$F$6:F312))</f>
        <v>306</v>
      </c>
      <c r="E312" s="34" t="s">
        <v>28</v>
      </c>
      <c r="F312" s="107" t="s">
        <v>1748</v>
      </c>
      <c r="G312" s="39" t="s">
        <v>729</v>
      </c>
      <c r="H312" s="83" t="str">
        <f>IF($G312&lt;&gt;"",VLOOKUP($G312,'WPS '!C$5:M$209,3,FALSE),"")</f>
        <v>GTAW
FCAW</v>
      </c>
      <c r="I312" s="22" t="s">
        <v>847</v>
      </c>
      <c r="J312" s="22" t="s">
        <v>1472</v>
      </c>
      <c r="K312" s="69" t="s">
        <v>239</v>
      </c>
      <c r="L312" s="22" t="str">
        <f>IF($G312&lt;&gt;"",VLOOKUP($G312,'WPS '!C$5:M$209,8,FALSE),"")</f>
        <v>ER70S-3
E71T-1C</v>
      </c>
      <c r="M312" s="76" t="s">
        <v>300</v>
      </c>
      <c r="N312" s="21">
        <v>45847</v>
      </c>
      <c r="O312" s="21">
        <v>45850</v>
      </c>
      <c r="P312" s="21">
        <f t="shared" si="9"/>
        <v>46215</v>
      </c>
      <c r="Q312" s="164" t="str">
        <f>IF($G312&lt;&gt;"",VLOOKUP($G312,'WPS '!C$5:M$209,11,FALSE),"")</f>
        <v>ASME IX</v>
      </c>
      <c r="R312" s="147" t="str">
        <f>IF($G312&lt;&gt;"",VLOOKUP($G312,'WPS '!$C$5:$M$209,2,FALSE),"")</f>
        <v>OSR-WPS-ASME-GT/FC-012</v>
      </c>
      <c r="S312" s="30" t="s">
        <v>356</v>
      </c>
      <c r="T312" s="30"/>
      <c r="U312" s="30"/>
      <c r="V312" s="30"/>
      <c r="W312" s="62"/>
      <c r="X312" s="30"/>
      <c r="Y312" s="32"/>
      <c r="Z312" s="32"/>
      <c r="AA312" s="32"/>
      <c r="AB312" s="62"/>
      <c r="AC312" s="62"/>
      <c r="AD312" s="62"/>
      <c r="AE312" s="146"/>
      <c r="AF312" s="146"/>
      <c r="AG312" s="67">
        <v>2</v>
      </c>
      <c r="AH312" s="18"/>
    </row>
    <row r="313" spans="1:34" ht="45" customHeight="1">
      <c r="A313" s="293">
        <f t="shared" si="10"/>
        <v>306</v>
      </c>
      <c r="B313" s="28" t="s">
        <v>327</v>
      </c>
      <c r="C313" s="295" t="s">
        <v>1635</v>
      </c>
      <c r="D313" s="56">
        <f>IF(F313="","",SUBTOTAL(3,$F$6:F313))</f>
        <v>307</v>
      </c>
      <c r="E313" s="34" t="s">
        <v>28</v>
      </c>
      <c r="F313" s="107" t="s">
        <v>1748</v>
      </c>
      <c r="G313" s="39" t="s">
        <v>1543</v>
      </c>
      <c r="H313" s="83" t="str">
        <f>IF($G313&lt;&gt;"",VLOOKUP($G313,'WPS '!C$5:M$209,3,FALSE),"")</f>
        <v>GTAW
FCAW</v>
      </c>
      <c r="I313" s="22" t="s">
        <v>854</v>
      </c>
      <c r="J313" s="22" t="s">
        <v>104</v>
      </c>
      <c r="K313" s="69" t="s">
        <v>1556</v>
      </c>
      <c r="L313" s="22" t="str">
        <f>IF($G313&lt;&gt;"",VLOOKUP($G313,'WPS '!C$5:M$209,8,FALSE),"")</f>
        <v>ER308L
E308LT1-1/-4</v>
      </c>
      <c r="M313" s="76" t="s">
        <v>1558</v>
      </c>
      <c r="N313" s="21">
        <v>45929</v>
      </c>
      <c r="O313" s="21">
        <v>45931</v>
      </c>
      <c r="P313" s="21">
        <f t="shared" ref="P313:P373" si="11">EDATE(O313,6*AG313)</f>
        <v>46296</v>
      </c>
      <c r="Q313" s="164" t="str">
        <f>IF($G313&lt;&gt;"",VLOOKUP($G313,'WPS '!C$5:M$209,11,FALSE),"")</f>
        <v>ASME IX</v>
      </c>
      <c r="R313" s="147" t="str">
        <f>IF($G313&lt;&gt;"",VLOOKUP($G313,'WPS '!$C$5:$M$209,2,FALSE),"")</f>
        <v>OSR-WPS-ASME-GT+FC-015</v>
      </c>
      <c r="S313" s="30"/>
      <c r="T313" s="30"/>
      <c r="U313" s="30"/>
      <c r="V313" s="30"/>
      <c r="W313" s="62"/>
      <c r="X313" s="30"/>
      <c r="Y313" s="32"/>
      <c r="Z313" s="32"/>
      <c r="AA313" s="32"/>
      <c r="AB313" s="62"/>
      <c r="AC313" s="62" t="s">
        <v>364</v>
      </c>
      <c r="AD313" s="62" t="s">
        <v>364</v>
      </c>
      <c r="AE313" s="146"/>
      <c r="AF313" s="146"/>
      <c r="AG313" s="67">
        <v>2</v>
      </c>
      <c r="AH313" s="18"/>
    </row>
    <row r="314" spans="1:34" ht="45" customHeight="1">
      <c r="A314" s="293">
        <f t="shared" si="10"/>
        <v>307</v>
      </c>
      <c r="B314" s="28" t="s">
        <v>327</v>
      </c>
      <c r="C314" s="296" t="s">
        <v>1635</v>
      </c>
      <c r="D314" s="56">
        <f>IF(F314="","",SUBTOTAL(3,$F$6:F314))</f>
        <v>308</v>
      </c>
      <c r="E314" s="35" t="s">
        <v>28</v>
      </c>
      <c r="F314" s="106" t="s">
        <v>1748</v>
      </c>
      <c r="G314" s="40" t="s">
        <v>735</v>
      </c>
      <c r="H314" s="83" t="str">
        <f>IF($G314&lt;&gt;"",VLOOKUP($G314,'WPS '!C$5:M$209,3,FALSE),"")</f>
        <v>FCAW</v>
      </c>
      <c r="I314" s="22" t="s">
        <v>1499</v>
      </c>
      <c r="J314" s="77" t="s">
        <v>1215</v>
      </c>
      <c r="K314" s="69" t="s">
        <v>1480</v>
      </c>
      <c r="L314" s="22" t="str">
        <f>IF($G314&lt;&gt;"",VLOOKUP($G314,'WPS '!C$5:M$209,8,FALSE),"")</f>
        <v>E71T-1C</v>
      </c>
      <c r="M314" s="76" t="s">
        <v>1074</v>
      </c>
      <c r="N314" s="21">
        <v>44393</v>
      </c>
      <c r="O314" s="21">
        <v>44400</v>
      </c>
      <c r="P314" s="21">
        <f t="shared" si="11"/>
        <v>46045</v>
      </c>
      <c r="Q314" s="164" t="str">
        <f>IF($G314&lt;&gt;"",VLOOKUP($G314,'WPS '!C$5:M$209,11,FALSE),"")</f>
        <v>AWS D1.1</v>
      </c>
      <c r="R314" s="147" t="str">
        <f>IF($G314&lt;&gt;"",VLOOKUP($G314,'WPS '!$C$5:$M$209,2,FALSE),"")</f>
        <v>OSR-WPS-D1.1-FC-007</v>
      </c>
      <c r="S314" s="30"/>
      <c r="T314" s="30" t="s">
        <v>356</v>
      </c>
      <c r="U314" s="30" t="s">
        <v>356</v>
      </c>
      <c r="V314" s="30" t="s">
        <v>356</v>
      </c>
      <c r="W314" s="30"/>
      <c r="X314" s="30"/>
      <c r="Y314" s="30"/>
      <c r="Z314" s="30"/>
      <c r="AA314" s="30"/>
      <c r="AB314" s="30"/>
      <c r="AC314" s="30" t="s">
        <v>356</v>
      </c>
      <c r="AD314" s="30" t="s">
        <v>356</v>
      </c>
      <c r="AE314" s="54"/>
      <c r="AF314" s="54"/>
      <c r="AG314" s="153">
        <v>9</v>
      </c>
    </row>
    <row r="315" spans="1:34" ht="45" customHeight="1">
      <c r="A315" s="293">
        <f t="shared" si="10"/>
        <v>308</v>
      </c>
      <c r="B315" s="28" t="s">
        <v>327</v>
      </c>
      <c r="C315" s="296" t="s">
        <v>1635</v>
      </c>
      <c r="D315" s="56">
        <f>IF(F315="","",SUBTOTAL(3,$F$6:F315))</f>
        <v>309</v>
      </c>
      <c r="E315" s="34" t="s">
        <v>28</v>
      </c>
      <c r="F315" s="107" t="s">
        <v>1748</v>
      </c>
      <c r="G315" s="40" t="s">
        <v>768</v>
      </c>
      <c r="H315" s="83" t="str">
        <f>IF($G315&lt;&gt;"",VLOOKUP($G315,'WPS '!C$5:M$209,3,FALSE),"")</f>
        <v>FCAW</v>
      </c>
      <c r="I315" s="22" t="s">
        <v>1506</v>
      </c>
      <c r="J315" s="77" t="s">
        <v>1407</v>
      </c>
      <c r="K315" s="69" t="s">
        <v>1411</v>
      </c>
      <c r="L315" s="22" t="str">
        <f>IF($G315&lt;&gt;"",VLOOKUP($G315,'WPS '!C$5:M$209,8,FALSE),"")</f>
        <v>E71T-1C</v>
      </c>
      <c r="M315" s="76" t="s">
        <v>1093</v>
      </c>
      <c r="N315" s="21">
        <v>44393</v>
      </c>
      <c r="O315" s="21">
        <v>44400</v>
      </c>
      <c r="P315" s="21">
        <f t="shared" si="11"/>
        <v>46045</v>
      </c>
      <c r="Q315" s="164" t="str">
        <f>IF($G315&lt;&gt;"",VLOOKUP($G315,'WPS '!C$5:M$209,11,FALSE),"")</f>
        <v>AWS D1.1</v>
      </c>
      <c r="R315" s="147" t="str">
        <f>IF($G315&lt;&gt;"",VLOOKUP($G315,'WPS '!$C$5:$M$209,2,FALSE),"")</f>
        <v>OSR-WPS-D1.1-FC-040</v>
      </c>
      <c r="S315" s="30"/>
      <c r="T315" s="30"/>
      <c r="U315" s="30"/>
      <c r="V315" s="30"/>
      <c r="W315" s="30"/>
      <c r="X315" s="30"/>
      <c r="Y315" s="30"/>
      <c r="Z315" s="30"/>
      <c r="AA315" s="30"/>
      <c r="AB315" s="30"/>
      <c r="AC315" s="30"/>
      <c r="AD315" s="30"/>
      <c r="AE315" s="54"/>
      <c r="AF315" s="54"/>
      <c r="AG315" s="153">
        <v>9</v>
      </c>
    </row>
    <row r="316" spans="1:34" ht="45" customHeight="1">
      <c r="A316" s="293">
        <f t="shared" si="10"/>
        <v>309</v>
      </c>
      <c r="B316" s="28" t="s">
        <v>327</v>
      </c>
      <c r="C316" s="297" t="s">
        <v>1635</v>
      </c>
      <c r="D316" s="56">
        <f>IF(F316="","",SUBTOTAL(3,$F$6:F316))</f>
        <v>310</v>
      </c>
      <c r="E316" s="34" t="s">
        <v>28</v>
      </c>
      <c r="F316" s="107" t="s">
        <v>1748</v>
      </c>
      <c r="G316" s="40" t="s">
        <v>776</v>
      </c>
      <c r="H316" s="83" t="str">
        <f>IF($G316&lt;&gt;"",VLOOKUP($G316,'WPS '!C$5:M$209,3,FALSE),"")</f>
        <v>FCAW</v>
      </c>
      <c r="I316" s="22" t="s">
        <v>1383</v>
      </c>
      <c r="J316" s="77" t="s">
        <v>104</v>
      </c>
      <c r="K316" s="69" t="s">
        <v>1405</v>
      </c>
      <c r="L316" s="22" t="str">
        <f>IF($G316&lt;&gt;"",VLOOKUP($G316,'WPS '!C$5:M$209,8,FALSE),"")</f>
        <v>E71T-1C</v>
      </c>
      <c r="M316" s="76" t="s">
        <v>1103</v>
      </c>
      <c r="N316" s="21">
        <v>44393</v>
      </c>
      <c r="O316" s="21">
        <v>44400</v>
      </c>
      <c r="P316" s="21">
        <f t="shared" si="11"/>
        <v>46045</v>
      </c>
      <c r="Q316" s="164" t="str">
        <f>IF($G316&lt;&gt;"",VLOOKUP($G316,'WPS '!C$5:M$209,11,FALSE),"")</f>
        <v>AWS D1.1</v>
      </c>
      <c r="R316" s="147" t="str">
        <f>IF($G316&lt;&gt;"",VLOOKUP($G316,'WPS '!$C$5:$M$209,2,FALSE),"")</f>
        <v>OSR-WPS-D1.1-FC-048</v>
      </c>
      <c r="S316" s="30"/>
      <c r="T316" s="30"/>
      <c r="U316" s="30"/>
      <c r="V316" s="30"/>
      <c r="W316" s="30"/>
      <c r="X316" s="30"/>
      <c r="Y316" s="30"/>
      <c r="Z316" s="30"/>
      <c r="AA316" s="30"/>
      <c r="AB316" s="30"/>
      <c r="AC316" s="30"/>
      <c r="AD316" s="30"/>
      <c r="AE316" s="54"/>
      <c r="AF316" s="54"/>
      <c r="AG316" s="153">
        <v>9</v>
      </c>
    </row>
    <row r="317" spans="1:34" ht="45" customHeight="1">
      <c r="A317" s="293">
        <f t="shared" si="10"/>
        <v>310</v>
      </c>
      <c r="B317" s="28" t="s">
        <v>327</v>
      </c>
      <c r="C317" s="296" t="s">
        <v>1635</v>
      </c>
      <c r="D317" s="56">
        <f>IF(F317="","",SUBTOTAL(3,$F$6:F317))</f>
        <v>311</v>
      </c>
      <c r="E317" s="34" t="s">
        <v>28</v>
      </c>
      <c r="F317" s="107" t="s">
        <v>1748</v>
      </c>
      <c r="G317" s="40" t="s">
        <v>793</v>
      </c>
      <c r="H317" s="83" t="str">
        <f>IF($G317&lt;&gt;"",VLOOKUP($G317,'WPS '!C$5:M$209,3,FALSE),"")</f>
        <v>FCAW</v>
      </c>
      <c r="I317" s="22" t="s">
        <v>1498</v>
      </c>
      <c r="J317" s="77" t="s">
        <v>107</v>
      </c>
      <c r="K317" s="69" t="s">
        <v>1488</v>
      </c>
      <c r="L317" s="22" t="str">
        <f>IF($G317&lt;&gt;"",VLOOKUP($G317,'WPS '!C$5:M$209,8,FALSE),"")</f>
        <v>E309LT1-1/4</v>
      </c>
      <c r="M317" s="76" t="s">
        <v>1008</v>
      </c>
      <c r="N317" s="21">
        <v>44958</v>
      </c>
      <c r="O317" s="21">
        <v>44961</v>
      </c>
      <c r="P317" s="21">
        <f t="shared" si="11"/>
        <v>46057</v>
      </c>
      <c r="Q317" s="164" t="str">
        <f>IF($G317&lt;&gt;"",VLOOKUP($G317,'WPS '!C$5:M$209,11,FALSE),"")</f>
        <v>AWS D1.1</v>
      </c>
      <c r="R317" s="147" t="str">
        <f>IF($G317&lt;&gt;"",VLOOKUP($G317,'WPS '!$C$5:$M$209,2,FALSE),"")</f>
        <v>OSR-WPS-D1.1-FC-065</v>
      </c>
      <c r="S317" s="30"/>
      <c r="T317" s="30"/>
      <c r="U317" s="30" t="s">
        <v>356</v>
      </c>
      <c r="V317" s="30"/>
      <c r="W317" s="30"/>
      <c r="X317" s="30"/>
      <c r="Y317" s="30"/>
      <c r="Z317" s="30"/>
      <c r="AA317" s="30"/>
      <c r="AB317" s="30"/>
      <c r="AC317" s="30" t="s">
        <v>356</v>
      </c>
      <c r="AD317" s="30" t="s">
        <v>356</v>
      </c>
      <c r="AE317" s="54"/>
      <c r="AF317" s="54"/>
      <c r="AG317" s="153">
        <v>6</v>
      </c>
    </row>
    <row r="318" spans="1:34" ht="45" customHeight="1">
      <c r="A318" s="293">
        <f t="shared" si="10"/>
        <v>311</v>
      </c>
      <c r="B318" s="28" t="s">
        <v>327</v>
      </c>
      <c r="C318" s="296" t="s">
        <v>1635</v>
      </c>
      <c r="D318" s="56">
        <f>IF(F318="","",SUBTOTAL(3,$F$6:F318))</f>
        <v>312</v>
      </c>
      <c r="E318" s="34" t="s">
        <v>28</v>
      </c>
      <c r="F318" s="107" t="s">
        <v>1748</v>
      </c>
      <c r="G318" s="40" t="s">
        <v>800</v>
      </c>
      <c r="H318" s="83" t="str">
        <f>IF($G318&lt;&gt;"",VLOOKUP($G318,'WPS '!C$5:M$209,3,FALSE),"")</f>
        <v>FCAW</v>
      </c>
      <c r="I318" s="22" t="s">
        <v>1505</v>
      </c>
      <c r="J318" s="77" t="s">
        <v>107</v>
      </c>
      <c r="K318" s="69" t="s">
        <v>1481</v>
      </c>
      <c r="L318" s="22" t="str">
        <f>IF($G318&lt;&gt;"",VLOOKUP($G318,'WPS '!C$5:M$209,8,FALSE),"")</f>
        <v>E309LT1-1/4</v>
      </c>
      <c r="M318" s="76" t="s">
        <v>1010</v>
      </c>
      <c r="N318" s="21">
        <v>45219</v>
      </c>
      <c r="O318" s="21">
        <v>45221</v>
      </c>
      <c r="P318" s="21">
        <f t="shared" si="11"/>
        <v>46134</v>
      </c>
      <c r="Q318" s="164" t="str">
        <f>IF($G318&lt;&gt;"",VLOOKUP($G318,'WPS '!C$5:M$209,11,FALSE),"")</f>
        <v>AWS D1.1</v>
      </c>
      <c r="R318" s="147" t="str">
        <f>IF($G318&lt;&gt;"",VLOOKUP($G318,'WPS '!$C$5:$M$209,2,FALSE),"")</f>
        <v>OSR-WPS-D1.1-FC-072</v>
      </c>
      <c r="S318" s="30"/>
      <c r="T318" s="30"/>
      <c r="U318" s="30"/>
      <c r="V318" s="30"/>
      <c r="W318" s="30"/>
      <c r="X318" s="30"/>
      <c r="Y318" s="30"/>
      <c r="Z318" s="30"/>
      <c r="AA318" s="30"/>
      <c r="AB318" s="30"/>
      <c r="AC318" s="30" t="s">
        <v>95</v>
      </c>
      <c r="AD318" s="30"/>
      <c r="AE318" s="54"/>
      <c r="AF318" s="54"/>
      <c r="AG318" s="153">
        <v>5</v>
      </c>
    </row>
    <row r="319" spans="1:34" s="2" customFormat="1" ht="45" customHeight="1">
      <c r="A319" s="293">
        <f t="shared" si="10"/>
        <v>312</v>
      </c>
      <c r="B319" s="28" t="s">
        <v>327</v>
      </c>
      <c r="C319" s="296" t="s">
        <v>1635</v>
      </c>
      <c r="D319" s="56">
        <f>IF(F319="","",SUBTOTAL(3,$F$6:F319))</f>
        <v>313</v>
      </c>
      <c r="E319" s="34" t="s">
        <v>28</v>
      </c>
      <c r="F319" s="107" t="s">
        <v>1748</v>
      </c>
      <c r="G319" s="40" t="s">
        <v>1187</v>
      </c>
      <c r="H319" s="83" t="str">
        <f>IF($G319&lt;&gt;"",VLOOKUP($G319,'WPS '!C$5:M$209,3,FALSE),"")</f>
        <v>GTAW
FCAW</v>
      </c>
      <c r="I319" s="22" t="s">
        <v>1193</v>
      </c>
      <c r="J319" s="77" t="s">
        <v>1216</v>
      </c>
      <c r="K319" s="69" t="s">
        <v>1469</v>
      </c>
      <c r="L319" s="22" t="str">
        <f>IF($G319&lt;&gt;"",VLOOKUP($G319,'WPS '!C$5:M$209,8,FALSE),"")</f>
        <v>ER 308L
E308LT1-1/-4</v>
      </c>
      <c r="M319" s="76" t="s">
        <v>1210</v>
      </c>
      <c r="N319" s="21">
        <v>45898</v>
      </c>
      <c r="O319" s="21">
        <v>45906</v>
      </c>
      <c r="P319" s="21">
        <f t="shared" si="11"/>
        <v>46271</v>
      </c>
      <c r="Q319" s="164" t="str">
        <f>IF($G319&lt;&gt;"",VLOOKUP($G319,'WPS '!C$5:M$209,11,FALSE),"")</f>
        <v>AWS D1.6</v>
      </c>
      <c r="R319" s="147" t="str">
        <f>IF($G319&lt;&gt;"",VLOOKUP($G319,'WPS '!$C$5:$M$209,2,FALSE),"")</f>
        <v>OSR-WPS-D1.6-GT+FC-104</v>
      </c>
      <c r="S319" s="30"/>
      <c r="T319" s="30"/>
      <c r="U319" s="30"/>
      <c r="V319" s="30"/>
      <c r="W319" s="30"/>
      <c r="X319" s="30"/>
      <c r="Y319" s="30"/>
      <c r="Z319" s="30"/>
      <c r="AA319" s="30"/>
      <c r="AB319" s="30"/>
      <c r="AC319" s="30" t="s">
        <v>95</v>
      </c>
      <c r="AD319" s="30" t="s">
        <v>356</v>
      </c>
      <c r="AE319" s="54"/>
      <c r="AF319" s="54" t="s">
        <v>356</v>
      </c>
      <c r="AG319" s="153">
        <v>2</v>
      </c>
    </row>
    <row r="320" spans="1:34" s="2" customFormat="1" ht="45" customHeight="1">
      <c r="A320" s="293">
        <f t="shared" si="10"/>
        <v>313</v>
      </c>
      <c r="B320" s="28" t="s">
        <v>327</v>
      </c>
      <c r="C320" s="296" t="s">
        <v>1635</v>
      </c>
      <c r="D320" s="56">
        <f>IF(F320="","",SUBTOTAL(3,$F$6:F320))</f>
        <v>314</v>
      </c>
      <c r="E320" s="34" t="s">
        <v>28</v>
      </c>
      <c r="F320" s="107" t="s">
        <v>1748</v>
      </c>
      <c r="G320" s="40" t="s">
        <v>1381</v>
      </c>
      <c r="H320" s="83" t="str">
        <f>IF($G320&lt;&gt;"",VLOOKUP($G320,'WPS '!C$5:M$209,3,FALSE),"")</f>
        <v>GTAW</v>
      </c>
      <c r="I320" s="22" t="s">
        <v>1193</v>
      </c>
      <c r="J320" s="77" t="s">
        <v>1216</v>
      </c>
      <c r="K320" s="69" t="s">
        <v>1469</v>
      </c>
      <c r="L320" s="22" t="str">
        <f>IF($G320&lt;&gt;"",VLOOKUP($G320,'WPS '!C$5:M$209,8,FALSE),"")</f>
        <v>ER 309L</v>
      </c>
      <c r="M320" s="76" t="s">
        <v>1470</v>
      </c>
      <c r="N320" s="21">
        <v>45911</v>
      </c>
      <c r="O320" s="21">
        <v>45912</v>
      </c>
      <c r="P320" s="21">
        <f t="shared" si="11"/>
        <v>46277</v>
      </c>
      <c r="Q320" s="164" t="str">
        <f>IF($G320&lt;&gt;"",VLOOKUP($G320,'WPS '!C$5:M$209,11,FALSE),"")</f>
        <v>AWS D1.6</v>
      </c>
      <c r="R320" s="147" t="str">
        <f>IF($G320&lt;&gt;"",VLOOKUP($G320,'WPS '!$C$5:$M$209,2,FALSE),"")</f>
        <v>OSR-WPS-D1.6-GT-108</v>
      </c>
      <c r="S320" s="30"/>
      <c r="T320" s="30"/>
      <c r="U320" s="30"/>
      <c r="V320" s="30"/>
      <c r="W320" s="30"/>
      <c r="X320" s="30"/>
      <c r="Y320" s="30"/>
      <c r="Z320" s="30"/>
      <c r="AA320" s="30"/>
      <c r="AB320" s="30"/>
      <c r="AC320" s="30" t="s">
        <v>95</v>
      </c>
      <c r="AD320" s="30" t="s">
        <v>356</v>
      </c>
      <c r="AE320" s="54"/>
      <c r="AF320" s="54" t="s">
        <v>356</v>
      </c>
      <c r="AG320" s="153">
        <v>2</v>
      </c>
    </row>
    <row r="321" spans="1:34" s="2" customFormat="1" ht="45" customHeight="1">
      <c r="A321" s="293">
        <f t="shared" si="10"/>
        <v>314</v>
      </c>
      <c r="B321" s="28" t="s">
        <v>327</v>
      </c>
      <c r="C321" s="296" t="s">
        <v>1635</v>
      </c>
      <c r="D321" s="56">
        <f>IF(F321="","",SUBTOTAL(3,$F$6:F321))</f>
        <v>315</v>
      </c>
      <c r="E321" s="34" t="s">
        <v>28</v>
      </c>
      <c r="F321" s="107" t="s">
        <v>1748</v>
      </c>
      <c r="G321" s="40" t="s">
        <v>1517</v>
      </c>
      <c r="H321" s="83" t="str">
        <f>IF($G321&lt;&gt;"",VLOOKUP($G321,'WPS '!C$5:M$209,3,FALSE),"")</f>
        <v>GTAW
FCAW</v>
      </c>
      <c r="I321" s="22" t="s">
        <v>1383</v>
      </c>
      <c r="J321" s="77" t="s">
        <v>1390</v>
      </c>
      <c r="K321" s="69" t="s">
        <v>1829</v>
      </c>
      <c r="L321" s="22" t="str">
        <f>IF($G321&lt;&gt;"",VLOOKUP($G321,'WPS '!C$5:M$209,8,FALSE),"")</f>
        <v>E70S-G
E71T-1C</v>
      </c>
      <c r="M321" s="76" t="s">
        <v>1560</v>
      </c>
      <c r="N321" s="21">
        <v>45919</v>
      </c>
      <c r="O321" s="21">
        <v>45921</v>
      </c>
      <c r="P321" s="21">
        <f t="shared" si="11"/>
        <v>46286</v>
      </c>
      <c r="Q321" s="164" t="str">
        <f>IF($G321&lt;&gt;"",VLOOKUP($G321,'WPS '!C$5:M$209,11,FALSE),"")</f>
        <v>AWS D1.1</v>
      </c>
      <c r="R321" s="147" t="str">
        <f>IF($G321&lt;&gt;"",VLOOKUP($G321,'WPS '!$C$5:$M$209,2,FALSE),"")</f>
        <v>OSR-WPS-D1.1-GT+FC-109</v>
      </c>
      <c r="S321" s="30"/>
      <c r="T321" s="30"/>
      <c r="U321" s="30"/>
      <c r="V321" s="30"/>
      <c r="W321" s="30"/>
      <c r="X321" s="30"/>
      <c r="Y321" s="30"/>
      <c r="Z321" s="30"/>
      <c r="AA321" s="30"/>
      <c r="AB321" s="30"/>
      <c r="AC321" s="30" t="s">
        <v>356</v>
      </c>
      <c r="AD321" s="30" t="s">
        <v>356</v>
      </c>
      <c r="AE321" s="54"/>
      <c r="AF321" s="54" t="s">
        <v>356</v>
      </c>
      <c r="AG321" s="153">
        <v>2</v>
      </c>
    </row>
    <row r="322" spans="1:34" s="2" customFormat="1" ht="45" customHeight="1">
      <c r="A322" s="293">
        <f t="shared" si="10"/>
        <v>315</v>
      </c>
      <c r="B322" s="5" t="s">
        <v>326</v>
      </c>
      <c r="C322" s="296" t="s">
        <v>1635</v>
      </c>
      <c r="D322" s="56">
        <f>IF(F322="","",SUBTOTAL(3,$F$6:F322))</f>
        <v>316</v>
      </c>
      <c r="E322" s="34" t="s">
        <v>31</v>
      </c>
      <c r="F322" s="107" t="s">
        <v>1762</v>
      </c>
      <c r="G322" s="40" t="s">
        <v>659</v>
      </c>
      <c r="H322" s="83">
        <f>IF($G322&lt;&gt;"",VLOOKUP($G322,'WPS '!C$5:M$209,3,FALSE),"")</f>
        <v>111</v>
      </c>
      <c r="I322" s="22" t="s">
        <v>1250</v>
      </c>
      <c r="J322" s="22" t="s">
        <v>242</v>
      </c>
      <c r="K322" s="69" t="s">
        <v>884</v>
      </c>
      <c r="L322" s="22" t="str">
        <f>IF($G322&lt;&gt;"",VLOOKUP($G322,'WPS '!C$5:M$209,8,FALSE),"")</f>
        <v>E7018.G</v>
      </c>
      <c r="M322" s="76" t="s">
        <v>32</v>
      </c>
      <c r="N322" s="21">
        <v>44890</v>
      </c>
      <c r="O322" s="21">
        <v>44893</v>
      </c>
      <c r="P322" s="21">
        <f t="shared" si="11"/>
        <v>46170</v>
      </c>
      <c r="Q322" s="164" t="s">
        <v>1811</v>
      </c>
      <c r="R322" s="147" t="str">
        <f>IF($G322&lt;&gt;"",VLOOKUP($G322,'WPS '!$C$5:$M$209,2,FALSE),"")</f>
        <v>OSR-WPS-ISO-003</v>
      </c>
      <c r="S322" s="30"/>
      <c r="T322" s="30"/>
      <c r="U322" s="30"/>
      <c r="V322" s="30"/>
      <c r="W322" s="30"/>
      <c r="X322" s="30"/>
      <c r="Y322" s="30"/>
      <c r="Z322" s="30"/>
      <c r="AA322" s="30"/>
      <c r="AB322" s="30"/>
      <c r="AC322" s="30"/>
      <c r="AD322" s="30"/>
      <c r="AE322" s="54"/>
      <c r="AF322" s="54"/>
      <c r="AG322" s="66">
        <v>7</v>
      </c>
      <c r="AH322" s="115"/>
    </row>
    <row r="323" spans="1:34" s="2" customFormat="1" ht="45" customHeight="1">
      <c r="A323" s="293">
        <f t="shared" si="10"/>
        <v>316</v>
      </c>
      <c r="B323" s="5" t="s">
        <v>326</v>
      </c>
      <c r="C323" s="296" t="s">
        <v>1635</v>
      </c>
      <c r="D323" s="56">
        <f>IF(F323="","",SUBTOTAL(3,$F$6:F323))</f>
        <v>317</v>
      </c>
      <c r="E323" s="34" t="s">
        <v>31</v>
      </c>
      <c r="F323" s="107" t="s">
        <v>1762</v>
      </c>
      <c r="G323" s="40" t="s">
        <v>661</v>
      </c>
      <c r="H323" s="83">
        <f>IF($G323&lt;&gt;"",VLOOKUP($G323,'WPS '!C$5:M$209,3,FALSE),"")</f>
        <v>136</v>
      </c>
      <c r="I323" s="22" t="s">
        <v>1250</v>
      </c>
      <c r="J323" s="22" t="s">
        <v>1681</v>
      </c>
      <c r="K323" s="69" t="s">
        <v>884</v>
      </c>
      <c r="L323" s="22" t="str">
        <f>IF($G323&lt;&gt;"",VLOOKUP($G323,'WPS '!C$5:M$209,8,FALSE),"")</f>
        <v>E71T-1C</v>
      </c>
      <c r="M323" s="76" t="s">
        <v>61</v>
      </c>
      <c r="N323" s="21">
        <v>45359</v>
      </c>
      <c r="O323" s="21">
        <v>45362</v>
      </c>
      <c r="P323" s="21">
        <f t="shared" si="11"/>
        <v>46092</v>
      </c>
      <c r="Q323" s="164" t="s">
        <v>1811</v>
      </c>
      <c r="R323" s="147" t="str">
        <f>IF($G323&lt;&gt;"",VLOOKUP($G323,'WPS '!$C$5:$M$209,2,FALSE),"")</f>
        <v>OSR-WPS-ISO-PC+PF-005</v>
      </c>
      <c r="S323" s="30"/>
      <c r="T323" s="30"/>
      <c r="U323" s="30"/>
      <c r="V323" s="30"/>
      <c r="W323" s="30" t="s">
        <v>356</v>
      </c>
      <c r="X323" s="30" t="s">
        <v>95</v>
      </c>
      <c r="Y323" s="30"/>
      <c r="Z323" s="30"/>
      <c r="AA323" s="30" t="s">
        <v>95</v>
      </c>
      <c r="AB323" s="30"/>
      <c r="AC323" s="30"/>
      <c r="AD323" s="30"/>
      <c r="AE323" s="54"/>
      <c r="AF323" s="54"/>
      <c r="AG323" s="66">
        <v>4</v>
      </c>
      <c r="AH323" s="115"/>
    </row>
    <row r="324" spans="1:34" s="2" customFormat="1" ht="45" customHeight="1">
      <c r="A324" s="293">
        <f t="shared" si="10"/>
        <v>317</v>
      </c>
      <c r="B324" s="5" t="s">
        <v>326</v>
      </c>
      <c r="C324" s="296" t="s">
        <v>1635</v>
      </c>
      <c r="D324" s="56">
        <f>IF(F324="","",SUBTOTAL(3,$F$6:F324))</f>
        <v>318</v>
      </c>
      <c r="E324" s="34" t="s">
        <v>31</v>
      </c>
      <c r="F324" s="107" t="s">
        <v>1762</v>
      </c>
      <c r="G324" s="40" t="s">
        <v>675</v>
      </c>
      <c r="H324" s="83">
        <f>IF($G324&lt;&gt;"",VLOOKUP($G324,'WPS '!C$5:M$209,3,FALSE),"")</f>
        <v>136</v>
      </c>
      <c r="I324" s="22" t="s">
        <v>1251</v>
      </c>
      <c r="J324" s="22" t="s">
        <v>252</v>
      </c>
      <c r="K324" s="69" t="s">
        <v>884</v>
      </c>
      <c r="L324" s="22" t="str">
        <f>IF($G324&lt;&gt;"",VLOOKUP($G324,'WPS '!C$5:M$209,8,FALSE),"")</f>
        <v>E71T-1C</v>
      </c>
      <c r="M324" s="76" t="s">
        <v>89</v>
      </c>
      <c r="N324" s="21">
        <v>45795</v>
      </c>
      <c r="O324" s="21">
        <v>45799</v>
      </c>
      <c r="P324" s="21">
        <f t="shared" si="11"/>
        <v>46164</v>
      </c>
      <c r="Q324" s="164" t="s">
        <v>1811</v>
      </c>
      <c r="R324" s="147" t="str">
        <f>IF($G324&lt;&gt;"",VLOOKUP($G324,'WPS '!$C$5:$M$209,2,FALSE),"")</f>
        <v>OSR-WPS-ISO-PE-020</v>
      </c>
      <c r="S324" s="30"/>
      <c r="T324" s="30"/>
      <c r="U324" s="30"/>
      <c r="V324" s="30"/>
      <c r="W324" s="30"/>
      <c r="X324" s="30"/>
      <c r="Y324" s="30" t="s">
        <v>95</v>
      </c>
      <c r="Z324" s="30"/>
      <c r="AA324" s="30" t="s">
        <v>356</v>
      </c>
      <c r="AB324" s="30"/>
      <c r="AC324" s="30"/>
      <c r="AD324" s="30"/>
      <c r="AE324" s="54"/>
      <c r="AF324" s="54"/>
      <c r="AG324" s="66">
        <v>2</v>
      </c>
      <c r="AH324" s="115"/>
    </row>
    <row r="325" spans="1:34" s="2" customFormat="1" ht="45" customHeight="1">
      <c r="A325" s="293">
        <f t="shared" si="10"/>
        <v>318</v>
      </c>
      <c r="B325" s="5" t="s">
        <v>326</v>
      </c>
      <c r="C325" s="296" t="s">
        <v>1635</v>
      </c>
      <c r="D325" s="56">
        <f>IF(F325="","",SUBTOTAL(3,$F$6:F325))</f>
        <v>319</v>
      </c>
      <c r="E325" s="34" t="s">
        <v>31</v>
      </c>
      <c r="F325" s="107" t="s">
        <v>1762</v>
      </c>
      <c r="G325" s="40" t="s">
        <v>675</v>
      </c>
      <c r="H325" s="83">
        <f>IF($G325&lt;&gt;"",VLOOKUP($G325,'WPS '!C$5:M$209,3,FALSE),"")</f>
        <v>136</v>
      </c>
      <c r="I325" s="22" t="s">
        <v>1251</v>
      </c>
      <c r="J325" s="22" t="s">
        <v>244</v>
      </c>
      <c r="K325" s="69" t="s">
        <v>884</v>
      </c>
      <c r="L325" s="22" t="str">
        <f>IF($G325&lt;&gt;"",VLOOKUP($G325,'WPS '!C$5:M$209,8,FALSE),"")</f>
        <v>E71T-1C</v>
      </c>
      <c r="M325" s="76" t="s">
        <v>909</v>
      </c>
      <c r="N325" s="21">
        <v>45813</v>
      </c>
      <c r="O325" s="21">
        <v>45816</v>
      </c>
      <c r="P325" s="21">
        <f t="shared" si="11"/>
        <v>46181</v>
      </c>
      <c r="Q325" s="164" t="s">
        <v>1811</v>
      </c>
      <c r="R325" s="147" t="str">
        <f>IF($G325&lt;&gt;"",VLOOKUP($G325,'WPS '!$C$5:$M$209,2,FALSE),"")</f>
        <v>OSR-WPS-ISO-PE-020</v>
      </c>
      <c r="S325" s="30"/>
      <c r="T325" s="30"/>
      <c r="U325" s="30"/>
      <c r="V325" s="30"/>
      <c r="W325" s="30"/>
      <c r="X325" s="30"/>
      <c r="Y325" s="30" t="s">
        <v>95</v>
      </c>
      <c r="Z325" s="30"/>
      <c r="AA325" s="30" t="s">
        <v>356</v>
      </c>
      <c r="AB325" s="30"/>
      <c r="AC325" s="30"/>
      <c r="AD325" s="30"/>
      <c r="AE325" s="54"/>
      <c r="AF325" s="54"/>
      <c r="AG325" s="66">
        <v>2</v>
      </c>
      <c r="AH325" s="115"/>
    </row>
    <row r="326" spans="1:34" s="2" customFormat="1" ht="45" customHeight="1">
      <c r="A326" s="293">
        <f t="shared" si="10"/>
        <v>319</v>
      </c>
      <c r="B326" s="5" t="s">
        <v>326</v>
      </c>
      <c r="C326" s="296" t="s">
        <v>1635</v>
      </c>
      <c r="D326" s="56">
        <f>IF(F326="","",SUBTOTAL(3,$F$6:F326))</f>
        <v>320</v>
      </c>
      <c r="E326" s="34" t="s">
        <v>31</v>
      </c>
      <c r="F326" s="107" t="s">
        <v>1762</v>
      </c>
      <c r="G326" s="40" t="s">
        <v>701</v>
      </c>
      <c r="H326" s="83">
        <f>IF($G326&lt;&gt;"",VLOOKUP($G326,'WPS '!C$5:M$209,3,FALSE),"")</f>
        <v>136</v>
      </c>
      <c r="I326" s="22" t="s">
        <v>1250</v>
      </c>
      <c r="J326" s="22" t="s">
        <v>257</v>
      </c>
      <c r="K326" s="69" t="s">
        <v>884</v>
      </c>
      <c r="L326" s="22" t="str">
        <f>IF($G326&lt;&gt;"",VLOOKUP($G326,'WPS '!C$5:M$209,8,FALSE),"")</f>
        <v>E81T1-W2C</v>
      </c>
      <c r="M326" s="76" t="s">
        <v>144</v>
      </c>
      <c r="N326" s="21">
        <v>45724</v>
      </c>
      <c r="O326" s="21">
        <v>45731</v>
      </c>
      <c r="P326" s="21">
        <f t="shared" si="11"/>
        <v>46096</v>
      </c>
      <c r="Q326" s="164" t="s">
        <v>1811</v>
      </c>
      <c r="R326" s="147" t="str">
        <f>IF($G326&lt;&gt;"",VLOOKUP($G326,'WPS '!$C$5:$M$209,2,FALSE),"")</f>
        <v>OSR-WPS-ISO-PC-046</v>
      </c>
      <c r="S326" s="30"/>
      <c r="T326" s="30"/>
      <c r="U326" s="30"/>
      <c r="V326" s="30"/>
      <c r="W326" s="30"/>
      <c r="X326" s="30" t="s">
        <v>95</v>
      </c>
      <c r="Y326" s="30"/>
      <c r="Z326" s="30"/>
      <c r="AA326" s="30"/>
      <c r="AB326" s="30"/>
      <c r="AC326" s="30"/>
      <c r="AD326" s="30"/>
      <c r="AE326" s="54"/>
      <c r="AF326" s="54"/>
      <c r="AG326" s="66">
        <v>2</v>
      </c>
      <c r="AH326" s="115"/>
    </row>
    <row r="327" spans="1:34" s="2" customFormat="1" ht="45" customHeight="1">
      <c r="A327" s="293">
        <f t="shared" si="10"/>
        <v>320</v>
      </c>
      <c r="B327" s="5" t="s">
        <v>326</v>
      </c>
      <c r="C327" s="296" t="s">
        <v>1635</v>
      </c>
      <c r="D327" s="56">
        <f>IF(F327="","",SUBTOTAL(3,$F$6:F327))</f>
        <v>321</v>
      </c>
      <c r="E327" s="34" t="s">
        <v>31</v>
      </c>
      <c r="F327" s="107" t="s">
        <v>1762</v>
      </c>
      <c r="G327" s="40" t="s">
        <v>1230</v>
      </c>
      <c r="H327" s="83">
        <f>IF($G327&lt;&gt;"",VLOOKUP($G327,'WPS '!C$5:M$209,3,FALSE),"")</f>
        <v>136</v>
      </c>
      <c r="I327" s="22" t="s">
        <v>1250</v>
      </c>
      <c r="J327" s="22" t="s">
        <v>931</v>
      </c>
      <c r="K327" s="69" t="s">
        <v>884</v>
      </c>
      <c r="L327" s="22" t="str">
        <f>IF($G327&lt;&gt;"",VLOOKUP($G327,'WPS '!C$5:M$209,8,FALSE),"")</f>
        <v>E309LT1-1/-4</v>
      </c>
      <c r="M327" s="76" t="s">
        <v>1263</v>
      </c>
      <c r="N327" s="21">
        <v>45906</v>
      </c>
      <c r="O327" s="21">
        <v>45909</v>
      </c>
      <c r="P327" s="21">
        <f t="shared" si="11"/>
        <v>46274</v>
      </c>
      <c r="Q327" s="164" t="s">
        <v>1811</v>
      </c>
      <c r="R327" s="147" t="str">
        <f>IF($G327&lt;&gt;"",VLOOKUP($G327,'WPS '!$C$5:$M$209,2,FALSE),"")</f>
        <v>OSR-WPS-ISO-PF-074</v>
      </c>
      <c r="S327" s="30"/>
      <c r="T327" s="30"/>
      <c r="U327" s="30"/>
      <c r="V327" s="30"/>
      <c r="W327" s="30"/>
      <c r="X327" s="30"/>
      <c r="Y327" s="30"/>
      <c r="Z327" s="30" t="s">
        <v>95</v>
      </c>
      <c r="AA327" s="30"/>
      <c r="AB327" s="30"/>
      <c r="AC327" s="30"/>
      <c r="AD327" s="30"/>
      <c r="AE327" s="54"/>
      <c r="AF327" s="54"/>
      <c r="AG327" s="66">
        <v>2</v>
      </c>
      <c r="AH327" s="115"/>
    </row>
    <row r="328" spans="1:34" s="2" customFormat="1" ht="45" customHeight="1">
      <c r="A328" s="293">
        <f t="shared" ref="A328:A391" si="12">A327+1</f>
        <v>321</v>
      </c>
      <c r="B328" s="28" t="s">
        <v>326</v>
      </c>
      <c r="C328" s="295" t="s">
        <v>1635</v>
      </c>
      <c r="D328" s="56">
        <f>IF(F328="","",SUBTOTAL(3,$F$6:F328))</f>
        <v>322</v>
      </c>
      <c r="E328" s="34" t="s">
        <v>31</v>
      </c>
      <c r="F328" s="107" t="s">
        <v>1762</v>
      </c>
      <c r="G328" s="39" t="s">
        <v>718</v>
      </c>
      <c r="H328" s="83" t="str">
        <f>IF($G328&lt;&gt;"",VLOOKUP($G328,'WPS '!C$5:M$209,3,FALSE),"")</f>
        <v>FCAW</v>
      </c>
      <c r="I328" s="22" t="s">
        <v>852</v>
      </c>
      <c r="J328" s="22" t="s">
        <v>1390</v>
      </c>
      <c r="K328" s="69" t="s">
        <v>116</v>
      </c>
      <c r="L328" s="22" t="str">
        <f>IF($G328&lt;&gt;"",VLOOKUP($G328,'WPS '!C$5:M$209,8,FALSE),"")</f>
        <v>E71T-1C</v>
      </c>
      <c r="M328" s="76" t="s">
        <v>272</v>
      </c>
      <c r="N328" s="21">
        <v>45586</v>
      </c>
      <c r="O328" s="21">
        <v>45590</v>
      </c>
      <c r="P328" s="21">
        <f t="shared" si="11"/>
        <v>46137</v>
      </c>
      <c r="Q328" s="164" t="str">
        <f>IF($G328&lt;&gt;"",VLOOKUP($G328,'WPS '!C$5:M$209,11,FALSE),"")</f>
        <v>ASME IX</v>
      </c>
      <c r="R328" s="147" t="str">
        <f>IF($G328&lt;&gt;"",VLOOKUP($G328,'WPS '!$C$5:$M$209,2,FALSE),"")</f>
        <v>OSR-WPS-ASME-FC-001</v>
      </c>
      <c r="S328" s="30" t="s">
        <v>356</v>
      </c>
      <c r="T328" s="30"/>
      <c r="U328" s="30"/>
      <c r="V328" s="30"/>
      <c r="W328" s="62"/>
      <c r="X328" s="30"/>
      <c r="Y328" s="32"/>
      <c r="Z328" s="32"/>
      <c r="AA328" s="32"/>
      <c r="AB328" s="62"/>
      <c r="AC328" s="62"/>
      <c r="AD328" s="62"/>
      <c r="AE328" s="146"/>
      <c r="AF328" s="146"/>
      <c r="AG328" s="67">
        <v>3</v>
      </c>
      <c r="AH328" s="18"/>
    </row>
    <row r="329" spans="1:34" s="2" customFormat="1" ht="45" customHeight="1">
      <c r="A329" s="293">
        <f t="shared" si="12"/>
        <v>322</v>
      </c>
      <c r="B329" s="28" t="s">
        <v>326</v>
      </c>
      <c r="C329" s="295" t="s">
        <v>1635</v>
      </c>
      <c r="D329" s="56">
        <f>IF(F329="","",SUBTOTAL(3,$F$6:F329))</f>
        <v>323</v>
      </c>
      <c r="E329" s="34" t="s">
        <v>31</v>
      </c>
      <c r="F329" s="107" t="s">
        <v>1762</v>
      </c>
      <c r="G329" s="39" t="s">
        <v>723</v>
      </c>
      <c r="H329" s="83" t="str">
        <f>IF($G329&lt;&gt;"",VLOOKUP($G329,'WPS '!C$5:M$209,3,FALSE),"")</f>
        <v>GTAW</v>
      </c>
      <c r="I329" s="22" t="s">
        <v>853</v>
      </c>
      <c r="J329" s="22" t="s">
        <v>1472</v>
      </c>
      <c r="K329" s="69" t="s">
        <v>105</v>
      </c>
      <c r="L329" s="22" t="str">
        <f>IF($G329&lt;&gt;"",VLOOKUP($G329,'WPS '!C$5:M$209,8,FALSE),"")</f>
        <v>ERNiCr 3</v>
      </c>
      <c r="M329" s="76" t="s">
        <v>273</v>
      </c>
      <c r="N329" s="21">
        <v>45706</v>
      </c>
      <c r="O329" s="21">
        <v>45714</v>
      </c>
      <c r="P329" s="21">
        <f t="shared" si="11"/>
        <v>46079</v>
      </c>
      <c r="Q329" s="164" t="str">
        <f>IF($G329&lt;&gt;"",VLOOKUP($G329,'WPS '!C$5:M$209,11,FALSE),"")</f>
        <v>ASME IX</v>
      </c>
      <c r="R329" s="147" t="str">
        <f>IF($G329&lt;&gt;"",VLOOKUP($G329,'WPS '!$C$5:$M$209,2,FALSE),"")</f>
        <v>OSR-WPS-ASME-GT-006</v>
      </c>
      <c r="S329" s="30" t="s">
        <v>356</v>
      </c>
      <c r="T329" s="30"/>
      <c r="U329" s="30"/>
      <c r="V329" s="30"/>
      <c r="W329" s="62"/>
      <c r="X329" s="30"/>
      <c r="Y329" s="32"/>
      <c r="Z329" s="32"/>
      <c r="AA329" s="32"/>
      <c r="AB329" s="62"/>
      <c r="AC329" s="62"/>
      <c r="AD329" s="62"/>
      <c r="AE329" s="146"/>
      <c r="AF329" s="146"/>
      <c r="AG329" s="66">
        <v>2</v>
      </c>
      <c r="AH329" s="28" t="s">
        <v>1533</v>
      </c>
    </row>
    <row r="330" spans="1:34" s="2" customFormat="1" ht="45" customHeight="1">
      <c r="A330" s="293">
        <f t="shared" si="12"/>
        <v>323</v>
      </c>
      <c r="B330" s="28" t="s">
        <v>326</v>
      </c>
      <c r="C330" s="295" t="s">
        <v>1635</v>
      </c>
      <c r="D330" s="56">
        <f>IF(F330="","",SUBTOTAL(3,$F$6:F330))</f>
        <v>324</v>
      </c>
      <c r="E330" s="34" t="s">
        <v>31</v>
      </c>
      <c r="F330" s="107" t="s">
        <v>1762</v>
      </c>
      <c r="G330" s="39" t="s">
        <v>1543</v>
      </c>
      <c r="H330" s="83" t="str">
        <f>IF($G330&lt;&gt;"",VLOOKUP($G330,'WPS '!C$5:M$209,3,FALSE),"")</f>
        <v>GTAW
FCAW</v>
      </c>
      <c r="I330" s="22" t="s">
        <v>854</v>
      </c>
      <c r="J330" s="22" t="s">
        <v>104</v>
      </c>
      <c r="K330" s="69" t="s">
        <v>1556</v>
      </c>
      <c r="L330" s="22" t="str">
        <f>IF($G330&lt;&gt;"",VLOOKUP($G330,'WPS '!C$5:M$209,8,FALSE),"")</f>
        <v>ER308L
E308LT1-1/-4</v>
      </c>
      <c r="M330" s="76" t="s">
        <v>1557</v>
      </c>
      <c r="N330" s="21">
        <v>45929</v>
      </c>
      <c r="O330" s="21">
        <v>45931</v>
      </c>
      <c r="P330" s="21">
        <f t="shared" si="11"/>
        <v>46296</v>
      </c>
      <c r="Q330" s="164" t="str">
        <f>IF($G330&lt;&gt;"",VLOOKUP($G330,'WPS '!C$5:M$209,11,FALSE),"")</f>
        <v>ASME IX</v>
      </c>
      <c r="R330" s="147" t="str">
        <f>IF($G330&lt;&gt;"",VLOOKUP($G330,'WPS '!$C$5:$M$209,2,FALSE),"")</f>
        <v>OSR-WPS-ASME-GT+FC-015</v>
      </c>
      <c r="S330" s="30"/>
      <c r="T330" s="30"/>
      <c r="U330" s="30"/>
      <c r="V330" s="30"/>
      <c r="W330" s="62"/>
      <c r="X330" s="30"/>
      <c r="Y330" s="32"/>
      <c r="Z330" s="32"/>
      <c r="AA330" s="32"/>
      <c r="AB330" s="62"/>
      <c r="AC330" s="62" t="s">
        <v>364</v>
      </c>
      <c r="AD330" s="62" t="s">
        <v>364</v>
      </c>
      <c r="AE330" s="146"/>
      <c r="AF330" s="146"/>
      <c r="AG330" s="66">
        <v>2</v>
      </c>
      <c r="AH330" s="18"/>
    </row>
    <row r="331" spans="1:34" s="2" customFormat="1" ht="45" customHeight="1">
      <c r="A331" s="293">
        <f t="shared" si="12"/>
        <v>324</v>
      </c>
      <c r="B331" s="28" t="s">
        <v>326</v>
      </c>
      <c r="C331" s="296" t="s">
        <v>1635</v>
      </c>
      <c r="D331" s="56">
        <f>IF(F331="","",SUBTOTAL(3,$F$6:F331))</f>
        <v>325</v>
      </c>
      <c r="E331" s="34" t="s">
        <v>31</v>
      </c>
      <c r="F331" s="107" t="s">
        <v>1762</v>
      </c>
      <c r="G331" s="40" t="s">
        <v>732</v>
      </c>
      <c r="H331" s="83" t="str">
        <f>IF($G331&lt;&gt;"",VLOOKUP($G331,'WPS '!C$5:M$209,3,FALSE),"")</f>
        <v>FCAW</v>
      </c>
      <c r="I331" s="22" t="s">
        <v>1499</v>
      </c>
      <c r="J331" s="77" t="s">
        <v>1390</v>
      </c>
      <c r="K331" s="69" t="s">
        <v>1478</v>
      </c>
      <c r="L331" s="22" t="str">
        <f>IF($G331&lt;&gt;"",VLOOKUP($G331,'WPS '!C$5:M$209,8,FALSE),"")</f>
        <v>E71T-1C</v>
      </c>
      <c r="M331" s="76" t="s">
        <v>1064</v>
      </c>
      <c r="N331" s="21">
        <v>44212</v>
      </c>
      <c r="O331" s="21">
        <v>44400</v>
      </c>
      <c r="P331" s="21">
        <f t="shared" si="11"/>
        <v>46045</v>
      </c>
      <c r="Q331" s="164" t="str">
        <f>IF($G331&lt;&gt;"",VLOOKUP($G331,'WPS '!C$5:M$209,11,FALSE),"")</f>
        <v>AWS D1.1</v>
      </c>
      <c r="R331" s="147" t="str">
        <f>IF($G331&lt;&gt;"",VLOOKUP($G331,'WPS '!$C$5:$M$209,2,FALSE),"")</f>
        <v>OSR-WPS-D1.1-FC-003</v>
      </c>
      <c r="S331" s="30"/>
      <c r="T331" s="30" t="s">
        <v>356</v>
      </c>
      <c r="U331" s="30"/>
      <c r="V331" s="30" t="s">
        <v>356</v>
      </c>
      <c r="W331" s="30"/>
      <c r="X331" s="30"/>
      <c r="Y331" s="30"/>
      <c r="Z331" s="30"/>
      <c r="AA331" s="30"/>
      <c r="AB331" s="30"/>
      <c r="AC331" s="30"/>
      <c r="AD331" s="30"/>
      <c r="AE331" s="54"/>
      <c r="AF331" s="54" t="s">
        <v>356</v>
      </c>
      <c r="AG331" s="153">
        <v>9</v>
      </c>
    </row>
    <row r="332" spans="1:34" s="2" customFormat="1" ht="45" customHeight="1">
      <c r="A332" s="293">
        <f t="shared" si="12"/>
        <v>325</v>
      </c>
      <c r="B332" s="28" t="s">
        <v>326</v>
      </c>
      <c r="C332" s="296" t="s">
        <v>1635</v>
      </c>
      <c r="D332" s="56">
        <f>IF(F332="","",SUBTOTAL(3,$F$6:F332))</f>
        <v>326</v>
      </c>
      <c r="E332" s="34" t="s">
        <v>31</v>
      </c>
      <c r="F332" s="107" t="s">
        <v>1762</v>
      </c>
      <c r="G332" s="39" t="s">
        <v>741</v>
      </c>
      <c r="H332" s="83" t="str">
        <f>IF($G332&lt;&gt;"",VLOOKUP($G332,'WPS '!C$5:M$209,3,FALSE),"")</f>
        <v>GTAW</v>
      </c>
      <c r="I332" s="22" t="s">
        <v>1509</v>
      </c>
      <c r="J332" s="77" t="s">
        <v>1189</v>
      </c>
      <c r="K332" s="69" t="s">
        <v>364</v>
      </c>
      <c r="L332" s="22" t="str">
        <f>IF($G332&lt;&gt;"",VLOOKUP($G332,'WPS '!C$5:M$209,8,FALSE),"")</f>
        <v>ER 308</v>
      </c>
      <c r="M332" s="76" t="s">
        <v>1079</v>
      </c>
      <c r="N332" s="21">
        <v>44393</v>
      </c>
      <c r="O332" s="21">
        <v>44400</v>
      </c>
      <c r="P332" s="21">
        <f t="shared" si="11"/>
        <v>46045</v>
      </c>
      <c r="Q332" s="164" t="str">
        <f>IF($G332&lt;&gt;"",VLOOKUP($G332,'WPS '!C$5:M$209,11,FALSE),"")</f>
        <v>AWS D9.1</v>
      </c>
      <c r="R332" s="147" t="str">
        <f>IF($G332&lt;&gt;"",VLOOKUP($G332,'WPS '!$C$5:$M$209,2,FALSE),"")</f>
        <v>OSR-WPS-D9.1-GT-013</v>
      </c>
      <c r="S332" s="30"/>
      <c r="T332" s="30"/>
      <c r="U332" s="30"/>
      <c r="V332" s="31"/>
      <c r="W332" s="31"/>
      <c r="X332" s="31"/>
      <c r="Y332" s="31"/>
      <c r="Z332" s="31"/>
      <c r="AA332" s="31"/>
      <c r="AB332" s="31"/>
      <c r="AC332" s="62" t="s">
        <v>356</v>
      </c>
      <c r="AD332" s="62" t="s">
        <v>356</v>
      </c>
      <c r="AE332" s="146"/>
      <c r="AF332" s="146"/>
      <c r="AG332" s="153">
        <v>9</v>
      </c>
    </row>
    <row r="333" spans="1:34" s="2" customFormat="1" ht="45" customHeight="1">
      <c r="A333" s="293">
        <f t="shared" si="12"/>
        <v>326</v>
      </c>
      <c r="B333" s="28" t="s">
        <v>326</v>
      </c>
      <c r="C333" s="296" t="s">
        <v>1635</v>
      </c>
      <c r="D333" s="56">
        <f>IF(F333="","",SUBTOTAL(3,$F$6:F333))</f>
        <v>327</v>
      </c>
      <c r="E333" s="34" t="s">
        <v>31</v>
      </c>
      <c r="F333" s="107" t="s">
        <v>1762</v>
      </c>
      <c r="G333" s="39" t="s">
        <v>779</v>
      </c>
      <c r="H333" s="83" t="str">
        <f>IF($G333&lt;&gt;"",VLOOKUP($G333,'WPS '!C$5:M$209,3,FALSE),"")</f>
        <v>FCAW</v>
      </c>
      <c r="I333" s="22" t="s">
        <v>1501</v>
      </c>
      <c r="J333" s="77" t="s">
        <v>107</v>
      </c>
      <c r="K333" s="69" t="s">
        <v>1479</v>
      </c>
      <c r="L333" s="22" t="str">
        <f>IF($G333&lt;&gt;"",VLOOKUP($G333,'WPS '!C$5:M$209,8,FALSE),"")</f>
        <v>E309L</v>
      </c>
      <c r="M333" s="76" t="s">
        <v>1108</v>
      </c>
      <c r="N333" s="21">
        <v>44393</v>
      </c>
      <c r="O333" s="21">
        <v>44400</v>
      </c>
      <c r="P333" s="21">
        <f t="shared" si="11"/>
        <v>46045</v>
      </c>
      <c r="Q333" s="164" t="str">
        <f>IF($G333&lt;&gt;"",VLOOKUP($G333,'WPS '!C$5:M$209,11,FALSE),"")</f>
        <v>AWS D1.6</v>
      </c>
      <c r="R333" s="147" t="str">
        <f>IF($G333&lt;&gt;"",VLOOKUP($G333,'WPS '!$C$5:$M$209,2,FALSE),"")</f>
        <v>OSR-WPS-D1.6-FC-051</v>
      </c>
      <c r="S333" s="30"/>
      <c r="T333" s="30" t="s">
        <v>356</v>
      </c>
      <c r="U333" s="30"/>
      <c r="V333" s="32"/>
      <c r="W333" s="32"/>
      <c r="X333" s="32"/>
      <c r="Y333" s="32"/>
      <c r="Z333" s="32"/>
      <c r="AA333" s="32"/>
      <c r="AB333" s="32"/>
      <c r="AC333" s="62" t="s">
        <v>356</v>
      </c>
      <c r="AD333" s="62" t="s">
        <v>95</v>
      </c>
      <c r="AE333" s="146"/>
      <c r="AF333" s="146"/>
      <c r="AG333" s="153">
        <v>9</v>
      </c>
    </row>
    <row r="334" spans="1:34" s="2" customFormat="1" ht="45" customHeight="1">
      <c r="A334" s="293">
        <f t="shared" si="12"/>
        <v>327</v>
      </c>
      <c r="B334" s="28" t="s">
        <v>326</v>
      </c>
      <c r="C334" s="296" t="s">
        <v>1635</v>
      </c>
      <c r="D334" s="56">
        <f>IF(F334="","",SUBTOTAL(3,$F$6:F334))</f>
        <v>328</v>
      </c>
      <c r="E334" s="36" t="s">
        <v>31</v>
      </c>
      <c r="F334" s="106" t="s">
        <v>1762</v>
      </c>
      <c r="G334" s="40" t="s">
        <v>782</v>
      </c>
      <c r="H334" s="83" t="str">
        <f>IF($G334&lt;&gt;"",VLOOKUP($G334,'WPS '!C$5:M$209,3,FALSE),"")</f>
        <v>SMAW</v>
      </c>
      <c r="I334" s="22" t="s">
        <v>1492</v>
      </c>
      <c r="J334" s="77" t="s">
        <v>1215</v>
      </c>
      <c r="K334" s="69" t="s">
        <v>1480</v>
      </c>
      <c r="L334" s="22" t="str">
        <f>IF($G334&lt;&gt;"",VLOOKUP($G334,'WPS '!C$5:M$209,8,FALSE),"")</f>
        <v>E8016-B2</v>
      </c>
      <c r="M334" s="76" t="s">
        <v>1113</v>
      </c>
      <c r="N334" s="21">
        <v>44058</v>
      </c>
      <c r="O334" s="21">
        <v>44791</v>
      </c>
      <c r="P334" s="21">
        <f t="shared" si="11"/>
        <v>46071</v>
      </c>
      <c r="Q334" s="164" t="str">
        <f>IF($G334&lt;&gt;"",VLOOKUP($G334,'WPS '!C$5:M$209,11,FALSE),"")</f>
        <v>AWS D1.1</v>
      </c>
      <c r="R334" s="147" t="str">
        <f>IF($G334&lt;&gt;"",VLOOKUP($G334,'WPS '!$C$5:$M$209,2,FALSE),"")</f>
        <v>OSR-WPS-D1.1-SM-054</v>
      </c>
      <c r="S334" s="30"/>
      <c r="T334" s="30"/>
      <c r="U334" s="30"/>
      <c r="V334" s="30"/>
      <c r="W334" s="30"/>
      <c r="X334" s="30"/>
      <c r="Y334" s="30"/>
      <c r="Z334" s="30"/>
      <c r="AA334" s="30"/>
      <c r="AB334" s="30"/>
      <c r="AC334" s="30"/>
      <c r="AD334" s="30"/>
      <c r="AE334" s="54"/>
      <c r="AF334" s="54"/>
      <c r="AG334" s="153">
        <v>7</v>
      </c>
    </row>
    <row r="335" spans="1:34" ht="45" customHeight="1">
      <c r="A335" s="293">
        <f t="shared" si="12"/>
        <v>328</v>
      </c>
      <c r="B335" s="28" t="s">
        <v>326</v>
      </c>
      <c r="C335" s="296" t="s">
        <v>1635</v>
      </c>
      <c r="D335" s="56">
        <f>IF(F335="","",SUBTOTAL(3,$F$6:F335))</f>
        <v>329</v>
      </c>
      <c r="E335" s="34" t="s">
        <v>31</v>
      </c>
      <c r="F335" s="107" t="s">
        <v>1762</v>
      </c>
      <c r="G335" s="39" t="s">
        <v>786</v>
      </c>
      <c r="H335" s="83" t="str">
        <f>IF($G335&lt;&gt;"",VLOOKUP($G335,'WPS '!C$5:M$209,3,FALSE),"")</f>
        <v>FCAW</v>
      </c>
      <c r="I335" s="22" t="s">
        <v>1492</v>
      </c>
      <c r="J335" s="77" t="s">
        <v>1390</v>
      </c>
      <c r="K335" s="69" t="s">
        <v>1478</v>
      </c>
      <c r="L335" s="22" t="str">
        <f>IF($G335&lt;&gt;"",VLOOKUP($G335,'WPS '!C$5:M$209,8,FALSE),"")</f>
        <v>E71T-1C</v>
      </c>
      <c r="M335" s="76" t="s">
        <v>1025</v>
      </c>
      <c r="N335" s="21">
        <v>44911</v>
      </c>
      <c r="O335" s="21">
        <v>44921</v>
      </c>
      <c r="P335" s="21">
        <f t="shared" si="11"/>
        <v>46017</v>
      </c>
      <c r="Q335" s="164" t="str">
        <f>IF($G335&lt;&gt;"",VLOOKUP($G335,'WPS '!C$5:M$209,11,FALSE),"")</f>
        <v>AWS D1.1</v>
      </c>
      <c r="R335" s="147" t="str">
        <f>IF($G335&lt;&gt;"",VLOOKUP($G335,'WPS '!$C$5:$M$209,2,FALSE),"")</f>
        <v>OSR-WPS-D1.1-FC-058</v>
      </c>
      <c r="S335" s="30"/>
      <c r="T335" s="30"/>
      <c r="U335" s="30"/>
      <c r="V335" s="31"/>
      <c r="W335" s="31"/>
      <c r="X335" s="31"/>
      <c r="Y335" s="31"/>
      <c r="Z335" s="31"/>
      <c r="AA335" s="31"/>
      <c r="AB335" s="31"/>
      <c r="AC335" s="62"/>
      <c r="AD335" s="62"/>
      <c r="AE335" s="146"/>
      <c r="AF335" s="146"/>
      <c r="AG335" s="153">
        <v>6</v>
      </c>
    </row>
    <row r="336" spans="1:34" ht="45" customHeight="1">
      <c r="A336" s="293">
        <f t="shared" si="12"/>
        <v>329</v>
      </c>
      <c r="B336" s="159" t="s">
        <v>1796</v>
      </c>
      <c r="C336" s="295" t="s">
        <v>1635</v>
      </c>
      <c r="D336" s="56">
        <f>IF(F336="","",SUBTOTAL(3,$F$6:F336))</f>
        <v>330</v>
      </c>
      <c r="E336" s="36" t="s">
        <v>172</v>
      </c>
      <c r="F336" s="106" t="s">
        <v>1765</v>
      </c>
      <c r="G336" s="39" t="s">
        <v>719</v>
      </c>
      <c r="H336" s="83" t="str">
        <f>IF($G336&lt;&gt;"",VLOOKUP($G336,'WPS '!C$5:M$209,3,FALSE),"")</f>
        <v>FCAW</v>
      </c>
      <c r="I336" s="22" t="s">
        <v>968</v>
      </c>
      <c r="J336" s="22" t="s">
        <v>1215</v>
      </c>
      <c r="K336" s="69" t="s">
        <v>964</v>
      </c>
      <c r="L336" s="22" t="str">
        <f>IF($G336&lt;&gt;"",VLOOKUP($G336,'WPS '!C$5:M$209,8,FALSE),"")</f>
        <v>E71T-1C</v>
      </c>
      <c r="M336" s="76" t="s">
        <v>967</v>
      </c>
      <c r="N336" s="21">
        <v>45875</v>
      </c>
      <c r="O336" s="21">
        <v>45877</v>
      </c>
      <c r="P336" s="21">
        <f t="shared" si="11"/>
        <v>46242</v>
      </c>
      <c r="Q336" s="164" t="str">
        <f>IF($G336&lt;&gt;"",VLOOKUP($G336,'WPS '!C$5:M$209,11,FALSE),"")</f>
        <v>ASME IX</v>
      </c>
      <c r="R336" s="147" t="str">
        <f>IF($G336&lt;&gt;"",VLOOKUP($G336,'WPS '!$C$5:$M$209,2,FALSE),"")</f>
        <v>OSR-WPS-ASME-FC-002</v>
      </c>
      <c r="S336" s="30" t="s">
        <v>356</v>
      </c>
      <c r="T336" s="30"/>
      <c r="U336" s="30"/>
      <c r="V336" s="30"/>
      <c r="W336" s="62"/>
      <c r="X336" s="30"/>
      <c r="Y336" s="31"/>
      <c r="Z336" s="31"/>
      <c r="AA336" s="31"/>
      <c r="AB336" s="62"/>
      <c r="AC336" s="62"/>
      <c r="AD336" s="62"/>
      <c r="AE336" s="146"/>
      <c r="AF336" s="146"/>
      <c r="AG336" s="67">
        <v>2</v>
      </c>
      <c r="AH336" s="17"/>
    </row>
    <row r="337" spans="1:34" s="2" customFormat="1" ht="45" customHeight="1">
      <c r="A337" s="293">
        <f t="shared" si="12"/>
        <v>330</v>
      </c>
      <c r="B337" s="159" t="s">
        <v>1796</v>
      </c>
      <c r="C337" s="295" t="s">
        <v>1635</v>
      </c>
      <c r="D337" s="56">
        <f>IF(F337="","",SUBTOTAL(3,$F$6:F337))</f>
        <v>331</v>
      </c>
      <c r="E337" s="36" t="s">
        <v>172</v>
      </c>
      <c r="F337" s="106" t="s">
        <v>1765</v>
      </c>
      <c r="G337" s="40" t="s">
        <v>700</v>
      </c>
      <c r="H337" s="83">
        <f>IF($G337&lt;&gt;"",VLOOKUP($G337,'WPS '!C$5:M$209,3,FALSE),"")</f>
        <v>136</v>
      </c>
      <c r="I337" s="22" t="s">
        <v>1250</v>
      </c>
      <c r="J337" s="22" t="s">
        <v>242</v>
      </c>
      <c r="K337" s="69" t="s">
        <v>884</v>
      </c>
      <c r="L337" s="22" t="str">
        <f>IF($G337&lt;&gt;"",VLOOKUP($G337,'WPS '!C$5:M$209,8,FALSE),"")</f>
        <v>E81T1-W2C</v>
      </c>
      <c r="M337" s="76" t="s">
        <v>173</v>
      </c>
      <c r="N337" s="21">
        <v>45745</v>
      </c>
      <c r="O337" s="21">
        <v>45747</v>
      </c>
      <c r="P337" s="21">
        <f t="shared" si="11"/>
        <v>46112</v>
      </c>
      <c r="Q337" s="164" t="s">
        <v>1811</v>
      </c>
      <c r="R337" s="147" t="str">
        <f>IF($G337&lt;&gt;"",VLOOKUP($G337,'WPS '!$C$5:$M$209,2,FALSE),"")</f>
        <v>OSR-WPS-ISO-PF-045</v>
      </c>
      <c r="S337" s="30"/>
      <c r="T337" s="30"/>
      <c r="U337" s="30"/>
      <c r="V337" s="30"/>
      <c r="W337" s="30"/>
      <c r="X337" s="30" t="s">
        <v>95</v>
      </c>
      <c r="Y337" s="30"/>
      <c r="Z337" s="30"/>
      <c r="AA337" s="30"/>
      <c r="AB337" s="30"/>
      <c r="AC337" s="30"/>
      <c r="AD337" s="30"/>
      <c r="AE337" s="54"/>
      <c r="AF337" s="54"/>
      <c r="AG337" s="66">
        <v>2</v>
      </c>
      <c r="AH337" s="17"/>
    </row>
    <row r="338" spans="1:34" ht="45" customHeight="1">
      <c r="A338" s="293">
        <f t="shared" si="12"/>
        <v>331</v>
      </c>
      <c r="B338" s="159" t="s">
        <v>1796</v>
      </c>
      <c r="C338" s="295" t="s">
        <v>1635</v>
      </c>
      <c r="D338" s="56">
        <f>IF(F338="","",SUBTOTAL(3,$F$6:F338))</f>
        <v>332</v>
      </c>
      <c r="E338" s="36" t="s">
        <v>172</v>
      </c>
      <c r="F338" s="106" t="s">
        <v>1765</v>
      </c>
      <c r="G338" s="40" t="s">
        <v>701</v>
      </c>
      <c r="H338" s="83">
        <f>IF($G338&lt;&gt;"",VLOOKUP($G338,'WPS '!C$5:M$209,3,FALSE),"")</f>
        <v>136</v>
      </c>
      <c r="I338" s="22" t="s">
        <v>1250</v>
      </c>
      <c r="J338" s="22" t="s">
        <v>257</v>
      </c>
      <c r="K338" s="69" t="s">
        <v>884</v>
      </c>
      <c r="L338" s="22" t="str">
        <f>IF($G338&lt;&gt;"",VLOOKUP($G338,'WPS '!C$5:M$209,8,FALSE),"")</f>
        <v>E81T1-W2C</v>
      </c>
      <c r="M338" s="76" t="s">
        <v>174</v>
      </c>
      <c r="N338" s="21">
        <v>45745</v>
      </c>
      <c r="O338" s="21">
        <v>45747</v>
      </c>
      <c r="P338" s="21">
        <f t="shared" si="11"/>
        <v>46112</v>
      </c>
      <c r="Q338" s="164" t="s">
        <v>1811</v>
      </c>
      <c r="R338" s="147" t="str">
        <f>IF($G338&lt;&gt;"",VLOOKUP($G338,'WPS '!$C$5:$M$209,2,FALSE),"")</f>
        <v>OSR-WPS-ISO-PC-046</v>
      </c>
      <c r="S338" s="30"/>
      <c r="T338" s="30"/>
      <c r="U338" s="30"/>
      <c r="V338" s="30"/>
      <c r="W338" s="30"/>
      <c r="X338" s="30" t="s">
        <v>95</v>
      </c>
      <c r="Y338" s="30"/>
      <c r="Z338" s="30"/>
      <c r="AA338" s="30"/>
      <c r="AB338" s="30"/>
      <c r="AC338" s="30"/>
      <c r="AD338" s="30"/>
      <c r="AE338" s="54"/>
      <c r="AF338" s="54"/>
      <c r="AG338" s="66">
        <v>2</v>
      </c>
      <c r="AH338" s="17"/>
    </row>
    <row r="339" spans="1:34" ht="45" customHeight="1">
      <c r="A339" s="293">
        <f t="shared" si="12"/>
        <v>332</v>
      </c>
      <c r="B339" s="28" t="s">
        <v>246</v>
      </c>
      <c r="C339" s="5" t="s">
        <v>328</v>
      </c>
      <c r="D339" s="56">
        <f>IF(F339="","",SUBTOTAL(3,$F$6:F339))</f>
        <v>333</v>
      </c>
      <c r="E339" s="34" t="s">
        <v>249</v>
      </c>
      <c r="F339" s="107" t="s">
        <v>1730</v>
      </c>
      <c r="G339" s="39" t="s">
        <v>719</v>
      </c>
      <c r="H339" s="83" t="str">
        <f>IF($G339&lt;&gt;"",VLOOKUP($G339,'WPS '!C$5:M$209,3,FALSE),"")</f>
        <v>FCAW</v>
      </c>
      <c r="I339" s="22" t="s">
        <v>849</v>
      </c>
      <c r="J339" s="22" t="s">
        <v>1215</v>
      </c>
      <c r="K339" s="69" t="s">
        <v>964</v>
      </c>
      <c r="L339" s="22" t="str">
        <f>IF($G339&lt;&gt;"",VLOOKUP($G339,'WPS '!C$5:M$209,8,FALSE),"")</f>
        <v>E71T-1C</v>
      </c>
      <c r="M339" s="76" t="s">
        <v>306</v>
      </c>
      <c r="N339" s="21">
        <v>45863</v>
      </c>
      <c r="O339" s="21">
        <v>45865</v>
      </c>
      <c r="P339" s="21">
        <f t="shared" si="11"/>
        <v>46230</v>
      </c>
      <c r="Q339" s="164" t="str">
        <f>IF($G339&lt;&gt;"",VLOOKUP($G339,'WPS '!C$5:M$209,11,FALSE),"")</f>
        <v>ASME IX</v>
      </c>
      <c r="R339" s="147" t="str">
        <f>IF($G339&lt;&gt;"",VLOOKUP($G339,'WPS '!$C$5:$M$209,2,FALSE),"")</f>
        <v>OSR-WPS-ASME-FC-002</v>
      </c>
      <c r="S339" s="30" t="s">
        <v>356</v>
      </c>
      <c r="T339" s="30"/>
      <c r="U339" s="30"/>
      <c r="V339" s="30"/>
      <c r="W339" s="62"/>
      <c r="X339" s="30"/>
      <c r="Y339" s="31"/>
      <c r="Z339" s="31"/>
      <c r="AA339" s="31"/>
      <c r="AB339" s="62"/>
      <c r="AC339" s="62"/>
      <c r="AD339" s="62"/>
      <c r="AE339" s="146"/>
      <c r="AF339" s="146"/>
      <c r="AG339" s="67">
        <v>2</v>
      </c>
      <c r="AH339" s="18"/>
    </row>
    <row r="340" spans="1:34" s="2" customFormat="1" ht="45" customHeight="1">
      <c r="A340" s="293">
        <f t="shared" si="12"/>
        <v>333</v>
      </c>
      <c r="B340" s="5" t="s">
        <v>1634</v>
      </c>
      <c r="C340" s="5" t="s">
        <v>328</v>
      </c>
      <c r="D340" s="56">
        <f>IF(F340="","",SUBTOTAL(3,$F$6:F340))</f>
        <v>334</v>
      </c>
      <c r="E340" s="34" t="s">
        <v>33</v>
      </c>
      <c r="F340" s="107" t="s">
        <v>1716</v>
      </c>
      <c r="G340" s="40" t="s">
        <v>661</v>
      </c>
      <c r="H340" s="83">
        <f>IF($G340&lt;&gt;"",VLOOKUP($G340,'WPS '!C$5:M$209,3,FALSE),"")</f>
        <v>136</v>
      </c>
      <c r="I340" s="22" t="s">
        <v>1250</v>
      </c>
      <c r="J340" s="22" t="s">
        <v>244</v>
      </c>
      <c r="K340" s="69" t="s">
        <v>884</v>
      </c>
      <c r="L340" s="22" t="str">
        <f>IF($G340&lt;&gt;"",VLOOKUP($G340,'WPS '!C$5:M$209,8,FALSE),"")</f>
        <v>E71T-1C</v>
      </c>
      <c r="M340" s="76" t="s">
        <v>34</v>
      </c>
      <c r="N340" s="21">
        <v>45001</v>
      </c>
      <c r="O340" s="21">
        <v>45003</v>
      </c>
      <c r="P340" s="21">
        <f t="shared" si="11"/>
        <v>46099</v>
      </c>
      <c r="Q340" s="164" t="s">
        <v>1811</v>
      </c>
      <c r="R340" s="147" t="str">
        <f>IF($G340&lt;&gt;"",VLOOKUP($G340,'WPS '!$C$5:$M$209,2,FALSE),"")</f>
        <v>OSR-WPS-ISO-PC+PF-005</v>
      </c>
      <c r="S340" s="30"/>
      <c r="T340" s="30"/>
      <c r="U340" s="30"/>
      <c r="V340" s="30"/>
      <c r="W340" s="30"/>
      <c r="X340" s="30" t="s">
        <v>95</v>
      </c>
      <c r="Y340" s="30"/>
      <c r="Z340" s="30"/>
      <c r="AA340" s="30"/>
      <c r="AB340" s="30"/>
      <c r="AC340" s="30"/>
      <c r="AD340" s="30"/>
      <c r="AE340" s="54"/>
      <c r="AF340" s="54"/>
      <c r="AG340" s="66">
        <v>6</v>
      </c>
      <c r="AH340" s="115"/>
    </row>
    <row r="341" spans="1:34" ht="45" customHeight="1">
      <c r="A341" s="293">
        <f t="shared" si="12"/>
        <v>334</v>
      </c>
      <c r="B341" s="5" t="s">
        <v>1634</v>
      </c>
      <c r="C341" s="5" t="s">
        <v>328</v>
      </c>
      <c r="D341" s="56">
        <f>IF(F341="","",SUBTOTAL(3,$F$6:F341))</f>
        <v>335</v>
      </c>
      <c r="E341" s="34" t="s">
        <v>33</v>
      </c>
      <c r="F341" s="107" t="s">
        <v>1716</v>
      </c>
      <c r="G341" s="40" t="s">
        <v>683</v>
      </c>
      <c r="H341" s="83">
        <f>IF($G341&lt;&gt;"",VLOOKUP($G341,'WPS '!C$5:M$209,3,FALSE),"")</f>
        <v>136</v>
      </c>
      <c r="I341" s="22" t="s">
        <v>1252</v>
      </c>
      <c r="J341" s="22" t="s">
        <v>254</v>
      </c>
      <c r="K341" s="69" t="s">
        <v>884</v>
      </c>
      <c r="L341" s="22" t="str">
        <f>IF($G341&lt;&gt;"",VLOOKUP($G341,'WPS '!C$5:M$209,8,FALSE),"")</f>
        <v>E81T1-Ni 1C
SC-700H</v>
      </c>
      <c r="M341" s="76" t="s">
        <v>72</v>
      </c>
      <c r="N341" s="21">
        <v>45498</v>
      </c>
      <c r="O341" s="21">
        <v>45502</v>
      </c>
      <c r="P341" s="21">
        <f t="shared" si="11"/>
        <v>46051</v>
      </c>
      <c r="Q341" s="164" t="s">
        <v>1811</v>
      </c>
      <c r="R341" s="147" t="str">
        <f>IF($G341&lt;&gt;"",VLOOKUP($G341,'WPS '!$C$5:$M$209,2,FALSE),"")</f>
        <v>OSR-WPS-ISO-PA-028</v>
      </c>
      <c r="S341" s="30"/>
      <c r="T341" s="30"/>
      <c r="U341" s="30"/>
      <c r="V341" s="30"/>
      <c r="W341" s="30"/>
      <c r="X341" s="30"/>
      <c r="Y341" s="30"/>
      <c r="Z341" s="30"/>
      <c r="AA341" s="30"/>
      <c r="AB341" s="30"/>
      <c r="AC341" s="30"/>
      <c r="AD341" s="30"/>
      <c r="AE341" s="54"/>
      <c r="AF341" s="54"/>
      <c r="AG341" s="67">
        <v>3</v>
      </c>
      <c r="AH341" s="115"/>
    </row>
    <row r="342" spans="1:34" s="2" customFormat="1" ht="45" customHeight="1">
      <c r="A342" s="293">
        <f t="shared" si="12"/>
        <v>335</v>
      </c>
      <c r="B342" s="5" t="s">
        <v>1634</v>
      </c>
      <c r="C342" s="5" t="s">
        <v>328</v>
      </c>
      <c r="D342" s="56">
        <f>IF(F342="","",SUBTOTAL(3,$F$6:F342))</f>
        <v>336</v>
      </c>
      <c r="E342" s="34" t="s">
        <v>33</v>
      </c>
      <c r="F342" s="107" t="s">
        <v>1716</v>
      </c>
      <c r="G342" s="40" t="s">
        <v>706</v>
      </c>
      <c r="H342" s="83">
        <f>IF($G342&lt;&gt;"",VLOOKUP($G342,'WPS '!C$5:M$209,3,FALSE),"")</f>
        <v>136</v>
      </c>
      <c r="I342" s="22" t="s">
        <v>1251</v>
      </c>
      <c r="J342" s="22" t="s">
        <v>242</v>
      </c>
      <c r="K342" s="69" t="s">
        <v>884</v>
      </c>
      <c r="L342" s="22" t="str">
        <f>IF($G342&lt;&gt;"",VLOOKUP($G342,'WPS '!C$5:M$209,8,FALSE),"")</f>
        <v>E71T-1C</v>
      </c>
      <c r="M342" s="76" t="s">
        <v>912</v>
      </c>
      <c r="N342" s="21">
        <v>45796</v>
      </c>
      <c r="O342" s="21">
        <v>45799</v>
      </c>
      <c r="P342" s="21">
        <f t="shared" si="11"/>
        <v>46164</v>
      </c>
      <c r="Q342" s="164" t="s">
        <v>1811</v>
      </c>
      <c r="R342" s="147" t="str">
        <f>IF($G342&lt;&gt;"",VLOOKUP($G342,'WPS '!$C$5:$M$209,2,FALSE),"")</f>
        <v>OSR-WPS-ISO-PF-051</v>
      </c>
      <c r="S342" s="30"/>
      <c r="T342" s="30"/>
      <c r="U342" s="30"/>
      <c r="V342" s="30"/>
      <c r="W342" s="30"/>
      <c r="X342" s="30"/>
      <c r="Y342" s="30" t="s">
        <v>356</v>
      </c>
      <c r="Z342" s="30"/>
      <c r="AA342" s="30"/>
      <c r="AB342" s="30"/>
      <c r="AC342" s="30"/>
      <c r="AD342" s="30"/>
      <c r="AE342" s="54"/>
      <c r="AF342" s="54"/>
      <c r="AG342" s="66">
        <v>2</v>
      </c>
      <c r="AH342" s="115"/>
    </row>
    <row r="343" spans="1:34" s="2" customFormat="1" ht="45" customHeight="1">
      <c r="A343" s="293">
        <f t="shared" si="12"/>
        <v>336</v>
      </c>
      <c r="B343" s="5" t="s">
        <v>1634</v>
      </c>
      <c r="C343" s="5" t="s">
        <v>328</v>
      </c>
      <c r="D343" s="56">
        <f>IF(F343="","",SUBTOTAL(3,$F$6:F343))</f>
        <v>337</v>
      </c>
      <c r="E343" s="34" t="s">
        <v>33</v>
      </c>
      <c r="F343" s="107" t="s">
        <v>1716</v>
      </c>
      <c r="G343" s="40" t="s">
        <v>706</v>
      </c>
      <c r="H343" s="83">
        <f>IF($G343&lt;&gt;"",VLOOKUP($G343,'WPS '!C$5:M$209,3,FALSE),"")</f>
        <v>136</v>
      </c>
      <c r="I343" s="22" t="s">
        <v>1251</v>
      </c>
      <c r="J343" s="22" t="s">
        <v>244</v>
      </c>
      <c r="K343" s="69" t="s">
        <v>884</v>
      </c>
      <c r="L343" s="22" t="str">
        <f>IF($G343&lt;&gt;"",VLOOKUP($G343,'WPS '!C$5:M$209,8,FALSE),"")</f>
        <v>E71T-1C</v>
      </c>
      <c r="M343" s="76" t="s">
        <v>913</v>
      </c>
      <c r="N343" s="21">
        <v>45813</v>
      </c>
      <c r="O343" s="21">
        <v>45816</v>
      </c>
      <c r="P343" s="21">
        <f t="shared" si="11"/>
        <v>46181</v>
      </c>
      <c r="Q343" s="164" t="s">
        <v>1811</v>
      </c>
      <c r="R343" s="147" t="str">
        <f>IF($G343&lt;&gt;"",VLOOKUP($G343,'WPS '!$C$5:$M$209,2,FALSE),"")</f>
        <v>OSR-WPS-ISO-PF-051</v>
      </c>
      <c r="S343" s="30"/>
      <c r="T343" s="30"/>
      <c r="U343" s="30"/>
      <c r="V343" s="30"/>
      <c r="W343" s="30"/>
      <c r="X343" s="30"/>
      <c r="Y343" s="30" t="s">
        <v>356</v>
      </c>
      <c r="Z343" s="30"/>
      <c r="AA343" s="30"/>
      <c r="AB343" s="30"/>
      <c r="AC343" s="30"/>
      <c r="AD343" s="30"/>
      <c r="AE343" s="54"/>
      <c r="AF343" s="54"/>
      <c r="AG343" s="66">
        <v>2</v>
      </c>
      <c r="AH343" s="115"/>
    </row>
    <row r="344" spans="1:34" s="2" customFormat="1" ht="45" customHeight="1">
      <c r="A344" s="293">
        <f t="shared" si="12"/>
        <v>337</v>
      </c>
      <c r="B344" s="5" t="s">
        <v>1634</v>
      </c>
      <c r="C344" s="5" t="s">
        <v>328</v>
      </c>
      <c r="D344" s="56">
        <f>IF(F344="","",SUBTOTAL(3,$F$6:F344))</f>
        <v>338</v>
      </c>
      <c r="E344" s="34" t="s">
        <v>33</v>
      </c>
      <c r="F344" s="107" t="s">
        <v>1716</v>
      </c>
      <c r="G344" s="40" t="s">
        <v>711</v>
      </c>
      <c r="H344" s="83">
        <f>IF($G344&lt;&gt;"",VLOOKUP($G344,'WPS '!C$5:M$209,3,FALSE),"")</f>
        <v>136</v>
      </c>
      <c r="I344" s="22" t="s">
        <v>1251</v>
      </c>
      <c r="J344" s="22" t="s">
        <v>258</v>
      </c>
      <c r="K344" s="69" t="s">
        <v>884</v>
      </c>
      <c r="L344" s="22" t="str">
        <f>IF($G344&lt;&gt;"",VLOOKUP($G344,'WPS '!C$5:M$209,8,FALSE),"")</f>
        <v>E71T-1C</v>
      </c>
      <c r="M344" s="76" t="s">
        <v>914</v>
      </c>
      <c r="N344" s="21">
        <v>45801</v>
      </c>
      <c r="O344" s="21">
        <v>45804</v>
      </c>
      <c r="P344" s="21">
        <f t="shared" si="11"/>
        <v>46169</v>
      </c>
      <c r="Q344" s="164" t="s">
        <v>1811</v>
      </c>
      <c r="R344" s="147" t="str">
        <f>IF($G344&lt;&gt;"",VLOOKUP($G344,'WPS '!$C$5:$M$209,2,FALSE),"")</f>
        <v>OSR-WPS-ISO-PF-056</v>
      </c>
      <c r="S344" s="30"/>
      <c r="T344" s="30"/>
      <c r="U344" s="30"/>
      <c r="V344" s="30"/>
      <c r="W344" s="30"/>
      <c r="X344" s="30"/>
      <c r="Y344" s="30" t="s">
        <v>356</v>
      </c>
      <c r="Z344" s="30"/>
      <c r="AA344" s="30"/>
      <c r="AB344" s="30"/>
      <c r="AC344" s="30"/>
      <c r="AD344" s="30"/>
      <c r="AE344" s="54"/>
      <c r="AF344" s="54"/>
      <c r="AG344" s="66">
        <v>2</v>
      </c>
      <c r="AH344" s="115"/>
    </row>
    <row r="345" spans="1:34" s="2" customFormat="1" ht="45" customHeight="1">
      <c r="A345" s="293">
        <f t="shared" si="12"/>
        <v>338</v>
      </c>
      <c r="B345" s="28" t="s">
        <v>1634</v>
      </c>
      <c r="C345" s="28" t="s">
        <v>328</v>
      </c>
      <c r="D345" s="56">
        <f>IF(F345="","",SUBTOTAL(3,$F$6:F345))</f>
        <v>339</v>
      </c>
      <c r="E345" s="34" t="s">
        <v>33</v>
      </c>
      <c r="F345" s="107" t="s">
        <v>1716</v>
      </c>
      <c r="G345" s="39" t="s">
        <v>719</v>
      </c>
      <c r="H345" s="83" t="str">
        <f>IF($G345&lt;&gt;"",VLOOKUP($G345,'WPS '!C$5:M$209,3,FALSE),"")</f>
        <v>FCAW</v>
      </c>
      <c r="I345" s="22" t="s">
        <v>850</v>
      </c>
      <c r="J345" s="22" t="s">
        <v>1215</v>
      </c>
      <c r="K345" s="69" t="s">
        <v>964</v>
      </c>
      <c r="L345" s="22" t="str">
        <f>IF($G345&lt;&gt;"",VLOOKUP($G345,'WPS '!C$5:M$209,8,FALSE),"")</f>
        <v>E71T-1C</v>
      </c>
      <c r="M345" s="76" t="s">
        <v>278</v>
      </c>
      <c r="N345" s="21">
        <v>45586</v>
      </c>
      <c r="O345" s="21">
        <v>45590</v>
      </c>
      <c r="P345" s="21">
        <f t="shared" si="11"/>
        <v>46137</v>
      </c>
      <c r="Q345" s="164" t="str">
        <f>IF($G345&lt;&gt;"",VLOOKUP($G345,'WPS '!C$5:M$209,11,FALSE),"")</f>
        <v>ASME IX</v>
      </c>
      <c r="R345" s="147" t="str">
        <f>IF($G345&lt;&gt;"",VLOOKUP($G345,'WPS '!$C$5:$M$209,2,FALSE),"")</f>
        <v>OSR-WPS-ASME-FC-002</v>
      </c>
      <c r="S345" s="30" t="s">
        <v>356</v>
      </c>
      <c r="T345" s="30"/>
      <c r="U345" s="30"/>
      <c r="V345" s="30"/>
      <c r="W345" s="62"/>
      <c r="X345" s="30"/>
      <c r="Y345" s="32"/>
      <c r="Z345" s="32"/>
      <c r="AA345" s="32"/>
      <c r="AB345" s="62"/>
      <c r="AC345" s="62"/>
      <c r="AD345" s="62"/>
      <c r="AE345" s="146"/>
      <c r="AF345" s="146"/>
      <c r="AG345" s="67">
        <v>3</v>
      </c>
      <c r="AH345" s="18"/>
    </row>
    <row r="346" spans="1:34" s="2" customFormat="1" ht="45" customHeight="1">
      <c r="A346" s="293">
        <f t="shared" si="12"/>
        <v>339</v>
      </c>
      <c r="B346" s="28" t="s">
        <v>1634</v>
      </c>
      <c r="C346" s="28" t="s">
        <v>328</v>
      </c>
      <c r="D346" s="56">
        <f>IF(F346="","",SUBTOTAL(3,$F$6:F346))</f>
        <v>340</v>
      </c>
      <c r="E346" s="34" t="s">
        <v>33</v>
      </c>
      <c r="F346" s="107" t="s">
        <v>1716</v>
      </c>
      <c r="G346" s="39" t="s">
        <v>735</v>
      </c>
      <c r="H346" s="83" t="str">
        <f>IF($G346&lt;&gt;"",VLOOKUP($G346,'WPS '!C$5:M$209,3,FALSE),"")</f>
        <v>FCAW</v>
      </c>
      <c r="I346" s="22" t="s">
        <v>1499</v>
      </c>
      <c r="J346" s="77" t="s">
        <v>1215</v>
      </c>
      <c r="K346" s="69" t="s">
        <v>1480</v>
      </c>
      <c r="L346" s="22" t="str">
        <f>IF($G346&lt;&gt;"",VLOOKUP($G346,'WPS '!C$5:M$209,8,FALSE),"")</f>
        <v>E71T-1C</v>
      </c>
      <c r="M346" s="76" t="s">
        <v>1076</v>
      </c>
      <c r="N346" s="21">
        <v>44393</v>
      </c>
      <c r="O346" s="21">
        <v>44400</v>
      </c>
      <c r="P346" s="21">
        <f t="shared" si="11"/>
        <v>46045</v>
      </c>
      <c r="Q346" s="164" t="str">
        <f>IF($G346&lt;&gt;"",VLOOKUP($G346,'WPS '!C$5:M$209,11,FALSE),"")</f>
        <v>AWS D1.1</v>
      </c>
      <c r="R346" s="147" t="str">
        <f>IF($G346&lt;&gt;"",VLOOKUP($G346,'WPS '!$C$5:$M$209,2,FALSE),"")</f>
        <v>OSR-WPS-D1.1-FC-007</v>
      </c>
      <c r="S346" s="30"/>
      <c r="T346" s="30" t="s">
        <v>356</v>
      </c>
      <c r="U346" s="30" t="s">
        <v>356</v>
      </c>
      <c r="V346" s="31" t="s">
        <v>356</v>
      </c>
      <c r="W346" s="31"/>
      <c r="X346" s="31"/>
      <c r="Y346" s="31"/>
      <c r="Z346" s="31"/>
      <c r="AA346" s="31"/>
      <c r="AB346" s="31"/>
      <c r="AC346" s="62" t="s">
        <v>356</v>
      </c>
      <c r="AD346" s="62" t="s">
        <v>356</v>
      </c>
      <c r="AE346" s="146"/>
      <c r="AF346" s="146"/>
      <c r="AG346" s="153">
        <v>9</v>
      </c>
    </row>
    <row r="347" spans="1:34" s="2" customFormat="1" ht="45" customHeight="1">
      <c r="A347" s="293">
        <f t="shared" si="12"/>
        <v>340</v>
      </c>
      <c r="B347" s="28" t="s">
        <v>1634</v>
      </c>
      <c r="C347" s="28" t="s">
        <v>328</v>
      </c>
      <c r="D347" s="56">
        <f>IF(F347="","",SUBTOTAL(3,$F$6:F347))</f>
        <v>341</v>
      </c>
      <c r="E347" s="34" t="s">
        <v>33</v>
      </c>
      <c r="F347" s="108" t="s">
        <v>1716</v>
      </c>
      <c r="G347" s="40" t="s">
        <v>798</v>
      </c>
      <c r="H347" s="83" t="str">
        <f>IF($G347&lt;&gt;"",VLOOKUP($G347,'WPS '!C$5:M$209,3,FALSE),"")</f>
        <v>FCAW</v>
      </c>
      <c r="I347" s="22" t="s">
        <v>1494</v>
      </c>
      <c r="J347" s="77" t="s">
        <v>1215</v>
      </c>
      <c r="K347" s="69" t="s">
        <v>1480</v>
      </c>
      <c r="L347" s="22" t="str">
        <f>IF($G347&lt;&gt;"",VLOOKUP($G347,'WPS '!C$5:M$209,8,FALSE),"")</f>
        <v>E71T-1C</v>
      </c>
      <c r="M347" s="76" t="s">
        <v>1014</v>
      </c>
      <c r="N347" s="21">
        <v>45219</v>
      </c>
      <c r="O347" s="21">
        <v>45221</v>
      </c>
      <c r="P347" s="21">
        <f t="shared" si="11"/>
        <v>46134</v>
      </c>
      <c r="Q347" s="164" t="str">
        <f>IF($G347&lt;&gt;"",VLOOKUP($G347,'WPS '!C$5:M$209,11,FALSE),"")</f>
        <v>AWS D1.1</v>
      </c>
      <c r="R347" s="147" t="str">
        <f>IF($G347&lt;&gt;"",VLOOKUP($G347,'WPS '!$C$5:$M$209,2,FALSE),"")</f>
        <v>OSR-WPS-D1.1-FC-070</v>
      </c>
      <c r="S347" s="30"/>
      <c r="T347" s="30"/>
      <c r="U347" s="30"/>
      <c r="V347" s="30"/>
      <c r="W347" s="30"/>
      <c r="X347" s="30"/>
      <c r="Y347" s="30"/>
      <c r="Z347" s="30"/>
      <c r="AA347" s="30"/>
      <c r="AB347" s="30"/>
      <c r="AC347" s="30"/>
      <c r="AD347" s="30"/>
      <c r="AE347" s="54"/>
      <c r="AF347" s="54"/>
      <c r="AG347" s="153">
        <v>5</v>
      </c>
    </row>
    <row r="348" spans="1:34" s="2" customFormat="1" ht="45" customHeight="1">
      <c r="A348" s="293">
        <f t="shared" si="12"/>
        <v>341</v>
      </c>
      <c r="B348" s="5" t="s">
        <v>327</v>
      </c>
      <c r="C348" s="296" t="s">
        <v>1635</v>
      </c>
      <c r="D348" s="56">
        <f>IF(F348="","",SUBTOTAL(3,$F$6:F348))</f>
        <v>342</v>
      </c>
      <c r="E348" s="34" t="s">
        <v>35</v>
      </c>
      <c r="F348" s="107" t="s">
        <v>1726</v>
      </c>
      <c r="G348" s="40" t="s">
        <v>661</v>
      </c>
      <c r="H348" s="83">
        <f>IF($G348&lt;&gt;"",VLOOKUP($G348,'WPS '!C$5:M$209,3,FALSE),"")</f>
        <v>136</v>
      </c>
      <c r="I348" s="22" t="s">
        <v>1250</v>
      </c>
      <c r="J348" s="22" t="s">
        <v>1682</v>
      </c>
      <c r="K348" s="69" t="s">
        <v>884</v>
      </c>
      <c r="L348" s="22" t="str">
        <f>IF($G348&lt;&gt;"",VLOOKUP($G348,'WPS '!C$5:M$209,8,FALSE),"")</f>
        <v>E71T-1C</v>
      </c>
      <c r="M348" s="76" t="s">
        <v>36</v>
      </c>
      <c r="N348" s="21">
        <v>45001</v>
      </c>
      <c r="O348" s="21">
        <v>45003</v>
      </c>
      <c r="P348" s="21">
        <f t="shared" si="11"/>
        <v>46099</v>
      </c>
      <c r="Q348" s="164" t="s">
        <v>1811</v>
      </c>
      <c r="R348" s="147" t="str">
        <f>IF($G348&lt;&gt;"",VLOOKUP($G348,'WPS '!$C$5:$M$209,2,FALSE),"")</f>
        <v>OSR-WPS-ISO-PC+PF-005</v>
      </c>
      <c r="S348" s="30"/>
      <c r="T348" s="30"/>
      <c r="U348" s="30"/>
      <c r="V348" s="30"/>
      <c r="W348" s="30" t="s">
        <v>356</v>
      </c>
      <c r="X348" s="30" t="s">
        <v>95</v>
      </c>
      <c r="Y348" s="30"/>
      <c r="Z348" s="30"/>
      <c r="AA348" s="30"/>
      <c r="AB348" s="30"/>
      <c r="AC348" s="30"/>
      <c r="AD348" s="30"/>
      <c r="AE348" s="54"/>
      <c r="AF348" s="54"/>
      <c r="AG348" s="66">
        <v>6</v>
      </c>
      <c r="AH348" s="115"/>
    </row>
    <row r="349" spans="1:34" s="2" customFormat="1" ht="45" customHeight="1">
      <c r="A349" s="293">
        <f t="shared" si="12"/>
        <v>342</v>
      </c>
      <c r="B349" s="5" t="s">
        <v>327</v>
      </c>
      <c r="C349" s="296" t="s">
        <v>1635</v>
      </c>
      <c r="D349" s="56">
        <f>IF(F349="","",SUBTOTAL(3,$F$6:F349))</f>
        <v>343</v>
      </c>
      <c r="E349" s="34" t="s">
        <v>35</v>
      </c>
      <c r="F349" s="107" t="s">
        <v>1726</v>
      </c>
      <c r="G349" s="40" t="s">
        <v>669</v>
      </c>
      <c r="H349" s="83">
        <f>IF($G349&lt;&gt;"",VLOOKUP($G349,'WPS '!C$5:M$209,3,FALSE),"")</f>
        <v>136</v>
      </c>
      <c r="I349" s="22">
        <v>12</v>
      </c>
      <c r="J349" s="22" t="s">
        <v>242</v>
      </c>
      <c r="K349" s="69" t="s">
        <v>884</v>
      </c>
      <c r="L349" s="22" t="str">
        <f>IF($G349&lt;&gt;"",VLOOKUP($G349,'WPS '!C$5:M$209,8,FALSE),"")</f>
        <v>E81T1-Ni 1C</v>
      </c>
      <c r="M349" s="76" t="s">
        <v>79</v>
      </c>
      <c r="N349" s="21">
        <v>45130</v>
      </c>
      <c r="O349" s="21">
        <v>45138</v>
      </c>
      <c r="P349" s="21">
        <f t="shared" si="11"/>
        <v>46053</v>
      </c>
      <c r="Q349" s="164" t="s">
        <v>1811</v>
      </c>
      <c r="R349" s="147" t="str">
        <f>IF($G349&lt;&gt;"",VLOOKUP($G349,'WPS '!$C$5:$M$209,2,FALSE),"")</f>
        <v>OSR-WPS-ISO-PF-013</v>
      </c>
      <c r="S349" s="30"/>
      <c r="T349" s="30"/>
      <c r="U349" s="30"/>
      <c r="V349" s="30"/>
      <c r="W349" s="30"/>
      <c r="X349" s="30"/>
      <c r="Y349" s="30"/>
      <c r="Z349" s="30"/>
      <c r="AA349" s="30"/>
      <c r="AB349" s="30"/>
      <c r="AC349" s="30"/>
      <c r="AD349" s="30"/>
      <c r="AE349" s="54"/>
      <c r="AF349" s="54"/>
      <c r="AG349" s="66">
        <v>5</v>
      </c>
      <c r="AH349" s="115"/>
    </row>
    <row r="350" spans="1:34" s="2" customFormat="1" ht="45" customHeight="1">
      <c r="A350" s="293">
        <f t="shared" si="12"/>
        <v>343</v>
      </c>
      <c r="B350" s="5" t="s">
        <v>327</v>
      </c>
      <c r="C350" s="296" t="s">
        <v>1635</v>
      </c>
      <c r="D350" s="56">
        <f>IF(F350="","",SUBTOTAL(3,$F$6:F350))</f>
        <v>344</v>
      </c>
      <c r="E350" s="34" t="s">
        <v>35</v>
      </c>
      <c r="F350" s="107" t="s">
        <v>1726</v>
      </c>
      <c r="G350" s="40" t="s">
        <v>703</v>
      </c>
      <c r="H350" s="83">
        <f>IF($G350&lt;&gt;"",VLOOKUP($G350,'WPS '!C$5:M$209,3,FALSE),"")</f>
        <v>136</v>
      </c>
      <c r="I350" s="22" t="s">
        <v>1251</v>
      </c>
      <c r="J350" s="22" t="s">
        <v>243</v>
      </c>
      <c r="K350" s="69" t="s">
        <v>922</v>
      </c>
      <c r="L350" s="22" t="str">
        <f>IF($G350&lt;&gt;"",VLOOKUP($G350,'WPS '!C$5:M$209,8,FALSE),"")</f>
        <v>E71T-1C</v>
      </c>
      <c r="M350" s="76" t="s">
        <v>916</v>
      </c>
      <c r="N350" s="21">
        <v>45786</v>
      </c>
      <c r="O350" s="21">
        <v>45799</v>
      </c>
      <c r="P350" s="21">
        <f t="shared" si="11"/>
        <v>46164</v>
      </c>
      <c r="Q350" s="164" t="s">
        <v>1811</v>
      </c>
      <c r="R350" s="147" t="str">
        <f>IF($G350&lt;&gt;"",VLOOKUP($G350,'WPS '!$C$5:$M$209,2,FALSE),"")</f>
        <v>OSR-WPS-ISO-PB-048</v>
      </c>
      <c r="S350" s="30"/>
      <c r="T350" s="30"/>
      <c r="U350" s="30"/>
      <c r="V350" s="30"/>
      <c r="W350" s="30"/>
      <c r="X350" s="30"/>
      <c r="Y350" s="30" t="s">
        <v>356</v>
      </c>
      <c r="Z350" s="30"/>
      <c r="AA350" s="30"/>
      <c r="AB350" s="30"/>
      <c r="AC350" s="30"/>
      <c r="AD350" s="30"/>
      <c r="AE350" s="54"/>
      <c r="AF350" s="54"/>
      <c r="AG350" s="66">
        <v>2</v>
      </c>
      <c r="AH350" s="115"/>
    </row>
    <row r="351" spans="1:34" s="2" customFormat="1" ht="45" customHeight="1">
      <c r="A351" s="293">
        <f t="shared" si="12"/>
        <v>344</v>
      </c>
      <c r="B351" s="28" t="s">
        <v>327</v>
      </c>
      <c r="C351" s="295" t="s">
        <v>1635</v>
      </c>
      <c r="D351" s="56">
        <f>IF(F351="","",SUBTOTAL(3,$F$6:F351))</f>
        <v>345</v>
      </c>
      <c r="E351" s="34" t="s">
        <v>35</v>
      </c>
      <c r="F351" s="107" t="s">
        <v>1726</v>
      </c>
      <c r="G351" s="39" t="s">
        <v>719</v>
      </c>
      <c r="H351" s="83" t="str">
        <f>IF($G351&lt;&gt;"",VLOOKUP($G351,'WPS '!C$5:M$209,3,FALSE),"")</f>
        <v>FCAW</v>
      </c>
      <c r="I351" s="22" t="s">
        <v>850</v>
      </c>
      <c r="J351" s="22" t="s">
        <v>1215</v>
      </c>
      <c r="K351" s="69" t="s">
        <v>964</v>
      </c>
      <c r="L351" s="22" t="str">
        <f>IF($G351&lt;&gt;"",VLOOKUP($G351,'WPS '!C$5:M$209,8,FALSE),"")</f>
        <v>E71T-1C</v>
      </c>
      <c r="M351" s="76" t="s">
        <v>274</v>
      </c>
      <c r="N351" s="21">
        <v>45586</v>
      </c>
      <c r="O351" s="21">
        <v>45590</v>
      </c>
      <c r="P351" s="21">
        <f t="shared" si="11"/>
        <v>46137</v>
      </c>
      <c r="Q351" s="164" t="str">
        <f>IF($G351&lt;&gt;"",VLOOKUP($G351,'WPS '!C$5:M$209,11,FALSE),"")</f>
        <v>ASME IX</v>
      </c>
      <c r="R351" s="147" t="str">
        <f>IF($G351&lt;&gt;"",VLOOKUP($G351,'WPS '!$C$5:$M$209,2,FALSE),"")</f>
        <v>OSR-WPS-ASME-FC-002</v>
      </c>
      <c r="S351" s="30" t="s">
        <v>356</v>
      </c>
      <c r="T351" s="30"/>
      <c r="U351" s="30"/>
      <c r="V351" s="30"/>
      <c r="W351" s="62"/>
      <c r="X351" s="30"/>
      <c r="Y351" s="32"/>
      <c r="Z351" s="32"/>
      <c r="AA351" s="32"/>
      <c r="AB351" s="62"/>
      <c r="AC351" s="62"/>
      <c r="AD351" s="62"/>
      <c r="AE351" s="146"/>
      <c r="AF351" s="146"/>
      <c r="AG351" s="67">
        <v>3</v>
      </c>
      <c r="AH351" s="18"/>
    </row>
    <row r="352" spans="1:34" s="2" customFormat="1" ht="45" customHeight="1">
      <c r="A352" s="293">
        <f t="shared" si="12"/>
        <v>345</v>
      </c>
      <c r="B352" s="28" t="s">
        <v>327</v>
      </c>
      <c r="C352" s="296" t="s">
        <v>1635</v>
      </c>
      <c r="D352" s="56">
        <f>IF(F352="","",SUBTOTAL(3,$F$6:F352))</f>
        <v>346</v>
      </c>
      <c r="E352" s="34" t="s">
        <v>35</v>
      </c>
      <c r="F352" s="107" t="s">
        <v>1726</v>
      </c>
      <c r="G352" s="39" t="s">
        <v>735</v>
      </c>
      <c r="H352" s="83" t="str">
        <f>IF($G352&lt;&gt;"",VLOOKUP($G352,'WPS '!C$5:M$209,3,FALSE),"")</f>
        <v>FCAW</v>
      </c>
      <c r="I352" s="22" t="s">
        <v>1499</v>
      </c>
      <c r="J352" s="77" t="s">
        <v>1215</v>
      </c>
      <c r="K352" s="69" t="s">
        <v>1480</v>
      </c>
      <c r="L352" s="22" t="str">
        <f>IF($G352&lt;&gt;"",VLOOKUP($G352,'WPS '!C$5:M$209,8,FALSE),"")</f>
        <v>E71T-1C</v>
      </c>
      <c r="M352" s="76" t="s">
        <v>1077</v>
      </c>
      <c r="N352" s="21">
        <v>44393</v>
      </c>
      <c r="O352" s="21">
        <v>44400</v>
      </c>
      <c r="P352" s="21">
        <f t="shared" si="11"/>
        <v>46045</v>
      </c>
      <c r="Q352" s="164" t="str">
        <f>IF($G352&lt;&gt;"",VLOOKUP($G352,'WPS '!C$5:M$209,11,FALSE),"")</f>
        <v>AWS D1.1</v>
      </c>
      <c r="R352" s="147" t="str">
        <f>IF($G352&lt;&gt;"",VLOOKUP($G352,'WPS '!$C$5:$M$209,2,FALSE),"")</f>
        <v>OSR-WPS-D1.1-FC-007</v>
      </c>
      <c r="S352" s="30"/>
      <c r="T352" s="30" t="s">
        <v>356</v>
      </c>
      <c r="U352" s="30" t="s">
        <v>356</v>
      </c>
      <c r="V352" s="32" t="s">
        <v>356</v>
      </c>
      <c r="W352" s="32"/>
      <c r="X352" s="32"/>
      <c r="Y352" s="32"/>
      <c r="Z352" s="32"/>
      <c r="AA352" s="32"/>
      <c r="AB352" s="32"/>
      <c r="AC352" s="62" t="s">
        <v>356</v>
      </c>
      <c r="AD352" s="62" t="s">
        <v>356</v>
      </c>
      <c r="AE352" s="146"/>
      <c r="AF352" s="146"/>
      <c r="AG352" s="153">
        <v>9</v>
      </c>
    </row>
    <row r="353" spans="1:34" s="2" customFormat="1" ht="45" customHeight="1">
      <c r="A353" s="293">
        <f t="shared" si="12"/>
        <v>346</v>
      </c>
      <c r="B353" s="28" t="s">
        <v>327</v>
      </c>
      <c r="C353" s="296" t="s">
        <v>1635</v>
      </c>
      <c r="D353" s="56">
        <f>IF(F353="","",SUBTOTAL(3,$F$6:F353))</f>
        <v>347</v>
      </c>
      <c r="E353" s="34" t="s">
        <v>35</v>
      </c>
      <c r="F353" s="107" t="s">
        <v>1726</v>
      </c>
      <c r="G353" s="39" t="s">
        <v>798</v>
      </c>
      <c r="H353" s="83" t="str">
        <f>IF($G353&lt;&gt;"",VLOOKUP($G353,'WPS '!C$5:M$209,3,FALSE),"")</f>
        <v>FCAW</v>
      </c>
      <c r="I353" s="22" t="s">
        <v>1383</v>
      </c>
      <c r="J353" s="77" t="s">
        <v>1215</v>
      </c>
      <c r="K353" s="69" t="s">
        <v>1480</v>
      </c>
      <c r="L353" s="22" t="str">
        <f>IF($G353&lt;&gt;"",VLOOKUP($G353,'WPS '!C$5:M$209,8,FALSE),"")</f>
        <v>E71T-1C</v>
      </c>
      <c r="M353" s="76" t="s">
        <v>1017</v>
      </c>
      <c r="N353" s="21">
        <v>45216</v>
      </c>
      <c r="O353" s="21">
        <v>45219</v>
      </c>
      <c r="P353" s="21">
        <f t="shared" si="11"/>
        <v>46132</v>
      </c>
      <c r="Q353" s="164" t="str">
        <f>IF($G353&lt;&gt;"",VLOOKUP($G353,'WPS '!C$5:M$209,11,FALSE),"")</f>
        <v>AWS D1.1</v>
      </c>
      <c r="R353" s="147" t="str">
        <f>IF($G353&lt;&gt;"",VLOOKUP($G353,'WPS '!$C$5:$M$209,2,FALSE),"")</f>
        <v>OSR-WPS-D1.1-FC-070</v>
      </c>
      <c r="S353" s="30"/>
      <c r="T353" s="30" t="s">
        <v>356</v>
      </c>
      <c r="U353" s="30" t="s">
        <v>356</v>
      </c>
      <c r="V353" s="32" t="s">
        <v>356</v>
      </c>
      <c r="W353" s="32"/>
      <c r="X353" s="32"/>
      <c r="Y353" s="32"/>
      <c r="Z353" s="32"/>
      <c r="AA353" s="32"/>
      <c r="AB353" s="32"/>
      <c r="AC353" s="62"/>
      <c r="AD353" s="62"/>
      <c r="AE353" s="146"/>
      <c r="AF353" s="146"/>
      <c r="AG353" s="153">
        <v>5</v>
      </c>
    </row>
    <row r="354" spans="1:34" s="2" customFormat="1" ht="45" customHeight="1">
      <c r="A354" s="293">
        <f t="shared" si="12"/>
        <v>347</v>
      </c>
      <c r="B354" s="28" t="s">
        <v>327</v>
      </c>
      <c r="C354" s="296" t="s">
        <v>1635</v>
      </c>
      <c r="D354" s="56">
        <f>IF(F354="","",SUBTOTAL(3,$F$6:F354))</f>
        <v>348</v>
      </c>
      <c r="E354" s="34" t="s">
        <v>35</v>
      </c>
      <c r="F354" s="108" t="s">
        <v>1726</v>
      </c>
      <c r="G354" s="40" t="s">
        <v>805</v>
      </c>
      <c r="H354" s="83" t="str">
        <f>IF($G354&lt;&gt;"",VLOOKUP($G354,'WPS '!C$5:M$209,3,FALSE),"")</f>
        <v>FCAW</v>
      </c>
      <c r="I354" s="22" t="s">
        <v>1493</v>
      </c>
      <c r="J354" s="77" t="s">
        <v>1215</v>
      </c>
      <c r="K354" s="69" t="s">
        <v>1480</v>
      </c>
      <c r="L354" s="22" t="str">
        <f>IF($G354&lt;&gt;"",VLOOKUP($G354,'WPS '!C$5:M$209,8,FALSE),"")</f>
        <v>E71T-1C</v>
      </c>
      <c r="M354" s="76" t="s">
        <v>1039</v>
      </c>
      <c r="N354" s="21">
        <v>45265</v>
      </c>
      <c r="O354" s="21">
        <v>45267</v>
      </c>
      <c r="P354" s="21">
        <f t="shared" si="11"/>
        <v>46180</v>
      </c>
      <c r="Q354" s="164" t="str">
        <f>IF($G354&lt;&gt;"",VLOOKUP($G354,'WPS '!C$5:M$209,11,FALSE),"")</f>
        <v>AWS D1.1</v>
      </c>
      <c r="R354" s="147" t="str">
        <f>IF($G354&lt;&gt;"",VLOOKUP($G354,'WPS '!$C$5:$M$209,2,FALSE),"")</f>
        <v>OSR-WPS-D1.1-FC-077</v>
      </c>
      <c r="S354" s="30"/>
      <c r="T354" s="30"/>
      <c r="U354" s="30"/>
      <c r="V354" s="30"/>
      <c r="W354" s="30"/>
      <c r="X354" s="30"/>
      <c r="Y354" s="30"/>
      <c r="Z354" s="30"/>
      <c r="AA354" s="30"/>
      <c r="AB354" s="30"/>
      <c r="AC354" s="30"/>
      <c r="AD354" s="30"/>
      <c r="AE354" s="54"/>
      <c r="AF354" s="54"/>
      <c r="AG354" s="153">
        <v>5</v>
      </c>
    </row>
    <row r="355" spans="1:34" s="2" customFormat="1" ht="45" customHeight="1">
      <c r="A355" s="293">
        <f t="shared" si="12"/>
        <v>348</v>
      </c>
      <c r="B355" s="28" t="s">
        <v>327</v>
      </c>
      <c r="C355" s="298" t="s">
        <v>1635</v>
      </c>
      <c r="D355" s="56">
        <f>IF(F355="","",SUBTOTAL(3,$F$6:F355))</f>
        <v>349</v>
      </c>
      <c r="E355" s="34" t="s">
        <v>35</v>
      </c>
      <c r="F355" s="108" t="s">
        <v>1726</v>
      </c>
      <c r="G355" s="40" t="s">
        <v>810</v>
      </c>
      <c r="H355" s="83" t="str">
        <f>IF($G355&lt;&gt;"",VLOOKUP($G355,'WPS '!C$5:M$209,3,FALSE),"")</f>
        <v>FCAW</v>
      </c>
      <c r="I355" s="22" t="s">
        <v>1502</v>
      </c>
      <c r="J355" s="77" t="s">
        <v>107</v>
      </c>
      <c r="K355" s="69" t="s">
        <v>1481</v>
      </c>
      <c r="L355" s="22" t="str">
        <f>IF($G355&lt;&gt;"",VLOOKUP($G355,'WPS '!C$5:M$209,8,FALSE),"")</f>
        <v>E308HT1-1/4</v>
      </c>
      <c r="M355" s="76" t="s">
        <v>1043</v>
      </c>
      <c r="N355" s="21">
        <v>45265</v>
      </c>
      <c r="O355" s="21">
        <v>45267</v>
      </c>
      <c r="P355" s="21">
        <f t="shared" si="11"/>
        <v>46180</v>
      </c>
      <c r="Q355" s="164" t="str">
        <f>IF($G355&lt;&gt;"",VLOOKUP($G355,'WPS '!C$5:M$209,11,FALSE),"")</f>
        <v>AWS D1.1</v>
      </c>
      <c r="R355" s="147" t="str">
        <f>IF($G355&lt;&gt;"",VLOOKUP($G355,'WPS '!$C$5:$M$209,2,FALSE),"")</f>
        <v>OSR-WPS-D1.1-FC-082</v>
      </c>
      <c r="S355" s="30"/>
      <c r="T355" s="30"/>
      <c r="U355" s="30"/>
      <c r="V355" s="30"/>
      <c r="W355" s="30"/>
      <c r="X355" s="30"/>
      <c r="Y355" s="30"/>
      <c r="Z355" s="30"/>
      <c r="AA355" s="30"/>
      <c r="AB355" s="30"/>
      <c r="AC355" s="30"/>
      <c r="AD355" s="30"/>
      <c r="AE355" s="54"/>
      <c r="AF355" s="54"/>
      <c r="AG355" s="153">
        <v>5</v>
      </c>
    </row>
    <row r="356" spans="1:34" s="2" customFormat="1" ht="45" customHeight="1">
      <c r="A356" s="293">
        <f t="shared" si="12"/>
        <v>349</v>
      </c>
      <c r="B356" s="28" t="s">
        <v>327</v>
      </c>
      <c r="C356" s="298" t="s">
        <v>1635</v>
      </c>
      <c r="D356" s="56">
        <f>IF(F356="","",SUBTOTAL(3,$F$6:F356))</f>
        <v>350</v>
      </c>
      <c r="E356" s="34" t="s">
        <v>35</v>
      </c>
      <c r="F356" s="108" t="s">
        <v>1726</v>
      </c>
      <c r="G356" s="40" t="s">
        <v>1164</v>
      </c>
      <c r="H356" s="83" t="str">
        <f>IF($G356&lt;&gt;"",VLOOKUP($G356,'WPS '!C$5:M$209,3,FALSE),"")</f>
        <v>FCAW</v>
      </c>
      <c r="I356" s="22" t="s">
        <v>1206</v>
      </c>
      <c r="J356" s="77" t="s">
        <v>1214</v>
      </c>
      <c r="K356" s="69" t="s">
        <v>1290</v>
      </c>
      <c r="L356" s="22" t="str">
        <f>IF($G356&lt;&gt;"",VLOOKUP($G356,'WPS '!C$5:M$209,8,FALSE),"")</f>
        <v>E71T-1C</v>
      </c>
      <c r="M356" s="76" t="s">
        <v>1218</v>
      </c>
      <c r="N356" s="21">
        <v>45900</v>
      </c>
      <c r="O356" s="21">
        <v>45906</v>
      </c>
      <c r="P356" s="21">
        <f t="shared" si="11"/>
        <v>46271</v>
      </c>
      <c r="Q356" s="164" t="str">
        <f>IF($G356&lt;&gt;"",VLOOKUP($G356,'WPS '!C$5:M$209,11,FALSE),"")</f>
        <v>AWS D1.1</v>
      </c>
      <c r="R356" s="147" t="str">
        <f>IF($G356&lt;&gt;"",VLOOKUP($G356,'WPS '!$C$5:$M$209,2,FALSE),"")</f>
        <v>OSR-WPS-D1.1-FC-097</v>
      </c>
      <c r="S356" s="30"/>
      <c r="T356" s="30"/>
      <c r="U356" s="30"/>
      <c r="V356" s="30"/>
      <c r="W356" s="30"/>
      <c r="X356" s="30"/>
      <c r="Y356" s="30"/>
      <c r="Z356" s="30"/>
      <c r="AA356" s="30"/>
      <c r="AB356" s="30"/>
      <c r="AC356" s="30" t="s">
        <v>95</v>
      </c>
      <c r="AD356" s="30" t="s">
        <v>356</v>
      </c>
      <c r="AE356" s="54"/>
      <c r="AF356" s="54"/>
      <c r="AG356" s="153">
        <v>2</v>
      </c>
    </row>
    <row r="357" spans="1:34" s="2" customFormat="1" ht="45" customHeight="1">
      <c r="A357" s="293">
        <f t="shared" si="12"/>
        <v>350</v>
      </c>
      <c r="B357" s="28" t="s">
        <v>327</v>
      </c>
      <c r="C357" s="298" t="s">
        <v>1635</v>
      </c>
      <c r="D357" s="56">
        <f>IF(F357="","",SUBTOTAL(3,$F$6:F357))</f>
        <v>351</v>
      </c>
      <c r="E357" s="34" t="s">
        <v>35</v>
      </c>
      <c r="F357" s="108" t="s">
        <v>1726</v>
      </c>
      <c r="G357" s="40" t="s">
        <v>1171</v>
      </c>
      <c r="H357" s="83" t="str">
        <f>IF($G357&lt;&gt;"",VLOOKUP($G357,'WPS '!C$5:M$209,3,FALSE),"")</f>
        <v>FCAW</v>
      </c>
      <c r="I357" s="22" t="s">
        <v>1398</v>
      </c>
      <c r="J357" s="77" t="s">
        <v>1215</v>
      </c>
      <c r="K357" s="69" t="s">
        <v>1292</v>
      </c>
      <c r="L357" s="22" t="str">
        <f>IF($G357&lt;&gt;"",VLOOKUP($G357,'WPS '!C$5:M$209,8,FALSE),"")</f>
        <v>E71T-1C</v>
      </c>
      <c r="M357" s="76" t="s">
        <v>1208</v>
      </c>
      <c r="N357" s="21">
        <v>45900</v>
      </c>
      <c r="O357" s="21">
        <v>45906</v>
      </c>
      <c r="P357" s="21">
        <f t="shared" si="11"/>
        <v>46271</v>
      </c>
      <c r="Q357" s="164" t="str">
        <f>IF($G357&lt;&gt;"",VLOOKUP($G357,'WPS '!C$5:M$209,11,FALSE),"")</f>
        <v>AWS D1.1</v>
      </c>
      <c r="R357" s="147" t="str">
        <f>IF($G357&lt;&gt;"",VLOOKUP($G357,'WPS '!$C$5:$M$209,2,FALSE),"")</f>
        <v>OSR-WPS-D1.1-FC-099</v>
      </c>
      <c r="S357" s="30"/>
      <c r="T357" s="30"/>
      <c r="U357" s="30"/>
      <c r="V357" s="30"/>
      <c r="W357" s="30"/>
      <c r="X357" s="30"/>
      <c r="Y357" s="30"/>
      <c r="Z357" s="30"/>
      <c r="AA357" s="30"/>
      <c r="AB357" s="30"/>
      <c r="AC357" s="30" t="s">
        <v>95</v>
      </c>
      <c r="AD357" s="30" t="s">
        <v>356</v>
      </c>
      <c r="AE357" s="54"/>
      <c r="AF357" s="54"/>
      <c r="AG357" s="153">
        <v>2</v>
      </c>
    </row>
    <row r="358" spans="1:34" ht="45" customHeight="1">
      <c r="A358" s="293">
        <f t="shared" si="12"/>
        <v>351</v>
      </c>
      <c r="B358" s="5" t="s">
        <v>326</v>
      </c>
      <c r="C358" s="296" t="s">
        <v>1635</v>
      </c>
      <c r="D358" s="56">
        <f>IF(F358="","",SUBTOTAL(3,$F$6:F358))</f>
        <v>352</v>
      </c>
      <c r="E358" s="34" t="s">
        <v>37</v>
      </c>
      <c r="F358" s="108" t="s">
        <v>1697</v>
      </c>
      <c r="G358" s="40" t="s">
        <v>661</v>
      </c>
      <c r="H358" s="83">
        <f>IF($G358&lt;&gt;"",VLOOKUP($G358,'WPS '!C$5:M$209,3,FALSE),"")</f>
        <v>136</v>
      </c>
      <c r="I358" s="22" t="s">
        <v>1250</v>
      </c>
      <c r="J358" s="22" t="s">
        <v>1682</v>
      </c>
      <c r="K358" s="69" t="s">
        <v>884</v>
      </c>
      <c r="L358" s="22" t="str">
        <f>IF($G358&lt;&gt;"",VLOOKUP($G358,'WPS '!C$5:M$209,8,FALSE),"")</f>
        <v>E71T-1C</v>
      </c>
      <c r="M358" s="76" t="s">
        <v>38</v>
      </c>
      <c r="N358" s="21">
        <v>45001</v>
      </c>
      <c r="O358" s="21">
        <v>45003</v>
      </c>
      <c r="P358" s="21">
        <f t="shared" si="11"/>
        <v>46099</v>
      </c>
      <c r="Q358" s="164" t="s">
        <v>1811</v>
      </c>
      <c r="R358" s="147" t="str">
        <f>IF($G358&lt;&gt;"",VLOOKUP($G358,'WPS '!$C$5:$M$209,2,FALSE),"")</f>
        <v>OSR-WPS-ISO-PC+PF-005</v>
      </c>
      <c r="S358" s="30"/>
      <c r="T358" s="30"/>
      <c r="U358" s="30"/>
      <c r="V358" s="30"/>
      <c r="W358" s="30" t="s">
        <v>356</v>
      </c>
      <c r="X358" s="30" t="s">
        <v>95</v>
      </c>
      <c r="Y358" s="30"/>
      <c r="Z358" s="30"/>
      <c r="AA358" s="30"/>
      <c r="AB358" s="30"/>
      <c r="AC358" s="30"/>
      <c r="AD358" s="30"/>
      <c r="AE358" s="54"/>
      <c r="AF358" s="54"/>
      <c r="AG358" s="66">
        <v>6</v>
      </c>
      <c r="AH358" s="115"/>
    </row>
    <row r="359" spans="1:34" ht="45" customHeight="1">
      <c r="A359" s="293">
        <f t="shared" si="12"/>
        <v>352</v>
      </c>
      <c r="B359" s="5" t="s">
        <v>326</v>
      </c>
      <c r="C359" s="296" t="s">
        <v>1635</v>
      </c>
      <c r="D359" s="56">
        <f>IF(F359="","",SUBTOTAL(3,$F$6:F359))</f>
        <v>353</v>
      </c>
      <c r="E359" s="34" t="s">
        <v>37</v>
      </c>
      <c r="F359" s="108" t="s">
        <v>1697</v>
      </c>
      <c r="G359" s="40" t="s">
        <v>701</v>
      </c>
      <c r="H359" s="83">
        <f>IF($G359&lt;&gt;"",VLOOKUP($G359,'WPS '!C$5:M$209,3,FALSE),"")</f>
        <v>136</v>
      </c>
      <c r="I359" s="22" t="s">
        <v>1250</v>
      </c>
      <c r="J359" s="22" t="s">
        <v>257</v>
      </c>
      <c r="K359" s="69" t="s">
        <v>884</v>
      </c>
      <c r="L359" s="22" t="str">
        <f>IF($G359&lt;&gt;"",VLOOKUP($G359,'WPS '!C$5:M$209,8,FALSE),"")</f>
        <v>E81T1-W2C</v>
      </c>
      <c r="M359" s="76" t="s">
        <v>145</v>
      </c>
      <c r="N359" s="21">
        <v>45724</v>
      </c>
      <c r="O359" s="21">
        <v>45731</v>
      </c>
      <c r="P359" s="21">
        <f t="shared" si="11"/>
        <v>46096</v>
      </c>
      <c r="Q359" s="164" t="s">
        <v>1811</v>
      </c>
      <c r="R359" s="147" t="str">
        <f>IF($G359&lt;&gt;"",VLOOKUP($G359,'WPS '!$C$5:$M$209,2,FALSE),"")</f>
        <v>OSR-WPS-ISO-PC-046</v>
      </c>
      <c r="S359" s="30"/>
      <c r="T359" s="30"/>
      <c r="U359" s="30"/>
      <c r="V359" s="30"/>
      <c r="W359" s="30"/>
      <c r="X359" s="30" t="s">
        <v>95</v>
      </c>
      <c r="Y359" s="30"/>
      <c r="Z359" s="30"/>
      <c r="AA359" s="30"/>
      <c r="AB359" s="30"/>
      <c r="AC359" s="30"/>
      <c r="AD359" s="30"/>
      <c r="AE359" s="54"/>
      <c r="AF359" s="54"/>
      <c r="AG359" s="66">
        <v>2</v>
      </c>
      <c r="AH359" s="115"/>
    </row>
    <row r="360" spans="1:34" ht="45" customHeight="1">
      <c r="A360" s="293">
        <f t="shared" si="12"/>
        <v>353</v>
      </c>
      <c r="B360" s="5" t="s">
        <v>326</v>
      </c>
      <c r="C360" s="296" t="s">
        <v>1635</v>
      </c>
      <c r="D360" s="56">
        <f>IF(F360="","",SUBTOTAL(3,$F$6:F360))</f>
        <v>354</v>
      </c>
      <c r="E360" s="34" t="s">
        <v>37</v>
      </c>
      <c r="F360" s="108" t="s">
        <v>1697</v>
      </c>
      <c r="G360" s="40" t="s">
        <v>704</v>
      </c>
      <c r="H360" s="83">
        <f>IF($G360&lt;&gt;"",VLOOKUP($G360,'WPS '!C$5:M$209,3,FALSE),"")</f>
        <v>136</v>
      </c>
      <c r="I360" s="22" t="s">
        <v>1251</v>
      </c>
      <c r="J360" s="22" t="s">
        <v>242</v>
      </c>
      <c r="K360" s="69" t="s">
        <v>884</v>
      </c>
      <c r="L360" s="22" t="str">
        <f>IF($G360&lt;&gt;"",VLOOKUP($G360,'WPS '!C$5:M$209,8,FALSE),"")</f>
        <v>E71T-1C</v>
      </c>
      <c r="M360" s="76" t="s">
        <v>917</v>
      </c>
      <c r="N360" s="21">
        <v>45795</v>
      </c>
      <c r="O360" s="21">
        <v>45799</v>
      </c>
      <c r="P360" s="21">
        <f t="shared" si="11"/>
        <v>46164</v>
      </c>
      <c r="Q360" s="164" t="s">
        <v>1811</v>
      </c>
      <c r="R360" s="147" t="str">
        <f>IF($G360&lt;&gt;"",VLOOKUP($G360,'WPS '!$C$5:$M$209,2,FALSE),"")</f>
        <v>OSR-WPS-ISO-PF-049</v>
      </c>
      <c r="S360" s="30"/>
      <c r="T360" s="30"/>
      <c r="U360" s="30"/>
      <c r="V360" s="30"/>
      <c r="W360" s="30"/>
      <c r="X360" s="30"/>
      <c r="Y360" s="30" t="s">
        <v>95</v>
      </c>
      <c r="Z360" s="30"/>
      <c r="AA360" s="30"/>
      <c r="AB360" s="30"/>
      <c r="AC360" s="30"/>
      <c r="AD360" s="30"/>
      <c r="AE360" s="54"/>
      <c r="AF360" s="54"/>
      <c r="AG360" s="66">
        <v>2</v>
      </c>
      <c r="AH360" s="115"/>
    </row>
    <row r="361" spans="1:34" ht="45" customHeight="1">
      <c r="A361" s="293">
        <f t="shared" si="12"/>
        <v>354</v>
      </c>
      <c r="B361" s="5" t="s">
        <v>326</v>
      </c>
      <c r="C361" s="296" t="s">
        <v>1635</v>
      </c>
      <c r="D361" s="56">
        <f>IF(F361="","",SUBTOTAL(3,$F$6:F361))</f>
        <v>355</v>
      </c>
      <c r="E361" s="34" t="s">
        <v>37</v>
      </c>
      <c r="F361" s="108" t="s">
        <v>1697</v>
      </c>
      <c r="G361" s="40" t="s">
        <v>1240</v>
      </c>
      <c r="H361" s="83">
        <f>IF($G361&lt;&gt;"",VLOOKUP($G361,'WPS '!C$5:M$209,3,FALSE),"")</f>
        <v>136</v>
      </c>
      <c r="I361" s="22" t="s">
        <v>1603</v>
      </c>
      <c r="J361" s="22" t="s">
        <v>243</v>
      </c>
      <c r="K361" s="69" t="s">
        <v>874</v>
      </c>
      <c r="L361" s="22" t="str">
        <f>IF($G361&lt;&gt;"",VLOOKUP($G361,'WPS '!C$5:M$209,8,FALSE),"")</f>
        <v>E71T-1C</v>
      </c>
      <c r="M361" s="76" t="s">
        <v>1259</v>
      </c>
      <c r="N361" s="21">
        <v>45906</v>
      </c>
      <c r="O361" s="21">
        <v>45909</v>
      </c>
      <c r="P361" s="21">
        <f t="shared" si="11"/>
        <v>46274</v>
      </c>
      <c r="Q361" s="164" t="s">
        <v>1811</v>
      </c>
      <c r="R361" s="147" t="str">
        <f>IF($G361&lt;&gt;"",VLOOKUP($G361,'WPS '!$C$5:$M$209,2,FALSE),"")</f>
        <v>OSR-WPS-ISO-PB-078</v>
      </c>
      <c r="S361" s="30"/>
      <c r="T361" s="30"/>
      <c r="U361" s="30"/>
      <c r="V361" s="30"/>
      <c r="W361" s="30"/>
      <c r="X361" s="30"/>
      <c r="Y361" s="30"/>
      <c r="Z361" s="30" t="s">
        <v>356</v>
      </c>
      <c r="AA361" s="30"/>
      <c r="AB361" s="30"/>
      <c r="AC361" s="30"/>
      <c r="AD361" s="30"/>
      <c r="AE361" s="54"/>
      <c r="AF361" s="54"/>
      <c r="AG361" s="66">
        <v>2</v>
      </c>
      <c r="AH361" s="115"/>
    </row>
    <row r="362" spans="1:34" s="2" customFormat="1" ht="45" customHeight="1">
      <c r="A362" s="293">
        <f t="shared" si="12"/>
        <v>355</v>
      </c>
      <c r="B362" s="5" t="s">
        <v>326</v>
      </c>
      <c r="C362" s="296" t="s">
        <v>1635</v>
      </c>
      <c r="D362" s="56">
        <f>IF(F362="","",SUBTOTAL(3,$F$6:F362))</f>
        <v>356</v>
      </c>
      <c r="E362" s="34" t="s">
        <v>37</v>
      </c>
      <c r="F362" s="108" t="s">
        <v>1697</v>
      </c>
      <c r="G362" s="40" t="s">
        <v>1585</v>
      </c>
      <c r="H362" s="83">
        <f>IF($G362&lt;&gt;"",VLOOKUP($G362,'WPS '!C$5:M$209,3,FALSE),"")</f>
        <v>121</v>
      </c>
      <c r="I362" s="22" t="s">
        <v>1250</v>
      </c>
      <c r="J362" s="22" t="s">
        <v>368</v>
      </c>
      <c r="K362" s="69" t="s">
        <v>1592</v>
      </c>
      <c r="L362" s="22" t="str">
        <f>IF($G362&lt;&gt;"",VLOOKUP($G362,'WPS '!C$5:M$209,8,FALSE),"")</f>
        <v>EM12K</v>
      </c>
      <c r="M362" s="76" t="s">
        <v>1837</v>
      </c>
      <c r="N362" s="21">
        <v>45947</v>
      </c>
      <c r="O362" s="21">
        <v>45951</v>
      </c>
      <c r="P362" s="21">
        <f t="shared" si="11"/>
        <v>46316</v>
      </c>
      <c r="Q362" s="164" t="s">
        <v>1811</v>
      </c>
      <c r="R362" s="147" t="str">
        <f>IF($G362&lt;&gt;"",VLOOKUP($G362,'WPS '!$C$5:$M$209,2,FALSE),"")</f>
        <v>OSR-WPS-ISO-PA-081</v>
      </c>
      <c r="S362" s="30"/>
      <c r="T362" s="30"/>
      <c r="U362" s="30"/>
      <c r="V362" s="30"/>
      <c r="W362" s="30" t="s">
        <v>356</v>
      </c>
      <c r="X362" s="30"/>
      <c r="Y362" s="30"/>
      <c r="Z362" s="30"/>
      <c r="AA362" s="30"/>
      <c r="AB362" s="30" t="s">
        <v>356</v>
      </c>
      <c r="AC362" s="30"/>
      <c r="AD362" s="30"/>
      <c r="AE362" s="54"/>
      <c r="AF362" s="54"/>
      <c r="AG362" s="66">
        <v>2</v>
      </c>
      <c r="AH362" s="115"/>
    </row>
    <row r="363" spans="1:34" s="2" customFormat="1" ht="45" customHeight="1">
      <c r="A363" s="293">
        <f t="shared" si="12"/>
        <v>356</v>
      </c>
      <c r="B363" s="5" t="s">
        <v>326</v>
      </c>
      <c r="C363" s="296" t="s">
        <v>1635</v>
      </c>
      <c r="D363" s="56">
        <f>IF(F363="","",SUBTOTAL(3,$F$6:F363))</f>
        <v>357</v>
      </c>
      <c r="E363" s="34" t="s">
        <v>37</v>
      </c>
      <c r="F363" s="108" t="s">
        <v>1697</v>
      </c>
      <c r="G363" s="40" t="s">
        <v>1617</v>
      </c>
      <c r="H363" s="83" t="str">
        <f>IF($G363&lt;&gt;"",VLOOKUP($G363,'WPS '!C$5:M$209,3,FALSE),"")</f>
        <v>136            121</v>
      </c>
      <c r="I363" s="22" t="s">
        <v>1250</v>
      </c>
      <c r="J363" s="22" t="s">
        <v>368</v>
      </c>
      <c r="K363" s="69" t="s">
        <v>1619</v>
      </c>
      <c r="L363" s="22" t="str">
        <f>IF($G363&lt;&gt;"",VLOOKUP($G363,'WPS '!C$5:M$209,8,FALSE),"")</f>
        <v>E71T-1C
EM12K</v>
      </c>
      <c r="M363" s="103" t="s">
        <v>1818</v>
      </c>
      <c r="N363" s="21">
        <v>45954</v>
      </c>
      <c r="O363" s="21">
        <v>45960</v>
      </c>
      <c r="P363" s="21">
        <f t="shared" si="11"/>
        <v>46325</v>
      </c>
      <c r="Q363" s="164" t="s">
        <v>1811</v>
      </c>
      <c r="R363" s="147" t="str">
        <f>IF($G363&lt;&gt;"",VLOOKUP($G363,'WPS '!$C$5:$M$209,2,FALSE),"")</f>
        <v>OSR-WPS-ISO-PA-083</v>
      </c>
      <c r="S363" s="30"/>
      <c r="T363" s="30"/>
      <c r="U363" s="30"/>
      <c r="V363" s="30"/>
      <c r="W363" s="30" t="s">
        <v>356</v>
      </c>
      <c r="X363" s="30"/>
      <c r="Y363" s="30"/>
      <c r="Z363" s="30"/>
      <c r="AA363" s="30"/>
      <c r="AB363" s="30" t="s">
        <v>356</v>
      </c>
      <c r="AC363" s="30"/>
      <c r="AD363" s="30"/>
      <c r="AE363" s="54"/>
      <c r="AF363" s="54"/>
      <c r="AG363" s="66">
        <v>2</v>
      </c>
      <c r="AH363" s="115"/>
    </row>
    <row r="364" spans="1:34" s="2" customFormat="1" ht="45" customHeight="1">
      <c r="A364" s="293">
        <f t="shared" si="12"/>
        <v>357</v>
      </c>
      <c r="B364" s="28" t="s">
        <v>326</v>
      </c>
      <c r="C364" s="295" t="s">
        <v>1635</v>
      </c>
      <c r="D364" s="56">
        <f>IF(F364="","",SUBTOTAL(3,$F$6:F364))</f>
        <v>358</v>
      </c>
      <c r="E364" s="34" t="s">
        <v>37</v>
      </c>
      <c r="F364" s="107" t="s">
        <v>1697</v>
      </c>
      <c r="G364" s="39" t="s">
        <v>718</v>
      </c>
      <c r="H364" s="83" t="str">
        <f>IF($G364&lt;&gt;"",VLOOKUP($G364,'WPS '!C$5:M$209,3,FALSE),"")</f>
        <v>FCAW</v>
      </c>
      <c r="I364" s="22" t="s">
        <v>852</v>
      </c>
      <c r="J364" s="22" t="s">
        <v>1390</v>
      </c>
      <c r="K364" s="69" t="s">
        <v>116</v>
      </c>
      <c r="L364" s="22" t="str">
        <f>IF($G364&lt;&gt;"",VLOOKUP($G364,'WPS '!C$5:M$209,8,FALSE),"")</f>
        <v>E71T-1C</v>
      </c>
      <c r="M364" s="76" t="s">
        <v>302</v>
      </c>
      <c r="N364" s="21">
        <v>45583</v>
      </c>
      <c r="O364" s="21">
        <v>45590</v>
      </c>
      <c r="P364" s="21">
        <f t="shared" si="11"/>
        <v>46137</v>
      </c>
      <c r="Q364" s="164" t="str">
        <f>IF($G364&lt;&gt;"",VLOOKUP($G364,'WPS '!C$5:M$209,11,FALSE),"")</f>
        <v>ASME IX</v>
      </c>
      <c r="R364" s="147" t="str">
        <f>IF($G364&lt;&gt;"",VLOOKUP($G364,'WPS '!$C$5:$M$209,2,FALSE),"")</f>
        <v>OSR-WPS-ASME-FC-001</v>
      </c>
      <c r="S364" s="30" t="s">
        <v>356</v>
      </c>
      <c r="T364" s="30"/>
      <c r="U364" s="30"/>
      <c r="V364" s="30"/>
      <c r="W364" s="62"/>
      <c r="X364" s="30"/>
      <c r="Y364" s="32"/>
      <c r="Z364" s="32"/>
      <c r="AA364" s="32"/>
      <c r="AB364" s="62"/>
      <c r="AC364" s="62"/>
      <c r="AD364" s="62"/>
      <c r="AE364" s="146"/>
      <c r="AF364" s="146"/>
      <c r="AG364" s="67">
        <v>3</v>
      </c>
      <c r="AH364" s="18"/>
    </row>
    <row r="365" spans="1:34" s="2" customFormat="1" ht="45" customHeight="1">
      <c r="A365" s="293">
        <f t="shared" si="12"/>
        <v>358</v>
      </c>
      <c r="B365" s="28" t="s">
        <v>326</v>
      </c>
      <c r="C365" s="295" t="s">
        <v>1635</v>
      </c>
      <c r="D365" s="56">
        <f>IF(F365="","",SUBTOTAL(3,$F$6:F365))</f>
        <v>359</v>
      </c>
      <c r="E365" s="34" t="s">
        <v>37</v>
      </c>
      <c r="F365" s="108" t="s">
        <v>1697</v>
      </c>
      <c r="G365" s="39" t="s">
        <v>727</v>
      </c>
      <c r="H365" s="83" t="str">
        <f>IF($G365&lt;&gt;"",VLOOKUP($G365,'WPS '!C$5:M$209,3,FALSE),"")</f>
        <v>GMAW</v>
      </c>
      <c r="I365" s="22" t="s">
        <v>852</v>
      </c>
      <c r="J365" s="22" t="s">
        <v>1472</v>
      </c>
      <c r="K365" s="69" t="s">
        <v>105</v>
      </c>
      <c r="L365" s="22" t="str">
        <f>IF($G365&lt;&gt;"",VLOOKUP($G365,'WPS '!C$5:M$209,8,FALSE),"")</f>
        <v>ER309</v>
      </c>
      <c r="M365" s="76" t="s">
        <v>303</v>
      </c>
      <c r="N365" s="21">
        <v>45731</v>
      </c>
      <c r="O365" s="21">
        <v>45733</v>
      </c>
      <c r="P365" s="21">
        <f t="shared" si="11"/>
        <v>46098</v>
      </c>
      <c r="Q365" s="164" t="str">
        <f>IF($G365&lt;&gt;"",VLOOKUP($G365,'WPS '!C$5:M$209,11,FALSE),"")</f>
        <v>ASME IX</v>
      </c>
      <c r="R365" s="147" t="str">
        <f>IF($G365&lt;&gt;"",VLOOKUP($G365,'WPS '!$C$5:$M$209,2,FALSE),"")</f>
        <v>OSR-WPS-ASME-GM-010</v>
      </c>
      <c r="S365" s="30" t="s">
        <v>356</v>
      </c>
      <c r="T365" s="30"/>
      <c r="U365" s="30"/>
      <c r="V365" s="30"/>
      <c r="W365" s="62"/>
      <c r="X365" s="30"/>
      <c r="Y365" s="32"/>
      <c r="Z365" s="32"/>
      <c r="AA365" s="32"/>
      <c r="AB365" s="62"/>
      <c r="AC365" s="62"/>
      <c r="AD365" s="62"/>
      <c r="AE365" s="146"/>
      <c r="AF365" s="146"/>
      <c r="AG365" s="66">
        <v>2</v>
      </c>
      <c r="AH365" s="28" t="s">
        <v>1533</v>
      </c>
    </row>
    <row r="366" spans="1:34" s="2" customFormat="1" ht="45" customHeight="1">
      <c r="A366" s="293">
        <f t="shared" si="12"/>
        <v>359</v>
      </c>
      <c r="B366" s="28" t="s">
        <v>326</v>
      </c>
      <c r="C366" s="295" t="s">
        <v>1635</v>
      </c>
      <c r="D366" s="97">
        <f>IF(F366="","",SUBTOTAL(3,$F$6:F366))</f>
        <v>360</v>
      </c>
      <c r="E366" s="98" t="s">
        <v>37</v>
      </c>
      <c r="F366" s="110" t="s">
        <v>1697</v>
      </c>
      <c r="G366" s="99" t="s">
        <v>1537</v>
      </c>
      <c r="H366" s="100" t="str">
        <f>IF($G366&lt;&gt;"",VLOOKUP($G366,'WPS '!C$5:M$209,3,FALSE),"")</f>
        <v>SAW</v>
      </c>
      <c r="I366" s="101" t="s">
        <v>1778</v>
      </c>
      <c r="J366" s="101" t="s">
        <v>1472</v>
      </c>
      <c r="K366" s="102" t="s">
        <v>1779</v>
      </c>
      <c r="L366" s="101" t="str">
        <f>IF($G366&lt;&gt;"",VLOOKUP($G366,'WPS '!C$5:M$209,8,FALSE),"")</f>
        <v>M-12K</v>
      </c>
      <c r="M366" s="103" t="s">
        <v>1782</v>
      </c>
      <c r="N366" s="104">
        <v>45894</v>
      </c>
      <c r="O366" s="104">
        <v>45959</v>
      </c>
      <c r="P366" s="104">
        <f t="shared" si="11"/>
        <v>46324</v>
      </c>
      <c r="Q366" s="165" t="str">
        <f>IF($G366&lt;&gt;"",VLOOKUP($G366,'WPS '!C$5:M$209,11,FALSE),"")</f>
        <v>ASME IX</v>
      </c>
      <c r="R366" s="147" t="str">
        <f>IF($G366&lt;&gt;"",VLOOKUP($G366,'WPS '!$C$5:$M$209,2,FALSE),"")</f>
        <v>OSR-WPS-ASME-SAW-013</v>
      </c>
      <c r="S366" s="30" t="s">
        <v>356</v>
      </c>
      <c r="T366" s="30"/>
      <c r="U366" s="30"/>
      <c r="V366" s="30"/>
      <c r="W366" s="62"/>
      <c r="X366" s="30"/>
      <c r="Y366" s="31"/>
      <c r="Z366" s="31"/>
      <c r="AA366" s="31"/>
      <c r="AB366" s="62"/>
      <c r="AC366" s="62"/>
      <c r="AD366" s="62"/>
      <c r="AE366" s="146"/>
      <c r="AF366" s="146"/>
      <c r="AG366" s="66">
        <v>2</v>
      </c>
      <c r="AH366" s="18"/>
    </row>
    <row r="367" spans="1:34" s="2" customFormat="1" ht="45" customHeight="1">
      <c r="A367" s="293">
        <f t="shared" si="12"/>
        <v>360</v>
      </c>
      <c r="B367" s="28" t="s">
        <v>326</v>
      </c>
      <c r="C367" s="295" t="s">
        <v>1635</v>
      </c>
      <c r="D367" s="56">
        <f>IF(F367="","",SUBTOTAL(3,$F$6:F367))</f>
        <v>361</v>
      </c>
      <c r="E367" s="34" t="s">
        <v>37</v>
      </c>
      <c r="F367" s="108" t="s">
        <v>1697</v>
      </c>
      <c r="G367" s="39" t="s">
        <v>1661</v>
      </c>
      <c r="H367" s="83" t="str">
        <f>IF($G367&lt;&gt;"",VLOOKUP($G367,'WPS '!C$5:M$209,3,FALSE),"")</f>
        <v>136            121</v>
      </c>
      <c r="I367" s="22" t="s">
        <v>1251</v>
      </c>
      <c r="J367" s="101" t="s">
        <v>368</v>
      </c>
      <c r="K367" s="102" t="s">
        <v>1619</v>
      </c>
      <c r="L367" s="22" t="str">
        <f>IF($G367&lt;&gt;"",VLOOKUP($G367,'WPS '!C$5:M$209,8,FALSE),"")</f>
        <v>E71T-1C
EM12K</v>
      </c>
      <c r="M367" s="76" t="s">
        <v>1673</v>
      </c>
      <c r="N367" s="21">
        <v>45960</v>
      </c>
      <c r="O367" s="21">
        <v>45967</v>
      </c>
      <c r="P367" s="21">
        <f t="shared" si="11"/>
        <v>46148</v>
      </c>
      <c r="Q367" s="164" t="s">
        <v>1811</v>
      </c>
      <c r="R367" s="147" t="str">
        <f>IF($G367&lt;&gt;"",VLOOKUP($G367,'WPS '!$C$5:$M$209,2,FALSE),"")</f>
        <v>OSR-WPS-ISO-PA-084</v>
      </c>
      <c r="S367" s="30"/>
      <c r="T367" s="30"/>
      <c r="U367" s="30"/>
      <c r="V367" s="30"/>
      <c r="W367" s="62" t="s">
        <v>356</v>
      </c>
      <c r="X367" s="30"/>
      <c r="Y367" s="32"/>
      <c r="Z367" s="32"/>
      <c r="AA367" s="32"/>
      <c r="AB367" s="62" t="s">
        <v>356</v>
      </c>
      <c r="AC367" s="62"/>
      <c r="AD367" s="62"/>
      <c r="AE367" s="146"/>
      <c r="AF367" s="146"/>
      <c r="AG367" s="66">
        <v>1</v>
      </c>
      <c r="AH367" s="28"/>
    </row>
    <row r="368" spans="1:34" s="2" customFormat="1" ht="45" customHeight="1">
      <c r="A368" s="293">
        <f t="shared" si="12"/>
        <v>361</v>
      </c>
      <c r="B368" s="28" t="s">
        <v>326</v>
      </c>
      <c r="C368" s="296" t="s">
        <v>1635</v>
      </c>
      <c r="D368" s="56">
        <f>IF(F368="","",SUBTOTAL(3,$F$6:F368))</f>
        <v>362</v>
      </c>
      <c r="E368" s="34" t="s">
        <v>37</v>
      </c>
      <c r="F368" s="108" t="s">
        <v>1697</v>
      </c>
      <c r="G368" s="40" t="s">
        <v>735</v>
      </c>
      <c r="H368" s="83" t="str">
        <f>IF($G368&lt;&gt;"",VLOOKUP($G368,'WPS '!C$5:M$209,3,FALSE),"")</f>
        <v>FCAW</v>
      </c>
      <c r="I368" s="22" t="s">
        <v>1499</v>
      </c>
      <c r="J368" s="77" t="s">
        <v>1215</v>
      </c>
      <c r="K368" s="69" t="s">
        <v>1480</v>
      </c>
      <c r="L368" s="22" t="str">
        <f>IF($G368&lt;&gt;"",VLOOKUP($G368,'WPS '!C$5:M$209,8,FALSE),"")</f>
        <v>E71T-1C</v>
      </c>
      <c r="M368" s="76" t="s">
        <v>1075</v>
      </c>
      <c r="N368" s="21">
        <v>44393</v>
      </c>
      <c r="O368" s="21">
        <v>44400</v>
      </c>
      <c r="P368" s="21">
        <f t="shared" si="11"/>
        <v>46045</v>
      </c>
      <c r="Q368" s="164" t="str">
        <f>IF($G368&lt;&gt;"",VLOOKUP($G368,'WPS '!C$5:M$209,11,FALSE),"")</f>
        <v>AWS D1.1</v>
      </c>
      <c r="R368" s="147" t="str">
        <f>IF($G368&lt;&gt;"",VLOOKUP($G368,'WPS '!$C$5:$M$209,2,FALSE),"")</f>
        <v>OSR-WPS-D1.1-FC-007</v>
      </c>
      <c r="S368" s="30"/>
      <c r="T368" s="30" t="s">
        <v>356</v>
      </c>
      <c r="U368" s="30" t="s">
        <v>356</v>
      </c>
      <c r="V368" s="30" t="s">
        <v>356</v>
      </c>
      <c r="W368" s="30"/>
      <c r="X368" s="30"/>
      <c r="Y368" s="30"/>
      <c r="Z368" s="30"/>
      <c r="AA368" s="30"/>
      <c r="AB368" s="30"/>
      <c r="AC368" s="30" t="s">
        <v>356</v>
      </c>
      <c r="AD368" s="30" t="s">
        <v>356</v>
      </c>
      <c r="AE368" s="54"/>
      <c r="AF368" s="54"/>
      <c r="AG368" s="153">
        <v>9</v>
      </c>
    </row>
    <row r="369" spans="1:34" ht="45" customHeight="1">
      <c r="A369" s="293">
        <f t="shared" si="12"/>
        <v>362</v>
      </c>
      <c r="B369" s="28" t="s">
        <v>326</v>
      </c>
      <c r="C369" s="296" t="s">
        <v>1635</v>
      </c>
      <c r="D369" s="56">
        <f>IF(F369="","",SUBTOTAL(3,$F$6:F369))</f>
        <v>363</v>
      </c>
      <c r="E369" s="34" t="s">
        <v>37</v>
      </c>
      <c r="F369" s="108" t="s">
        <v>1697</v>
      </c>
      <c r="G369" s="40" t="s">
        <v>777</v>
      </c>
      <c r="H369" s="83" t="str">
        <f>IF($G369&lt;&gt;"",VLOOKUP($G369,'WPS '!C$5:M$209,3,FALSE),"")</f>
        <v>FCAW</v>
      </c>
      <c r="I369" s="22" t="s">
        <v>1506</v>
      </c>
      <c r="J369" s="77" t="s">
        <v>1407</v>
      </c>
      <c r="K369" s="69" t="s">
        <v>1414</v>
      </c>
      <c r="L369" s="22" t="str">
        <f>IF($G369&lt;&gt;"",VLOOKUP($G369,'WPS '!C$5:M$209,8,FALSE),"")</f>
        <v>E71T-1C</v>
      </c>
      <c r="M369" s="76" t="s">
        <v>1104</v>
      </c>
      <c r="N369" s="21">
        <v>44393</v>
      </c>
      <c r="O369" s="21">
        <v>44400</v>
      </c>
      <c r="P369" s="21">
        <f t="shared" si="11"/>
        <v>46045</v>
      </c>
      <c r="Q369" s="164" t="str">
        <f>IF($G369&lt;&gt;"",VLOOKUP($G369,'WPS '!C$5:M$209,11,FALSE),"")</f>
        <v>AWS D1.1</v>
      </c>
      <c r="R369" s="147" t="str">
        <f>IF($G369&lt;&gt;"",VLOOKUP($G369,'WPS '!$C$5:$M$209,2,FALSE),"")</f>
        <v>OSR-WPS-D1.1-FC-049</v>
      </c>
      <c r="S369" s="30"/>
      <c r="T369" s="30" t="s">
        <v>356</v>
      </c>
      <c r="U369" s="30" t="s">
        <v>356</v>
      </c>
      <c r="V369" s="30" t="s">
        <v>356</v>
      </c>
      <c r="W369" s="30"/>
      <c r="X369" s="30"/>
      <c r="Y369" s="30"/>
      <c r="Z369" s="30"/>
      <c r="AA369" s="30"/>
      <c r="AB369" s="30"/>
      <c r="AC369" s="30"/>
      <c r="AD369" s="30"/>
      <c r="AE369" s="54"/>
      <c r="AF369" s="54"/>
      <c r="AG369" s="153">
        <v>9</v>
      </c>
    </row>
    <row r="370" spans="1:34" ht="45" customHeight="1">
      <c r="A370" s="293">
        <f t="shared" si="12"/>
        <v>363</v>
      </c>
      <c r="B370" s="28" t="s">
        <v>326</v>
      </c>
      <c r="C370" s="296" t="s">
        <v>1635</v>
      </c>
      <c r="D370" s="56">
        <f>IF(F370="","",SUBTOTAL(3,$F$6:F370))</f>
        <v>364</v>
      </c>
      <c r="E370" s="34" t="s">
        <v>37</v>
      </c>
      <c r="F370" s="108" t="s">
        <v>1697</v>
      </c>
      <c r="G370" s="40" t="s">
        <v>1368</v>
      </c>
      <c r="H370" s="83" t="str">
        <f>IF($G370&lt;&gt;"",VLOOKUP($G370,'WPS '!C$5:M$209,3,FALSE),"")</f>
        <v>FCAW</v>
      </c>
      <c r="I370" s="22" t="s">
        <v>1403</v>
      </c>
      <c r="J370" s="77" t="s">
        <v>1407</v>
      </c>
      <c r="K370" s="69" t="s">
        <v>1408</v>
      </c>
      <c r="L370" s="22" t="str">
        <f>IF($G370&lt;&gt;"",VLOOKUP($G370,'WPS '!C$5:M$209,8,FALSE),"")</f>
        <v>E71T-1C</v>
      </c>
      <c r="M370" s="76" t="s">
        <v>1416</v>
      </c>
      <c r="N370" s="21">
        <v>45895</v>
      </c>
      <c r="O370" s="21">
        <v>45906</v>
      </c>
      <c r="P370" s="21">
        <f t="shared" si="11"/>
        <v>46271</v>
      </c>
      <c r="Q370" s="164" t="str">
        <f>IF($G370&lt;&gt;"",VLOOKUP($G370,'WPS '!C$5:M$209,11,FALSE),"")</f>
        <v>AWS D1.1</v>
      </c>
      <c r="R370" s="147" t="str">
        <f>IF($G370&lt;&gt;"",VLOOKUP($G370,'WPS '!$C$5:$M$209,2,FALSE),"")</f>
        <v>OSR-WPS-D1.1-FC-102</v>
      </c>
      <c r="S370" s="30"/>
      <c r="T370" s="30"/>
      <c r="U370" s="30"/>
      <c r="V370" s="30"/>
      <c r="W370" s="30"/>
      <c r="X370" s="30"/>
      <c r="Y370" s="30"/>
      <c r="Z370" s="30"/>
      <c r="AA370" s="30"/>
      <c r="AB370" s="30"/>
      <c r="AC370" s="30" t="s">
        <v>356</v>
      </c>
      <c r="AD370" s="30"/>
      <c r="AE370" s="54"/>
      <c r="AF370" s="54"/>
      <c r="AG370" s="153">
        <v>2</v>
      </c>
    </row>
    <row r="371" spans="1:34" ht="45" customHeight="1">
      <c r="A371" s="293">
        <f t="shared" si="12"/>
        <v>364</v>
      </c>
      <c r="B371" s="28" t="s">
        <v>326</v>
      </c>
      <c r="C371" s="296" t="s">
        <v>1635</v>
      </c>
      <c r="D371" s="56">
        <f>IF(F371="","",SUBTOTAL(3,$F$6:F371))</f>
        <v>365</v>
      </c>
      <c r="E371" s="34" t="s">
        <v>37</v>
      </c>
      <c r="F371" s="108" t="s">
        <v>1697</v>
      </c>
      <c r="G371" s="40" t="s">
        <v>1220</v>
      </c>
      <c r="H371" s="83" t="str">
        <f>IF($G371&lt;&gt;"",VLOOKUP($G371,'WPS '!C$5:M$209,3,FALSE),"")</f>
        <v>FCAW</v>
      </c>
      <c r="I371" s="22" t="s">
        <v>1206</v>
      </c>
      <c r="J371" s="77" t="s">
        <v>1214</v>
      </c>
      <c r="K371" s="69" t="s">
        <v>1290</v>
      </c>
      <c r="L371" s="22" t="str">
        <f>IF($G371&lt;&gt;"",VLOOKUP($G371,'WPS '!C$5:M$209,8,FALSE),"")</f>
        <v>E71T-1C</v>
      </c>
      <c r="M371" s="76" t="s">
        <v>1291</v>
      </c>
      <c r="N371" s="21">
        <v>45899</v>
      </c>
      <c r="O371" s="21">
        <v>45906</v>
      </c>
      <c r="P371" s="21">
        <f t="shared" si="11"/>
        <v>46271</v>
      </c>
      <c r="Q371" s="164" t="str">
        <f>IF($G371&lt;&gt;"",VLOOKUP($G371,'WPS '!C$5:M$209,11,FALSE),"")</f>
        <v>AWS D1.1</v>
      </c>
      <c r="R371" s="147" t="str">
        <f>IF($G371&lt;&gt;"",VLOOKUP($G371,'WPS '!$C$5:$M$209,2,FALSE),"")</f>
        <v>OSR-WPS-D1.1-FC-106</v>
      </c>
      <c r="S371" s="30"/>
      <c r="T371" s="30"/>
      <c r="U371" s="30"/>
      <c r="V371" s="30"/>
      <c r="W371" s="30"/>
      <c r="X371" s="30"/>
      <c r="Y371" s="30"/>
      <c r="Z371" s="30"/>
      <c r="AA371" s="30"/>
      <c r="AB371" s="30"/>
      <c r="AC371" s="30" t="s">
        <v>356</v>
      </c>
      <c r="AD371" s="30" t="s">
        <v>356</v>
      </c>
      <c r="AE371" s="54"/>
      <c r="AF371" s="54"/>
      <c r="AG371" s="153">
        <v>2</v>
      </c>
    </row>
    <row r="372" spans="1:34" ht="45" customHeight="1">
      <c r="A372" s="293">
        <f t="shared" si="12"/>
        <v>365</v>
      </c>
      <c r="B372" s="5" t="s">
        <v>327</v>
      </c>
      <c r="C372" s="296" t="s">
        <v>1635</v>
      </c>
      <c r="D372" s="56">
        <f>IF(F372="","",SUBTOTAL(3,$F$6:F372))</f>
        <v>366</v>
      </c>
      <c r="E372" s="34" t="s">
        <v>39</v>
      </c>
      <c r="F372" s="107" t="s">
        <v>1744</v>
      </c>
      <c r="G372" s="40" t="s">
        <v>664</v>
      </c>
      <c r="H372" s="83">
        <f>IF($G372&lt;&gt;"",VLOOKUP($G372,'WPS '!C$5:M$209,3,FALSE),"")</f>
        <v>136</v>
      </c>
      <c r="I372" s="22" t="s">
        <v>1250</v>
      </c>
      <c r="J372" s="22" t="s">
        <v>1683</v>
      </c>
      <c r="K372" s="69" t="s">
        <v>922</v>
      </c>
      <c r="L372" s="22" t="str">
        <f>IF($G372&lt;&gt;"",VLOOKUP($G372,'WPS '!C$5:M$209,8,FALSE),"")</f>
        <v>E309HT1-1</v>
      </c>
      <c r="M372" s="76" t="s">
        <v>40</v>
      </c>
      <c r="N372" s="21">
        <v>45001</v>
      </c>
      <c r="O372" s="21">
        <v>45003</v>
      </c>
      <c r="P372" s="21">
        <f t="shared" si="11"/>
        <v>46099</v>
      </c>
      <c r="Q372" s="164" t="s">
        <v>1811</v>
      </c>
      <c r="R372" s="147" t="str">
        <f>IF($G372&lt;&gt;"",VLOOKUP($G372,'WPS '!$C$5:$M$209,2,FALSE),"")</f>
        <v>OSR-WPS-ISO-PB-008</v>
      </c>
      <c r="S372" s="30"/>
      <c r="T372" s="30"/>
      <c r="U372" s="30"/>
      <c r="V372" s="30"/>
      <c r="W372" s="30" t="s">
        <v>356</v>
      </c>
      <c r="X372" s="30"/>
      <c r="Y372" s="30"/>
      <c r="Z372" s="30"/>
      <c r="AA372" s="30" t="s">
        <v>95</v>
      </c>
      <c r="AB372" s="30"/>
      <c r="AC372" s="30"/>
      <c r="AD372" s="30"/>
      <c r="AE372" s="54"/>
      <c r="AF372" s="54"/>
      <c r="AG372" s="66">
        <v>6</v>
      </c>
      <c r="AH372" s="115"/>
    </row>
    <row r="373" spans="1:34" ht="45" customHeight="1">
      <c r="A373" s="293">
        <f t="shared" si="12"/>
        <v>366</v>
      </c>
      <c r="B373" s="5" t="s">
        <v>327</v>
      </c>
      <c r="C373" s="296" t="s">
        <v>1635</v>
      </c>
      <c r="D373" s="56">
        <f>IF(F373="","",SUBTOTAL(3,$F$6:F373))</f>
        <v>367</v>
      </c>
      <c r="E373" s="34" t="s">
        <v>39</v>
      </c>
      <c r="F373" s="107" t="s">
        <v>1744</v>
      </c>
      <c r="G373" s="40" t="s">
        <v>666</v>
      </c>
      <c r="H373" s="83">
        <f>IF($G373&lt;&gt;"",VLOOKUP($G373,'WPS '!C$5:M$209,3,FALSE),"")</f>
        <v>136</v>
      </c>
      <c r="I373" s="22" t="s">
        <v>264</v>
      </c>
      <c r="J373" s="22" t="s">
        <v>1232</v>
      </c>
      <c r="K373" s="69" t="s">
        <v>884</v>
      </c>
      <c r="L373" s="22" t="str">
        <f>IF($G373&lt;&gt;"",VLOOKUP($G373,'WPS '!C$5:M$209,8,FALSE),"")</f>
        <v>E71T-1C</v>
      </c>
      <c r="M373" s="76" t="s">
        <v>265</v>
      </c>
      <c r="N373" s="21">
        <v>45133</v>
      </c>
      <c r="O373" s="21">
        <v>45138</v>
      </c>
      <c r="P373" s="21">
        <f t="shared" si="11"/>
        <v>46053</v>
      </c>
      <c r="Q373" s="164" t="s">
        <v>1811</v>
      </c>
      <c r="R373" s="147" t="str">
        <f>IF($G373&lt;&gt;"",VLOOKUP($G373,'WPS '!$C$5:$M$209,2,FALSE),"")</f>
        <v>OSR-WPS-ISO-PF-010</v>
      </c>
      <c r="S373" s="30"/>
      <c r="T373" s="30"/>
      <c r="U373" s="30"/>
      <c r="V373" s="30"/>
      <c r="W373" s="30"/>
      <c r="X373" s="30"/>
      <c r="Y373" s="30"/>
      <c r="Z373" s="30"/>
      <c r="AA373" s="30"/>
      <c r="AB373" s="30" t="s">
        <v>95</v>
      </c>
      <c r="AC373" s="30"/>
      <c r="AD373" s="30"/>
      <c r="AE373" s="54"/>
      <c r="AF373" s="54"/>
      <c r="AG373" s="66">
        <v>5</v>
      </c>
      <c r="AH373" s="115"/>
    </row>
    <row r="374" spans="1:34" s="2" customFormat="1" ht="45" customHeight="1">
      <c r="A374" s="293">
        <f t="shared" si="12"/>
        <v>367</v>
      </c>
      <c r="B374" s="5" t="s">
        <v>327</v>
      </c>
      <c r="C374" s="296" t="s">
        <v>1635</v>
      </c>
      <c r="D374" s="56">
        <f>IF(F374="","",SUBTOTAL(3,$F$6:F374))</f>
        <v>368</v>
      </c>
      <c r="E374" s="34" t="s">
        <v>39</v>
      </c>
      <c r="F374" s="107" t="s">
        <v>1744</v>
      </c>
      <c r="G374" s="40" t="s">
        <v>672</v>
      </c>
      <c r="H374" s="83">
        <f>IF($G374&lt;&gt;"",VLOOKUP($G374,'WPS '!C$5:M$209,3,FALSE),"")</f>
        <v>141</v>
      </c>
      <c r="I374" s="22" t="s">
        <v>1250</v>
      </c>
      <c r="J374" s="22" t="s">
        <v>242</v>
      </c>
      <c r="K374" s="69" t="s">
        <v>884</v>
      </c>
      <c r="L374" s="22" t="str">
        <f>IF($G374&lt;&gt;"",VLOOKUP($G374,'WPS '!C$5:M$209,8,FALSE),"")</f>
        <v>ER316L</v>
      </c>
      <c r="M374" s="76" t="s">
        <v>56</v>
      </c>
      <c r="N374" s="21">
        <v>45358</v>
      </c>
      <c r="O374" s="21">
        <v>45365</v>
      </c>
      <c r="P374" s="21">
        <f t="shared" ref="P374:P435" si="13">EDATE(O374,6*AG374)</f>
        <v>46095</v>
      </c>
      <c r="Q374" s="164" t="s">
        <v>1811</v>
      </c>
      <c r="R374" s="147" t="str">
        <f>IF($G374&lt;&gt;"",VLOOKUP($G374,'WPS '!$C$5:$M$209,2,FALSE),"")</f>
        <v>OSR-WPS-ISO-PC-016</v>
      </c>
      <c r="S374" s="30"/>
      <c r="T374" s="30"/>
      <c r="U374" s="30"/>
      <c r="V374" s="30"/>
      <c r="W374" s="30"/>
      <c r="X374" s="30"/>
      <c r="Y374" s="30"/>
      <c r="Z374" s="30"/>
      <c r="AA374" s="30"/>
      <c r="AB374" s="30"/>
      <c r="AC374" s="30"/>
      <c r="AD374" s="30"/>
      <c r="AE374" s="54"/>
      <c r="AF374" s="54"/>
      <c r="AG374" s="66">
        <v>4</v>
      </c>
      <c r="AH374" s="115"/>
    </row>
    <row r="375" spans="1:34" s="2" customFormat="1" ht="45" customHeight="1">
      <c r="A375" s="293">
        <f t="shared" si="12"/>
        <v>368</v>
      </c>
      <c r="B375" s="5" t="s">
        <v>327</v>
      </c>
      <c r="C375" s="296" t="s">
        <v>1635</v>
      </c>
      <c r="D375" s="56">
        <f>IF(F375="","",SUBTOTAL(3,$F$6:F375))</f>
        <v>369</v>
      </c>
      <c r="E375" s="34" t="s">
        <v>39</v>
      </c>
      <c r="F375" s="107" t="s">
        <v>1744</v>
      </c>
      <c r="G375" s="40" t="s">
        <v>673</v>
      </c>
      <c r="H375" s="83" t="str">
        <f>IF($G375&lt;&gt;"",VLOOKUP($G375,'WPS '!C$5:M$209,3,FALSE),"")</f>
        <v>141
136</v>
      </c>
      <c r="I375" s="22" t="s">
        <v>937</v>
      </c>
      <c r="J375" s="22" t="s">
        <v>1681</v>
      </c>
      <c r="K375" s="69" t="s">
        <v>922</v>
      </c>
      <c r="L375" s="22" t="str">
        <f>IF($G375&lt;&gt;"",VLOOKUP($G375,'WPS '!C$5:M$209,8,FALSE),"")</f>
        <v>ER70S-G  E71T-1C</v>
      </c>
      <c r="M375" s="76" t="s">
        <v>57</v>
      </c>
      <c r="N375" s="21">
        <v>45358</v>
      </c>
      <c r="O375" s="21">
        <v>45365</v>
      </c>
      <c r="P375" s="21">
        <f t="shared" si="13"/>
        <v>46095</v>
      </c>
      <c r="Q375" s="164" t="s">
        <v>1811</v>
      </c>
      <c r="R375" s="147" t="str">
        <f>IF($G375&lt;&gt;"",VLOOKUP($G375,'WPS '!$C$5:$M$209,2,FALSE),"")</f>
        <v>OSR-WPS-ISO-PC-017</v>
      </c>
      <c r="S375" s="30"/>
      <c r="T375" s="30"/>
      <c r="U375" s="30"/>
      <c r="V375" s="30"/>
      <c r="W375" s="30" t="s">
        <v>356</v>
      </c>
      <c r="X375" s="30"/>
      <c r="Y375" s="30"/>
      <c r="Z375" s="30"/>
      <c r="AA375" s="30"/>
      <c r="AB375" s="30"/>
      <c r="AC375" s="30"/>
      <c r="AD375" s="30"/>
      <c r="AE375" s="54"/>
      <c r="AF375" s="54"/>
      <c r="AG375" s="66">
        <v>4</v>
      </c>
      <c r="AH375" s="115"/>
    </row>
    <row r="376" spans="1:34" s="2" customFormat="1" ht="45" customHeight="1">
      <c r="A376" s="293">
        <f t="shared" si="12"/>
        <v>369</v>
      </c>
      <c r="B376" s="5" t="s">
        <v>327</v>
      </c>
      <c r="C376" s="296" t="s">
        <v>1635</v>
      </c>
      <c r="D376" s="56">
        <f>IF(F376="","",SUBTOTAL(3,$F$6:F376))</f>
        <v>370</v>
      </c>
      <c r="E376" s="34" t="s">
        <v>39</v>
      </c>
      <c r="F376" s="107" t="s">
        <v>1744</v>
      </c>
      <c r="G376" s="40" t="s">
        <v>677</v>
      </c>
      <c r="H376" s="83">
        <f>IF($G376&lt;&gt;"",VLOOKUP($G376,'WPS '!C$5:M$209,3,FALSE),"")</f>
        <v>52</v>
      </c>
      <c r="I376" s="22" t="s">
        <v>919</v>
      </c>
      <c r="J376" s="22" t="s">
        <v>918</v>
      </c>
      <c r="K376" s="69" t="s">
        <v>883</v>
      </c>
      <c r="L376" s="22" t="str">
        <f>IF($G376&lt;&gt;"",VLOOKUP($G376,'WPS '!C$5:M$209,8,FALSE),"")</f>
        <v>ER316L</v>
      </c>
      <c r="M376" s="76" t="s">
        <v>940</v>
      </c>
      <c r="N376" s="21">
        <v>45488</v>
      </c>
      <c r="O376" s="21">
        <v>45493</v>
      </c>
      <c r="P376" s="21">
        <f t="shared" si="13"/>
        <v>46042</v>
      </c>
      <c r="Q376" s="164" t="s">
        <v>1811</v>
      </c>
      <c r="R376" s="147" t="str">
        <f>IF($G376&lt;&gt;"",VLOOKUP($G376,'WPS '!$C$5:$M$209,2,FALSE),"")</f>
        <v>OSR-WPS-ISO-PA-022</v>
      </c>
      <c r="S376" s="30"/>
      <c r="T376" s="30"/>
      <c r="U376" s="30"/>
      <c r="V376" s="30"/>
      <c r="W376" s="30"/>
      <c r="X376" s="30"/>
      <c r="Y376" s="30" t="s">
        <v>95</v>
      </c>
      <c r="Z376" s="30"/>
      <c r="AA376" s="30"/>
      <c r="AB376" s="30"/>
      <c r="AC376" s="30"/>
      <c r="AD376" s="30"/>
      <c r="AE376" s="54"/>
      <c r="AF376" s="54"/>
      <c r="AG376" s="67">
        <v>3</v>
      </c>
      <c r="AH376" s="115"/>
    </row>
    <row r="377" spans="1:34" s="2" customFormat="1" ht="45" customHeight="1">
      <c r="A377" s="293">
        <f t="shared" si="12"/>
        <v>370</v>
      </c>
      <c r="B377" s="5" t="s">
        <v>327</v>
      </c>
      <c r="C377" s="296" t="s">
        <v>1635</v>
      </c>
      <c r="D377" s="56">
        <f>IF(F377="","",SUBTOTAL(3,$F$6:F377))</f>
        <v>371</v>
      </c>
      <c r="E377" s="34" t="s">
        <v>39</v>
      </c>
      <c r="F377" s="107" t="s">
        <v>1744</v>
      </c>
      <c r="G377" s="40" t="s">
        <v>677</v>
      </c>
      <c r="H377" s="83">
        <f>IF($G377&lt;&gt;"",VLOOKUP($G377,'WPS '!C$5:M$209,3,FALSE),"")</f>
        <v>52</v>
      </c>
      <c r="I377" s="22" t="s">
        <v>920</v>
      </c>
      <c r="J377" s="22" t="s">
        <v>918</v>
      </c>
      <c r="K377" s="69" t="s">
        <v>883</v>
      </c>
      <c r="L377" s="22" t="str">
        <f>IF($G377&lt;&gt;"",VLOOKUP($G377,'WPS '!C$5:M$209,8,FALSE),"")</f>
        <v>ER316L</v>
      </c>
      <c r="M377" s="76" t="s">
        <v>939</v>
      </c>
      <c r="N377" s="21">
        <v>45814</v>
      </c>
      <c r="O377" s="21">
        <v>45823</v>
      </c>
      <c r="P377" s="21">
        <f t="shared" si="13"/>
        <v>46188</v>
      </c>
      <c r="Q377" s="164" t="s">
        <v>1811</v>
      </c>
      <c r="R377" s="147" t="str">
        <f>IF($G377&lt;&gt;"",VLOOKUP($G377,'WPS '!$C$5:$M$209,2,FALSE),"")</f>
        <v>OSR-WPS-ISO-PA-022</v>
      </c>
      <c r="S377" s="30"/>
      <c r="T377" s="30"/>
      <c r="U377" s="30"/>
      <c r="V377" s="30"/>
      <c r="W377" s="30"/>
      <c r="X377" s="30"/>
      <c r="Y377" s="30" t="s">
        <v>95</v>
      </c>
      <c r="Z377" s="30"/>
      <c r="AA377" s="30"/>
      <c r="AB377" s="30"/>
      <c r="AC377" s="30"/>
      <c r="AD377" s="30"/>
      <c r="AE377" s="54"/>
      <c r="AF377" s="54"/>
      <c r="AG377" s="66">
        <v>2</v>
      </c>
      <c r="AH377" s="115"/>
    </row>
    <row r="378" spans="1:34" s="2" customFormat="1" ht="45" customHeight="1">
      <c r="A378" s="293">
        <f t="shared" si="12"/>
        <v>371</v>
      </c>
      <c r="B378" s="5" t="s">
        <v>327</v>
      </c>
      <c r="C378" s="296" t="s">
        <v>1635</v>
      </c>
      <c r="D378" s="56">
        <f>IF(F378="","",SUBTOTAL(3,$F$6:F378))</f>
        <v>372</v>
      </c>
      <c r="E378" s="34" t="s">
        <v>39</v>
      </c>
      <c r="F378" s="107" t="s">
        <v>1744</v>
      </c>
      <c r="G378" s="40" t="s">
        <v>691</v>
      </c>
      <c r="H378" s="83" t="str">
        <f>IF($G378&lt;&gt;"",VLOOKUP($G378,'WPS '!C$5:M$209,3,FALSE),"")</f>
        <v>141+136</v>
      </c>
      <c r="I378" s="22" t="s">
        <v>1255</v>
      </c>
      <c r="J378" s="22" t="s">
        <v>251</v>
      </c>
      <c r="K378" s="69" t="s">
        <v>1254</v>
      </c>
      <c r="L378" s="22" t="str">
        <f>IF($G378&lt;&gt;"",VLOOKUP($G378,'WPS '!C$5:M$209,8,FALSE),"")</f>
        <v>ER70S-G
E71T1-C1</v>
      </c>
      <c r="M378" s="76" t="s">
        <v>1264</v>
      </c>
      <c r="N378" s="21">
        <v>45637</v>
      </c>
      <c r="O378" s="21">
        <v>45644</v>
      </c>
      <c r="P378" s="21">
        <f t="shared" si="13"/>
        <v>46009</v>
      </c>
      <c r="Q378" s="164" t="s">
        <v>1811</v>
      </c>
      <c r="R378" s="147" t="str">
        <f>IF($G378&lt;&gt;"",VLOOKUP($G378,'WPS '!$C$5:$M$209,2,FALSE),"")</f>
        <v>OSR-WPS-ISO-PA-036</v>
      </c>
      <c r="S378" s="30"/>
      <c r="T378" s="30"/>
      <c r="U378" s="30"/>
      <c r="V378" s="30"/>
      <c r="W378" s="30"/>
      <c r="X378" s="30" t="s">
        <v>95</v>
      </c>
      <c r="Y378" s="30" t="s">
        <v>95</v>
      </c>
      <c r="Z378" s="30" t="s">
        <v>95</v>
      </c>
      <c r="AA378" s="30"/>
      <c r="AB378" s="30"/>
      <c r="AC378" s="30"/>
      <c r="AD378" s="30"/>
      <c r="AE378" s="54"/>
      <c r="AF378" s="54"/>
      <c r="AG378" s="67">
        <v>2</v>
      </c>
      <c r="AH378" s="115"/>
    </row>
    <row r="379" spans="1:34" s="2" customFormat="1" ht="45" customHeight="1">
      <c r="A379" s="293">
        <f t="shared" si="12"/>
        <v>372</v>
      </c>
      <c r="B379" s="5" t="s">
        <v>327</v>
      </c>
      <c r="C379" s="296" t="s">
        <v>1635</v>
      </c>
      <c r="D379" s="56">
        <f>IF(F379="","",SUBTOTAL(3,$F$6:F379))</f>
        <v>373</v>
      </c>
      <c r="E379" s="34" t="s">
        <v>39</v>
      </c>
      <c r="F379" s="107" t="s">
        <v>1744</v>
      </c>
      <c r="G379" s="40" t="s">
        <v>715</v>
      </c>
      <c r="H379" s="83" t="str">
        <f>IF($G379&lt;&gt;"",VLOOKUP($G379,'WPS '!C$5:M$209,3,FALSE),"")</f>
        <v>52</v>
      </c>
      <c r="I379" s="22" t="s">
        <v>438</v>
      </c>
      <c r="J379" s="22" t="s">
        <v>918</v>
      </c>
      <c r="K379" s="69" t="s">
        <v>883</v>
      </c>
      <c r="L379" s="22" t="str">
        <f>IF($G379&lt;&gt;"",VLOOKUP($G379,'WPS '!C$5:M$209,8,FALSE),"")</f>
        <v>ER5356</v>
      </c>
      <c r="M379" s="76" t="s">
        <v>921</v>
      </c>
      <c r="N379" s="21">
        <v>45808</v>
      </c>
      <c r="O379" s="21">
        <v>45814</v>
      </c>
      <c r="P379" s="21">
        <f t="shared" si="13"/>
        <v>46179</v>
      </c>
      <c r="Q379" s="164" t="s">
        <v>1810</v>
      </c>
      <c r="R379" s="147" t="str">
        <f>IF($G379&lt;&gt;"",VLOOKUP($G379,'WPS '!$C$5:$M$209,2,FALSE),"")</f>
        <v>OSR-WPS-ISO-PA-060</v>
      </c>
      <c r="S379" s="30"/>
      <c r="T379" s="30"/>
      <c r="U379" s="30"/>
      <c r="V379" s="30"/>
      <c r="W379" s="30"/>
      <c r="X379" s="30"/>
      <c r="Y379" s="30" t="s">
        <v>356</v>
      </c>
      <c r="Z379" s="30"/>
      <c r="AA379" s="30"/>
      <c r="AB379" s="30"/>
      <c r="AC379" s="30"/>
      <c r="AD379" s="30"/>
      <c r="AE379" s="54"/>
      <c r="AF379" s="54"/>
      <c r="AG379" s="66">
        <v>2</v>
      </c>
      <c r="AH379" s="115"/>
    </row>
    <row r="380" spans="1:34" s="2" customFormat="1" ht="45" customHeight="1">
      <c r="A380" s="293">
        <f t="shared" si="12"/>
        <v>373</v>
      </c>
      <c r="B380" s="28" t="s">
        <v>327</v>
      </c>
      <c r="C380" s="295" t="s">
        <v>1635</v>
      </c>
      <c r="D380" s="56">
        <f>IF(F380="","",SUBTOTAL(3,$F$6:F380))</f>
        <v>374</v>
      </c>
      <c r="E380" s="34" t="s">
        <v>39</v>
      </c>
      <c r="F380" s="108" t="s">
        <v>1744</v>
      </c>
      <c r="G380" s="39" t="s">
        <v>721</v>
      </c>
      <c r="H380" s="83" t="str">
        <f>IF($G380&lt;&gt;"",VLOOKUP($G380,'WPS '!C$5:M$209,3,FALSE),"")</f>
        <v>FCAW</v>
      </c>
      <c r="I380" s="22" t="s">
        <v>848</v>
      </c>
      <c r="J380" s="22" t="s">
        <v>104</v>
      </c>
      <c r="K380" s="69" t="s">
        <v>105</v>
      </c>
      <c r="L380" s="22" t="str">
        <f>IF($G380&lt;&gt;"",VLOOKUP($G380,'WPS '!C$5:M$209,8,FALSE),"")</f>
        <v>E316LT1-1/4</v>
      </c>
      <c r="M380" s="76" t="s">
        <v>313</v>
      </c>
      <c r="N380" s="21">
        <v>45586</v>
      </c>
      <c r="O380" s="21">
        <v>45590</v>
      </c>
      <c r="P380" s="21">
        <f t="shared" si="13"/>
        <v>46137</v>
      </c>
      <c r="Q380" s="164" t="str">
        <f>IF($G380&lt;&gt;"",VLOOKUP($G380,'WPS '!C$5:M$209,11,FALSE),"")</f>
        <v>ASME IX</v>
      </c>
      <c r="R380" s="147" t="str">
        <f>IF($G380&lt;&gt;"",VLOOKUP($G380,'WPS '!$C$5:$M$209,2,FALSE),"")</f>
        <v>OSR-WPS-ASME-FC-004</v>
      </c>
      <c r="S380" s="30"/>
      <c r="T380" s="30"/>
      <c r="U380" s="30"/>
      <c r="V380" s="30"/>
      <c r="W380" s="62"/>
      <c r="X380" s="30"/>
      <c r="Y380" s="32"/>
      <c r="Z380" s="32"/>
      <c r="AA380" s="32"/>
      <c r="AB380" s="62"/>
      <c r="AC380" s="62"/>
      <c r="AD380" s="62"/>
      <c r="AE380" s="146"/>
      <c r="AF380" s="146"/>
      <c r="AG380" s="67">
        <v>3</v>
      </c>
      <c r="AH380" s="18"/>
    </row>
    <row r="381" spans="1:34" s="2" customFormat="1" ht="45" customHeight="1">
      <c r="A381" s="293">
        <f t="shared" si="12"/>
        <v>374</v>
      </c>
      <c r="B381" s="28" t="s">
        <v>327</v>
      </c>
      <c r="C381" s="295" t="s">
        <v>1635</v>
      </c>
      <c r="D381" s="56">
        <f>IF(F381="","",SUBTOTAL(3,$F$6:F381))</f>
        <v>375</v>
      </c>
      <c r="E381" s="34" t="s">
        <v>39</v>
      </c>
      <c r="F381" s="107" t="s">
        <v>1744</v>
      </c>
      <c r="G381" s="39" t="s">
        <v>729</v>
      </c>
      <c r="H381" s="83" t="str">
        <f>IF($G381&lt;&gt;"",VLOOKUP($G381,'WPS '!C$5:M$209,3,FALSE),"")</f>
        <v>GTAW
FCAW</v>
      </c>
      <c r="I381" s="22" t="s">
        <v>847</v>
      </c>
      <c r="J381" s="22" t="s">
        <v>1472</v>
      </c>
      <c r="K381" s="69" t="s">
        <v>239</v>
      </c>
      <c r="L381" s="22" t="str">
        <f>IF($G381&lt;&gt;"",VLOOKUP($G381,'WPS '!C$5:M$209,8,FALSE),"")</f>
        <v>ER70S-3
E71T-1C</v>
      </c>
      <c r="M381" s="76" t="s">
        <v>314</v>
      </c>
      <c r="N381" s="21">
        <v>45851</v>
      </c>
      <c r="O381" s="21">
        <v>45852</v>
      </c>
      <c r="P381" s="21">
        <f t="shared" si="13"/>
        <v>46217</v>
      </c>
      <c r="Q381" s="164" t="str">
        <f>IF($G381&lt;&gt;"",VLOOKUP($G381,'WPS '!C$5:M$209,11,FALSE),"")</f>
        <v>ASME IX</v>
      </c>
      <c r="R381" s="147" t="str">
        <f>IF($G381&lt;&gt;"",VLOOKUP($G381,'WPS '!$C$5:$M$209,2,FALSE),"")</f>
        <v>OSR-WPS-ASME-GT/FC-012</v>
      </c>
      <c r="S381" s="30" t="s">
        <v>356</v>
      </c>
      <c r="T381" s="30"/>
      <c r="U381" s="30"/>
      <c r="V381" s="30"/>
      <c r="W381" s="62"/>
      <c r="X381" s="30"/>
      <c r="Y381" s="32"/>
      <c r="Z381" s="32"/>
      <c r="AA381" s="32"/>
      <c r="AB381" s="62"/>
      <c r="AC381" s="62"/>
      <c r="AD381" s="62"/>
      <c r="AE381" s="146"/>
      <c r="AF381" s="146"/>
      <c r="AG381" s="67">
        <v>2</v>
      </c>
      <c r="AH381" s="18"/>
    </row>
    <row r="382" spans="1:34" s="2" customFormat="1" ht="45" customHeight="1">
      <c r="A382" s="293">
        <f t="shared" si="12"/>
        <v>375</v>
      </c>
      <c r="B382" s="28" t="s">
        <v>327</v>
      </c>
      <c r="C382" s="295" t="s">
        <v>1635</v>
      </c>
      <c r="D382" s="56">
        <f>IF(F382="","",SUBTOTAL(3,$F$6:F382))</f>
        <v>376</v>
      </c>
      <c r="E382" s="34" t="s">
        <v>39</v>
      </c>
      <c r="F382" s="107" t="s">
        <v>1744</v>
      </c>
      <c r="G382" s="39" t="s">
        <v>1541</v>
      </c>
      <c r="H382" s="83" t="str">
        <f>IF($G382&lt;&gt;"",VLOOKUP($G382,'WPS '!C$5:M$209,3,FALSE),"")</f>
        <v>GTAW</v>
      </c>
      <c r="I382" s="22" t="s">
        <v>1549</v>
      </c>
      <c r="J382" s="22" t="s">
        <v>1472</v>
      </c>
      <c r="K382" s="69" t="s">
        <v>1550</v>
      </c>
      <c r="L382" s="22" t="str">
        <f>IF($G382&lt;&gt;"",VLOOKUP($G382,'WPS '!C$5:M$209,8,FALSE),"")</f>
        <v>ER308L</v>
      </c>
      <c r="M382" s="76" t="s">
        <v>1553</v>
      </c>
      <c r="N382" s="21">
        <v>45924</v>
      </c>
      <c r="O382" s="21">
        <v>45931</v>
      </c>
      <c r="P382" s="21">
        <f t="shared" si="13"/>
        <v>46296</v>
      </c>
      <c r="Q382" s="164" t="str">
        <f>IF($G382&lt;&gt;"",VLOOKUP($G382,'WPS '!C$5:M$209,11,FALSE),"")</f>
        <v>ASME IX</v>
      </c>
      <c r="R382" s="147" t="str">
        <f>IF($G382&lt;&gt;"",VLOOKUP($G382,'WPS '!$C$5:$M$209,2,FALSE),"")</f>
        <v>OSR-WPS-ASME-GT-014</v>
      </c>
      <c r="S382" s="30" t="s">
        <v>356</v>
      </c>
      <c r="T382" s="30"/>
      <c r="U382" s="30"/>
      <c r="V382" s="30"/>
      <c r="W382" s="62"/>
      <c r="X382" s="30"/>
      <c r="Y382" s="32"/>
      <c r="Z382" s="32"/>
      <c r="AA382" s="32"/>
      <c r="AB382" s="62"/>
      <c r="AC382" s="62" t="s">
        <v>364</v>
      </c>
      <c r="AD382" s="62" t="s">
        <v>364</v>
      </c>
      <c r="AE382" s="146"/>
      <c r="AF382" s="146"/>
      <c r="AG382" s="67">
        <v>2</v>
      </c>
      <c r="AH382" s="18"/>
    </row>
    <row r="383" spans="1:34" s="2" customFormat="1" ht="45" customHeight="1">
      <c r="A383" s="293">
        <f t="shared" si="12"/>
        <v>376</v>
      </c>
      <c r="B383" s="28" t="s">
        <v>327</v>
      </c>
      <c r="C383" s="296" t="s">
        <v>1635</v>
      </c>
      <c r="D383" s="56">
        <f>IF(F383="","",SUBTOTAL(3,$F$6:F383))</f>
        <v>377</v>
      </c>
      <c r="E383" s="34" t="s">
        <v>39</v>
      </c>
      <c r="F383" s="107" t="s">
        <v>1744</v>
      </c>
      <c r="G383" s="39" t="s">
        <v>784</v>
      </c>
      <c r="H383" s="83" t="str">
        <f>IF($G383&lt;&gt;"",VLOOKUP($G383,'WPS '!C$5:M$209,3,FALSE),"")</f>
        <v>FCAW</v>
      </c>
      <c r="I383" s="22" t="s">
        <v>1498</v>
      </c>
      <c r="J383" s="77" t="s">
        <v>107</v>
      </c>
      <c r="K383" s="69" t="s">
        <v>1481</v>
      </c>
      <c r="L383" s="22" t="str">
        <f>IF($G383&lt;&gt;"",VLOOKUP($G383,'WPS '!C$5:M$209,8,FALSE),"")</f>
        <v>E309T1-1-4</v>
      </c>
      <c r="M383" s="76" t="s">
        <v>1012</v>
      </c>
      <c r="N383" s="21">
        <v>45219</v>
      </c>
      <c r="O383" s="21">
        <v>45221</v>
      </c>
      <c r="P383" s="21">
        <f t="shared" si="13"/>
        <v>46134</v>
      </c>
      <c r="Q383" s="164" t="str">
        <f>IF($G383&lt;&gt;"",VLOOKUP($G383,'WPS '!C$5:M$209,11,FALSE),"")</f>
        <v>AWS D1.6</v>
      </c>
      <c r="R383" s="147" t="str">
        <f>IF($G383&lt;&gt;"",VLOOKUP($G383,'WPS '!$C$5:$M$209,2,FALSE),"")</f>
        <v>OSR-WPS-D1.6-FC-056</v>
      </c>
      <c r="S383" s="30"/>
      <c r="T383" s="30"/>
      <c r="U383" s="30"/>
      <c r="V383" s="31"/>
      <c r="W383" s="31"/>
      <c r="X383" s="31"/>
      <c r="Y383" s="31"/>
      <c r="Z383" s="31"/>
      <c r="AA383" s="31"/>
      <c r="AB383" s="31"/>
      <c r="AC383" s="62"/>
      <c r="AD383" s="62"/>
      <c r="AE383" s="146"/>
      <c r="AF383" s="146"/>
      <c r="AG383" s="153">
        <v>5</v>
      </c>
    </row>
    <row r="384" spans="1:34" s="2" customFormat="1" ht="45" customHeight="1">
      <c r="A384" s="293">
        <f t="shared" si="12"/>
        <v>377</v>
      </c>
      <c r="B384" s="28" t="s">
        <v>327</v>
      </c>
      <c r="C384" s="296" t="s">
        <v>1635</v>
      </c>
      <c r="D384" s="56">
        <f>IF(F384="","",SUBTOTAL(3,$F$6:F384))</f>
        <v>378</v>
      </c>
      <c r="E384" s="34" t="s">
        <v>39</v>
      </c>
      <c r="F384" s="107" t="s">
        <v>1744</v>
      </c>
      <c r="G384" s="39" t="s">
        <v>794</v>
      </c>
      <c r="H384" s="83" t="str">
        <f>IF($G384&lt;&gt;"",VLOOKUP($G384,'WPS '!C$5:M$209,3,FALSE),"")</f>
        <v>FCAW</v>
      </c>
      <c r="I384" s="22" t="s">
        <v>1383</v>
      </c>
      <c r="J384" s="77" t="s">
        <v>1390</v>
      </c>
      <c r="K384" s="69" t="s">
        <v>1480</v>
      </c>
      <c r="L384" s="22" t="str">
        <f>IF($G384&lt;&gt;"",VLOOKUP($G384,'WPS '!C$5:M$209,8,FALSE),"")</f>
        <v>E71T-1C</v>
      </c>
      <c r="M384" s="76" t="s">
        <v>1030</v>
      </c>
      <c r="N384" s="21">
        <v>44958</v>
      </c>
      <c r="O384" s="21">
        <v>44961</v>
      </c>
      <c r="P384" s="21">
        <f t="shared" si="13"/>
        <v>46057</v>
      </c>
      <c r="Q384" s="164" t="str">
        <f>IF($G384&lt;&gt;"",VLOOKUP($G384,'WPS '!C$5:M$209,11,FALSE),"")</f>
        <v>AWS D1.1</v>
      </c>
      <c r="R384" s="147" t="str">
        <f>IF($G384&lt;&gt;"",VLOOKUP($G384,'WPS '!$C$5:$M$209,2,FALSE),"")</f>
        <v>OSR-WPS-D1.1-FC-066</v>
      </c>
      <c r="S384" s="30"/>
      <c r="T384" s="30"/>
      <c r="U384" s="30"/>
      <c r="V384" s="31"/>
      <c r="W384" s="31"/>
      <c r="X384" s="31"/>
      <c r="Y384" s="31"/>
      <c r="Z384" s="31"/>
      <c r="AA384" s="31"/>
      <c r="AB384" s="31"/>
      <c r="AC384" s="62"/>
      <c r="AD384" s="62"/>
      <c r="AE384" s="146"/>
      <c r="AF384" s="146"/>
      <c r="AG384" s="153">
        <v>6</v>
      </c>
    </row>
    <row r="385" spans="1:34" s="2" customFormat="1" ht="45" customHeight="1">
      <c r="A385" s="293">
        <f t="shared" si="12"/>
        <v>378</v>
      </c>
      <c r="B385" s="28" t="s">
        <v>327</v>
      </c>
      <c r="C385" s="296" t="s">
        <v>1635</v>
      </c>
      <c r="D385" s="56">
        <f>IF(F385="","",SUBTOTAL(3,$F$6:F385))</f>
        <v>379</v>
      </c>
      <c r="E385" s="34" t="s">
        <v>39</v>
      </c>
      <c r="F385" s="107" t="s">
        <v>1744</v>
      </c>
      <c r="G385" s="39" t="s">
        <v>812</v>
      </c>
      <c r="H385" s="83" t="str">
        <f>IF($G385&lt;&gt;"",VLOOKUP($G385,'WPS '!C$5:M$209,3,FALSE),"")</f>
        <v>FCAW</v>
      </c>
      <c r="I385" s="22" t="s">
        <v>1384</v>
      </c>
      <c r="J385" s="77" t="s">
        <v>1390</v>
      </c>
      <c r="K385" s="69" t="s">
        <v>1491</v>
      </c>
      <c r="L385" s="22" t="str">
        <f>IF($G385&lt;&gt;"",VLOOKUP($G385,'WPS '!C$5:M$209,8,FALSE),"")</f>
        <v>E71T-1C</v>
      </c>
      <c r="M385" s="76" t="s">
        <v>1005</v>
      </c>
      <c r="N385" s="21">
        <v>45551</v>
      </c>
      <c r="O385" s="21">
        <v>45553</v>
      </c>
      <c r="P385" s="21">
        <f t="shared" si="13"/>
        <v>46099</v>
      </c>
      <c r="Q385" s="164" t="str">
        <f>IF($G385&lt;&gt;"",VLOOKUP($G385,'WPS '!C$5:M$209,11,FALSE),"")</f>
        <v>AWS D1.1</v>
      </c>
      <c r="R385" s="147" t="str">
        <f>IF($G385&lt;&gt;"",VLOOKUP($G385,'WPS '!$C$5:$M$209,2,FALSE),"")</f>
        <v>OSR-WPS-D1.1-FC-084</v>
      </c>
      <c r="S385" s="30"/>
      <c r="T385" s="30"/>
      <c r="U385" s="30" t="s">
        <v>356</v>
      </c>
      <c r="V385" s="32" t="s">
        <v>356</v>
      </c>
      <c r="W385" s="32"/>
      <c r="X385" s="32"/>
      <c r="Y385" s="32"/>
      <c r="Z385" s="32"/>
      <c r="AA385" s="32"/>
      <c r="AB385" s="32"/>
      <c r="AC385" s="62" t="s">
        <v>356</v>
      </c>
      <c r="AD385" s="62" t="s">
        <v>356</v>
      </c>
      <c r="AE385" s="146"/>
      <c r="AF385" s="146" t="s">
        <v>356</v>
      </c>
      <c r="AG385" s="153">
        <v>3</v>
      </c>
    </row>
    <row r="386" spans="1:34" s="2" customFormat="1" ht="45" customHeight="1">
      <c r="A386" s="293">
        <f t="shared" si="12"/>
        <v>379</v>
      </c>
      <c r="B386" s="28" t="s">
        <v>327</v>
      </c>
      <c r="C386" s="296" t="s">
        <v>1635</v>
      </c>
      <c r="D386" s="56">
        <f>IF(F386="","",SUBTOTAL(3,$F$6:F386))</f>
        <v>380</v>
      </c>
      <c r="E386" s="34" t="s">
        <v>39</v>
      </c>
      <c r="F386" s="107" t="s">
        <v>1744</v>
      </c>
      <c r="G386" s="39" t="s">
        <v>814</v>
      </c>
      <c r="H386" s="83" t="str">
        <f>IF($G386&lt;&gt;"",VLOOKUP($G386,'WPS '!C$5:M$209,3,FALSE),"")</f>
        <v>FCAW</v>
      </c>
      <c r="I386" s="22" t="s">
        <v>1385</v>
      </c>
      <c r="J386" s="77" t="s">
        <v>1215</v>
      </c>
      <c r="K386" s="69" t="s">
        <v>1487</v>
      </c>
      <c r="L386" s="22" t="str">
        <f>IF($G386&lt;&gt;"",VLOOKUP($G386,'WPS '!C$5:M$209,8,FALSE),"")</f>
        <v>E71T-1C</v>
      </c>
      <c r="M386" s="76" t="s">
        <v>1009</v>
      </c>
      <c r="N386" s="21">
        <v>45553</v>
      </c>
      <c r="O386" s="21">
        <v>45555</v>
      </c>
      <c r="P386" s="21">
        <f t="shared" si="13"/>
        <v>46101</v>
      </c>
      <c r="Q386" s="164" t="str">
        <f>IF($G386&lt;&gt;"",VLOOKUP($G386,'WPS '!C$5:M$209,11,FALSE),"")</f>
        <v>AWS D1.1</v>
      </c>
      <c r="R386" s="147" t="str">
        <f>IF($G386&lt;&gt;"",VLOOKUP($G386,'WPS '!$C$5:$M$209,2,FALSE),"")</f>
        <v>OSR-WPS-D1.1-FC-086</v>
      </c>
      <c r="S386" s="30"/>
      <c r="T386" s="30"/>
      <c r="U386" s="30" t="s">
        <v>356</v>
      </c>
      <c r="V386" s="32" t="s">
        <v>356</v>
      </c>
      <c r="W386" s="32"/>
      <c r="X386" s="32"/>
      <c r="Y386" s="32"/>
      <c r="Z386" s="32"/>
      <c r="AA386" s="32"/>
      <c r="AB386" s="32"/>
      <c r="AC386" s="62" t="s">
        <v>356</v>
      </c>
      <c r="AD386" s="62" t="s">
        <v>356</v>
      </c>
      <c r="AE386" s="146"/>
      <c r="AF386" s="146"/>
      <c r="AG386" s="153">
        <v>3</v>
      </c>
    </row>
    <row r="387" spans="1:34" s="2" customFormat="1" ht="45" customHeight="1">
      <c r="A387" s="293">
        <f t="shared" si="12"/>
        <v>380</v>
      </c>
      <c r="B387" s="28" t="s">
        <v>327</v>
      </c>
      <c r="C387" s="296" t="s">
        <v>1635</v>
      </c>
      <c r="D387" s="56">
        <f>IF(F387="","",SUBTOTAL(3,$F$6:F387))</f>
        <v>381</v>
      </c>
      <c r="E387" s="34" t="s">
        <v>39</v>
      </c>
      <c r="F387" s="107" t="s">
        <v>1744</v>
      </c>
      <c r="G387" s="39" t="s">
        <v>819</v>
      </c>
      <c r="H387" s="83" t="str">
        <f>IF($G387&lt;&gt;"",VLOOKUP($G387,'WPS '!C$5:M$209,3,FALSE),"")</f>
        <v>LBW</v>
      </c>
      <c r="I387" s="22" t="s">
        <v>1577</v>
      </c>
      <c r="J387" s="77" t="s">
        <v>1578</v>
      </c>
      <c r="K387" s="69" t="s">
        <v>364</v>
      </c>
      <c r="L387" s="22" t="str">
        <f>IF($G387&lt;&gt;"",VLOOKUP($G387,'WPS '!C$5:M$209,8,FALSE),"")</f>
        <v>ER316L</v>
      </c>
      <c r="M387" s="76" t="s">
        <v>39</v>
      </c>
      <c r="N387" s="21">
        <v>45479</v>
      </c>
      <c r="O387" s="21">
        <v>45493</v>
      </c>
      <c r="P387" s="21">
        <f t="shared" si="13"/>
        <v>46042</v>
      </c>
      <c r="Q387" s="164" t="str">
        <f>IF($G387&lt;&gt;"",VLOOKUP($G387,'WPS '!C$5:M$209,11,FALSE),"")</f>
        <v>AWS C7.4</v>
      </c>
      <c r="R387" s="147" t="str">
        <f>IF($G387&lt;&gt;"",VLOOKUP($G387,'WPS '!$C$5:$M$209,2,FALSE),"")</f>
        <v>OSR-WPS-C7.4-LBW-091</v>
      </c>
      <c r="S387" s="30"/>
      <c r="T387" s="30"/>
      <c r="U387" s="30"/>
      <c r="V387" s="32"/>
      <c r="W387" s="32"/>
      <c r="X387" s="32"/>
      <c r="Y387" s="32"/>
      <c r="Z387" s="32"/>
      <c r="AA387" s="32"/>
      <c r="AB387" s="32"/>
      <c r="AC387" s="62" t="s">
        <v>356</v>
      </c>
      <c r="AD387" s="62" t="s">
        <v>356</v>
      </c>
      <c r="AE387" s="146"/>
      <c r="AF387" s="146"/>
      <c r="AG387" s="153">
        <v>3</v>
      </c>
    </row>
    <row r="388" spans="1:34" ht="45" customHeight="1">
      <c r="A388" s="293">
        <f t="shared" si="12"/>
        <v>381</v>
      </c>
      <c r="B388" s="28" t="s">
        <v>327</v>
      </c>
      <c r="C388" s="296" t="s">
        <v>1635</v>
      </c>
      <c r="D388" s="56">
        <f>IF(F388="","",SUBTOTAL(3,$F$6:F388))</f>
        <v>382</v>
      </c>
      <c r="E388" s="34" t="s">
        <v>39</v>
      </c>
      <c r="F388" s="107" t="s">
        <v>1744</v>
      </c>
      <c r="G388" s="39" t="s">
        <v>820</v>
      </c>
      <c r="H388" s="83" t="str">
        <f>IF($G388&lt;&gt;"",VLOOKUP($G388,'WPS '!C$5:M$209,3,FALSE),"")</f>
        <v>FCAW</v>
      </c>
      <c r="I388" s="22" t="s">
        <v>1383</v>
      </c>
      <c r="J388" s="77" t="s">
        <v>1390</v>
      </c>
      <c r="K388" s="69" t="s">
        <v>1480</v>
      </c>
      <c r="L388" s="22" t="str">
        <f>IF($G388&lt;&gt;"",VLOOKUP($G388,'WPS '!C$5:M$209,8,FALSE),"")</f>
        <v>E71T-1C</v>
      </c>
      <c r="M388" s="76" t="s">
        <v>1394</v>
      </c>
      <c r="N388" s="21">
        <v>45677</v>
      </c>
      <c r="O388" s="21">
        <v>45682</v>
      </c>
      <c r="P388" s="21">
        <f t="shared" si="13"/>
        <v>46047</v>
      </c>
      <c r="Q388" s="164" t="str">
        <f>IF($G388&lt;&gt;"",VLOOKUP($G388,'WPS '!C$5:M$209,11,FALSE),"")</f>
        <v>AWS D1.1</v>
      </c>
      <c r="R388" s="147" t="str">
        <f>IF($G388&lt;&gt;"",VLOOKUP($G388,'WPS '!$C$5:$M$209,2,FALSE),"")</f>
        <v>OSR-WPS-D1.1-FC-092</v>
      </c>
      <c r="S388" s="30"/>
      <c r="T388" s="30"/>
      <c r="U388" s="30"/>
      <c r="V388" s="32"/>
      <c r="W388" s="32"/>
      <c r="X388" s="32"/>
      <c r="Y388" s="32"/>
      <c r="Z388" s="32"/>
      <c r="AA388" s="32"/>
      <c r="AB388" s="32"/>
      <c r="AC388" s="62" t="s">
        <v>356</v>
      </c>
      <c r="AD388" s="62" t="s">
        <v>356</v>
      </c>
      <c r="AE388" s="146"/>
      <c r="AF388" s="146" t="s">
        <v>356</v>
      </c>
      <c r="AG388" s="153">
        <v>2</v>
      </c>
    </row>
    <row r="389" spans="1:34" ht="45" customHeight="1">
      <c r="A389" s="293">
        <f t="shared" si="12"/>
        <v>382</v>
      </c>
      <c r="B389" s="28" t="s">
        <v>327</v>
      </c>
      <c r="C389" s="296" t="s">
        <v>1635</v>
      </c>
      <c r="D389" s="56">
        <f>IF(F389="","",SUBTOTAL(3,$F$6:F389))</f>
        <v>383</v>
      </c>
      <c r="E389" s="34" t="s">
        <v>39</v>
      </c>
      <c r="F389" s="107" t="s">
        <v>1744</v>
      </c>
      <c r="G389" s="39" t="s">
        <v>1187</v>
      </c>
      <c r="H389" s="83" t="str">
        <f>IF($G389&lt;&gt;"",VLOOKUP($G389,'WPS '!C$5:M$209,3,FALSE),"")</f>
        <v>GTAW
FCAW</v>
      </c>
      <c r="I389" s="22" t="s">
        <v>1193</v>
      </c>
      <c r="J389" s="77" t="s">
        <v>1216</v>
      </c>
      <c r="K389" s="69" t="s">
        <v>1401</v>
      </c>
      <c r="L389" s="22" t="str">
        <f>IF($G389&lt;&gt;"",VLOOKUP($G389,'WPS '!C$5:M$209,8,FALSE),"")</f>
        <v>ER 308L
E308LT1-1/-4</v>
      </c>
      <c r="M389" s="76" t="s">
        <v>1512</v>
      </c>
      <c r="N389" s="21">
        <v>45898</v>
      </c>
      <c r="O389" s="21">
        <v>45906</v>
      </c>
      <c r="P389" s="21">
        <f t="shared" si="13"/>
        <v>46271</v>
      </c>
      <c r="Q389" s="164" t="str">
        <f>IF($G389&lt;&gt;"",VLOOKUP($G389,'WPS '!C$5:M$209,11,FALSE),"")</f>
        <v>AWS D1.6</v>
      </c>
      <c r="R389" s="147" t="str">
        <f>IF($G389&lt;&gt;"",VLOOKUP($G389,'WPS '!$C$5:$M$209,2,FALSE),"")</f>
        <v>OSR-WPS-D1.6-GT+FC-104</v>
      </c>
      <c r="S389" s="30"/>
      <c r="T389" s="30"/>
      <c r="U389" s="30"/>
      <c r="V389" s="32"/>
      <c r="W389" s="32"/>
      <c r="X389" s="32"/>
      <c r="Y389" s="32"/>
      <c r="Z389" s="32"/>
      <c r="AA389" s="32"/>
      <c r="AB389" s="32"/>
      <c r="AC389" s="62" t="s">
        <v>356</v>
      </c>
      <c r="AD389" s="62" t="s">
        <v>356</v>
      </c>
      <c r="AE389" s="146"/>
      <c r="AF389" s="146" t="s">
        <v>356</v>
      </c>
      <c r="AG389" s="153">
        <v>2</v>
      </c>
    </row>
    <row r="390" spans="1:34" ht="45" customHeight="1">
      <c r="A390" s="293">
        <f t="shared" si="12"/>
        <v>383</v>
      </c>
      <c r="B390" s="28" t="s">
        <v>327</v>
      </c>
      <c r="C390" s="296" t="s">
        <v>1635</v>
      </c>
      <c r="D390" s="56">
        <f>IF(F390="","",SUBTOTAL(3,$F$6:F390))</f>
        <v>384</v>
      </c>
      <c r="E390" s="34" t="s">
        <v>39</v>
      </c>
      <c r="F390" s="107" t="s">
        <v>1744</v>
      </c>
      <c r="G390" s="40" t="s">
        <v>1517</v>
      </c>
      <c r="H390" s="83" t="str">
        <f>IF($G390&lt;&gt;"",VLOOKUP($G390,'WPS '!C$5:M$209,3,FALSE),"")</f>
        <v>GTAW
FCAW</v>
      </c>
      <c r="I390" s="22" t="s">
        <v>1383</v>
      </c>
      <c r="J390" s="77" t="s">
        <v>1390</v>
      </c>
      <c r="K390" s="69" t="s">
        <v>1607</v>
      </c>
      <c r="L390" s="22" t="str">
        <f>IF($G390&lt;&gt;"",VLOOKUP($G390,'WPS '!C$5:M$209,8,FALSE),"")</f>
        <v>E70S-G
E71T-1C</v>
      </c>
      <c r="M390" s="76" t="s">
        <v>1562</v>
      </c>
      <c r="N390" s="21">
        <v>45915</v>
      </c>
      <c r="O390" s="21">
        <v>45921</v>
      </c>
      <c r="P390" s="21">
        <f t="shared" si="13"/>
        <v>46286</v>
      </c>
      <c r="Q390" s="164" t="str">
        <f>IF($G390&lt;&gt;"",VLOOKUP($G390,'WPS '!C$5:M$209,11,FALSE),"")</f>
        <v>AWS D1.1</v>
      </c>
      <c r="R390" s="147" t="str">
        <f>IF($G390&lt;&gt;"",VLOOKUP($G390,'WPS '!$C$5:$M$209,2,FALSE),"")</f>
        <v>OSR-WPS-D1.1-GT+FC-109</v>
      </c>
      <c r="S390" s="30"/>
      <c r="T390" s="30"/>
      <c r="U390" s="30"/>
      <c r="V390" s="32"/>
      <c r="W390" s="32"/>
      <c r="X390" s="32"/>
      <c r="Y390" s="32"/>
      <c r="Z390" s="32"/>
      <c r="AA390" s="32"/>
      <c r="AB390" s="32"/>
      <c r="AC390" s="62" t="s">
        <v>356</v>
      </c>
      <c r="AD390" s="62" t="s">
        <v>356</v>
      </c>
      <c r="AE390" s="146"/>
      <c r="AF390" s="146" t="s">
        <v>356</v>
      </c>
      <c r="AG390" s="153">
        <v>2</v>
      </c>
    </row>
    <row r="391" spans="1:34" ht="45" customHeight="1">
      <c r="A391" s="293">
        <f t="shared" si="12"/>
        <v>384</v>
      </c>
      <c r="B391" s="5" t="s">
        <v>327</v>
      </c>
      <c r="C391" s="296" t="s">
        <v>1635</v>
      </c>
      <c r="D391" s="56">
        <f>IF(F391="","",SUBTOTAL(3,$F$6:F391))</f>
        <v>385</v>
      </c>
      <c r="E391" s="34" t="s">
        <v>41</v>
      </c>
      <c r="F391" s="107" t="s">
        <v>1792</v>
      </c>
      <c r="G391" s="40" t="s">
        <v>662</v>
      </c>
      <c r="H391" s="83">
        <f>IF($G391&lt;&gt;"",VLOOKUP($G391,'WPS '!C$5:M$209,3,FALSE),"")</f>
        <v>136</v>
      </c>
      <c r="I391" s="22" t="s">
        <v>1250</v>
      </c>
      <c r="J391" s="22" t="s">
        <v>1683</v>
      </c>
      <c r="K391" s="69" t="s">
        <v>884</v>
      </c>
      <c r="L391" s="22" t="str">
        <f>IF($G391&lt;&gt;"",VLOOKUP($G391,'WPS '!C$5:M$209,8,FALSE),"")</f>
        <v>E71T-1C</v>
      </c>
      <c r="M391" s="76" t="s">
        <v>42</v>
      </c>
      <c r="N391" s="21">
        <v>45026</v>
      </c>
      <c r="O391" s="21">
        <v>45028</v>
      </c>
      <c r="P391" s="21">
        <f t="shared" si="13"/>
        <v>46124</v>
      </c>
      <c r="Q391" s="164" t="s">
        <v>1811</v>
      </c>
      <c r="R391" s="147" t="str">
        <f>IF($G391&lt;&gt;"",VLOOKUP($G391,'WPS '!$C$5:$M$209,2,FALSE),"")</f>
        <v>OSR-WPS-ISO-PB-006</v>
      </c>
      <c r="S391" s="30"/>
      <c r="T391" s="30"/>
      <c r="U391" s="30"/>
      <c r="V391" s="30"/>
      <c r="W391" s="30" t="s">
        <v>356</v>
      </c>
      <c r="X391" s="30" t="s">
        <v>95</v>
      </c>
      <c r="Y391" s="30"/>
      <c r="Z391" s="30"/>
      <c r="AA391" s="30"/>
      <c r="AB391" s="30"/>
      <c r="AC391" s="30"/>
      <c r="AD391" s="30"/>
      <c r="AE391" s="54"/>
      <c r="AF391" s="54"/>
      <c r="AG391" s="66">
        <v>6</v>
      </c>
      <c r="AH391" s="115"/>
    </row>
    <row r="392" spans="1:34" ht="45" customHeight="1">
      <c r="A392" s="293">
        <f t="shared" ref="A392:A455" si="14">A391+1</f>
        <v>385</v>
      </c>
      <c r="B392" s="5" t="s">
        <v>327</v>
      </c>
      <c r="C392" s="296" t="s">
        <v>1635</v>
      </c>
      <c r="D392" s="56">
        <f>IF(F392="","",SUBTOTAL(3,$F$6:F392))</f>
        <v>386</v>
      </c>
      <c r="E392" s="34" t="s">
        <v>41</v>
      </c>
      <c r="F392" s="107" t="s">
        <v>1792</v>
      </c>
      <c r="G392" s="40" t="s">
        <v>678</v>
      </c>
      <c r="H392" s="83">
        <f>IF($G392&lt;&gt;"",VLOOKUP($G392,'WPS '!C$5:M$209,3,FALSE),"")</f>
        <v>136</v>
      </c>
      <c r="I392" s="22" t="s">
        <v>1250</v>
      </c>
      <c r="J392" s="22" t="s">
        <v>256</v>
      </c>
      <c r="K392" s="69" t="s">
        <v>884</v>
      </c>
      <c r="L392" s="22" t="str">
        <f>IF($G392&lt;&gt;"",VLOOKUP($G392,'WPS '!C$5:M$209,8,FALSE),"")</f>
        <v>E81T1-Ni1J-C</v>
      </c>
      <c r="M392" s="76" t="s">
        <v>71</v>
      </c>
      <c r="N392" s="21">
        <v>45482</v>
      </c>
      <c r="O392" s="21">
        <v>45486</v>
      </c>
      <c r="P392" s="21">
        <f t="shared" si="13"/>
        <v>46035</v>
      </c>
      <c r="Q392" s="164" t="s">
        <v>1811</v>
      </c>
      <c r="R392" s="147" t="str">
        <f>IF($G392&lt;&gt;"",VLOOKUP($G392,'WPS '!$C$5:$M$209,2,FALSE),"")</f>
        <v>OSR-WPS-ISO-PF-023</v>
      </c>
      <c r="S392" s="30"/>
      <c r="T392" s="30"/>
      <c r="U392" s="30"/>
      <c r="V392" s="30"/>
      <c r="W392" s="30"/>
      <c r="X392" s="30"/>
      <c r="Y392" s="30"/>
      <c r="Z392" s="30"/>
      <c r="AA392" s="30"/>
      <c r="AB392" s="30"/>
      <c r="AC392" s="30"/>
      <c r="AD392" s="30"/>
      <c r="AE392" s="54"/>
      <c r="AF392" s="54"/>
      <c r="AG392" s="67">
        <v>3</v>
      </c>
      <c r="AH392" s="115"/>
    </row>
    <row r="393" spans="1:34" ht="45" customHeight="1">
      <c r="A393" s="293">
        <f t="shared" si="14"/>
        <v>386</v>
      </c>
      <c r="B393" s="5" t="s">
        <v>327</v>
      </c>
      <c r="C393" s="296" t="s">
        <v>1635</v>
      </c>
      <c r="D393" s="56">
        <f>IF(F393="","",SUBTOTAL(3,$F$6:F393))</f>
        <v>387</v>
      </c>
      <c r="E393" s="34" t="s">
        <v>41</v>
      </c>
      <c r="F393" s="107" t="s">
        <v>1792</v>
      </c>
      <c r="G393" s="40" t="s">
        <v>681</v>
      </c>
      <c r="H393" s="83">
        <f>IF($G393&lt;&gt;"",VLOOKUP($G393,'WPS '!C$5:M$209,3,FALSE),"")</f>
        <v>136</v>
      </c>
      <c r="I393" s="22" t="s">
        <v>1250</v>
      </c>
      <c r="J393" s="22" t="s">
        <v>1232</v>
      </c>
      <c r="K393" s="69" t="s">
        <v>884</v>
      </c>
      <c r="L393" s="22" t="str">
        <f>IF($G393&lt;&gt;"",VLOOKUP($G393,'WPS '!C$5:M$209,8,FALSE),"")</f>
        <v>E71T-1C</v>
      </c>
      <c r="M393" s="22" t="s">
        <v>74</v>
      </c>
      <c r="N393" s="21">
        <v>45498</v>
      </c>
      <c r="O393" s="21">
        <v>45502</v>
      </c>
      <c r="P393" s="21">
        <f t="shared" si="13"/>
        <v>46051</v>
      </c>
      <c r="Q393" s="164" t="s">
        <v>1811</v>
      </c>
      <c r="R393" s="147" t="str">
        <f>IF($G393&lt;&gt;"",VLOOKUP($G393,'WPS '!$C$5:$M$209,2,FALSE),"")</f>
        <v>OSR-WPS-ISO-PF-026</v>
      </c>
      <c r="S393" s="30"/>
      <c r="T393" s="30"/>
      <c r="U393" s="30"/>
      <c r="V393" s="30"/>
      <c r="W393" s="30"/>
      <c r="X393" s="30"/>
      <c r="Y393" s="30"/>
      <c r="Z393" s="30"/>
      <c r="AA393" s="30"/>
      <c r="AB393" s="30" t="s">
        <v>95</v>
      </c>
      <c r="AC393" s="30"/>
      <c r="AD393" s="30"/>
      <c r="AE393" s="54"/>
      <c r="AF393" s="54"/>
      <c r="AG393" s="67">
        <v>3</v>
      </c>
      <c r="AH393" s="115"/>
    </row>
    <row r="394" spans="1:34" ht="45" customHeight="1">
      <c r="A394" s="293">
        <f t="shared" si="14"/>
        <v>387</v>
      </c>
      <c r="B394" s="5" t="s">
        <v>327</v>
      </c>
      <c r="C394" s="296" t="s">
        <v>1635</v>
      </c>
      <c r="D394" s="56">
        <f>IF(F394="","",SUBTOTAL(3,$F$6:F394))</f>
        <v>388</v>
      </c>
      <c r="E394" s="34" t="s">
        <v>41</v>
      </c>
      <c r="F394" s="107" t="s">
        <v>1792</v>
      </c>
      <c r="G394" s="40" t="s">
        <v>685</v>
      </c>
      <c r="H394" s="83">
        <f>IF($G394&lt;&gt;"",VLOOKUP($G394,'WPS '!C$5:M$209,3,FALSE),"")</f>
        <v>136</v>
      </c>
      <c r="I394" s="22" t="s">
        <v>856</v>
      </c>
      <c r="J394" s="22" t="s">
        <v>251</v>
      </c>
      <c r="K394" s="69" t="s">
        <v>884</v>
      </c>
      <c r="L394" s="22" t="str">
        <f>IF($G394&lt;&gt;"",VLOOKUP($G394,'WPS '!C$5:M$209,8,FALSE),"")</f>
        <v>E71T-1C</v>
      </c>
      <c r="M394" s="22" t="s">
        <v>74</v>
      </c>
      <c r="N394" s="21">
        <v>45547</v>
      </c>
      <c r="O394" s="21">
        <v>45551</v>
      </c>
      <c r="P394" s="21">
        <f t="shared" si="13"/>
        <v>46097</v>
      </c>
      <c r="Q394" s="164" t="s">
        <v>1811</v>
      </c>
      <c r="R394" s="147" t="str">
        <f>IF($G394&lt;&gt;"",VLOOKUP($G394,'WPS '!$C$5:$M$209,2,FALSE),"")</f>
        <v>OSR-WPS-ISO-PA-030</v>
      </c>
      <c r="S394" s="30"/>
      <c r="T394" s="30"/>
      <c r="U394" s="30"/>
      <c r="V394" s="30"/>
      <c r="W394" s="30"/>
      <c r="X394" s="30" t="s">
        <v>95</v>
      </c>
      <c r="Y394" s="30"/>
      <c r="Z394" s="30"/>
      <c r="AA394" s="30"/>
      <c r="AB394" s="30"/>
      <c r="AC394" s="30"/>
      <c r="AD394" s="30"/>
      <c r="AE394" s="54"/>
      <c r="AF394" s="54"/>
      <c r="AG394" s="67">
        <v>3</v>
      </c>
      <c r="AH394" s="115"/>
    </row>
    <row r="395" spans="1:34" ht="45" customHeight="1">
      <c r="A395" s="293">
        <f t="shared" si="14"/>
        <v>388</v>
      </c>
      <c r="B395" s="5" t="s">
        <v>327</v>
      </c>
      <c r="C395" s="296" t="s">
        <v>1635</v>
      </c>
      <c r="D395" s="56">
        <f>IF(F395="","",SUBTOTAL(3,$F$6:F395))</f>
        <v>389</v>
      </c>
      <c r="E395" s="34" t="s">
        <v>41</v>
      </c>
      <c r="F395" s="107" t="s">
        <v>1792</v>
      </c>
      <c r="G395" s="40" t="s">
        <v>700</v>
      </c>
      <c r="H395" s="83">
        <f>IF($G395&lt;&gt;"",VLOOKUP($G395,'WPS '!C$5:M$209,3,FALSE),"")</f>
        <v>136</v>
      </c>
      <c r="I395" s="22" t="s">
        <v>1250</v>
      </c>
      <c r="J395" s="22" t="s">
        <v>242</v>
      </c>
      <c r="K395" s="69" t="s">
        <v>884</v>
      </c>
      <c r="L395" s="22" t="str">
        <f>IF($G395&lt;&gt;"",VLOOKUP($G395,'WPS '!C$5:M$209,8,FALSE),"")</f>
        <v>E81T1-W2C</v>
      </c>
      <c r="M395" s="76" t="s">
        <v>147</v>
      </c>
      <c r="N395" s="21">
        <v>45724</v>
      </c>
      <c r="O395" s="21">
        <v>45731</v>
      </c>
      <c r="P395" s="21">
        <f t="shared" si="13"/>
        <v>46096</v>
      </c>
      <c r="Q395" s="164" t="s">
        <v>1811</v>
      </c>
      <c r="R395" s="147" t="str">
        <f>IF($G395&lt;&gt;"",VLOOKUP($G395,'WPS '!$C$5:$M$209,2,FALSE),"")</f>
        <v>OSR-WPS-ISO-PF-045</v>
      </c>
      <c r="S395" s="30"/>
      <c r="T395" s="30"/>
      <c r="U395" s="30"/>
      <c r="V395" s="30"/>
      <c r="W395" s="30"/>
      <c r="X395" s="30" t="s">
        <v>95</v>
      </c>
      <c r="Y395" s="30"/>
      <c r="Z395" s="30"/>
      <c r="AA395" s="30"/>
      <c r="AB395" s="30"/>
      <c r="AC395" s="30"/>
      <c r="AD395" s="30"/>
      <c r="AE395" s="54"/>
      <c r="AF395" s="54"/>
      <c r="AG395" s="66">
        <v>2</v>
      </c>
      <c r="AH395" s="115"/>
    </row>
    <row r="396" spans="1:34" ht="45" customHeight="1">
      <c r="A396" s="293">
        <f t="shared" si="14"/>
        <v>389</v>
      </c>
      <c r="B396" s="5" t="s">
        <v>327</v>
      </c>
      <c r="C396" s="296" t="s">
        <v>1635</v>
      </c>
      <c r="D396" s="56">
        <f>IF(F396="","",SUBTOTAL(3,$F$6:F396))</f>
        <v>390</v>
      </c>
      <c r="E396" s="34" t="s">
        <v>41</v>
      </c>
      <c r="F396" s="107" t="s">
        <v>1792</v>
      </c>
      <c r="G396" s="40" t="s">
        <v>707</v>
      </c>
      <c r="H396" s="83">
        <f>IF($G396&lt;&gt;"",VLOOKUP($G396,'WPS '!C$5:M$209,3,FALSE),"")</f>
        <v>136</v>
      </c>
      <c r="I396" s="22" t="s">
        <v>217</v>
      </c>
      <c r="J396" s="22" t="s">
        <v>243</v>
      </c>
      <c r="K396" s="69" t="s">
        <v>922</v>
      </c>
      <c r="L396" s="22" t="str">
        <f>IF($G396&lt;&gt;"",VLOOKUP($G396,'WPS '!C$5:M$209,8,FALSE),"")</f>
        <v>E71T-1C</v>
      </c>
      <c r="M396" s="76" t="s">
        <v>147</v>
      </c>
      <c r="N396" s="21">
        <v>45786</v>
      </c>
      <c r="O396" s="21">
        <v>45799</v>
      </c>
      <c r="P396" s="21">
        <f t="shared" si="13"/>
        <v>46164</v>
      </c>
      <c r="Q396" s="164" t="s">
        <v>1811</v>
      </c>
      <c r="R396" s="147" t="str">
        <f>IF($G396&lt;&gt;"",VLOOKUP($G396,'WPS '!$C$5:$M$209,2,FALSE),"")</f>
        <v>OSR-WPS-ISO-PB-052</v>
      </c>
      <c r="S396" s="30"/>
      <c r="T396" s="30"/>
      <c r="U396" s="30"/>
      <c r="V396" s="30"/>
      <c r="W396" s="30"/>
      <c r="X396" s="30"/>
      <c r="Y396" s="30"/>
      <c r="Z396" s="30"/>
      <c r="AA396" s="30"/>
      <c r="AB396" s="30"/>
      <c r="AC396" s="30"/>
      <c r="AD396" s="30"/>
      <c r="AE396" s="54"/>
      <c r="AF396" s="54"/>
      <c r="AG396" s="66">
        <v>2</v>
      </c>
      <c r="AH396" s="115"/>
    </row>
    <row r="397" spans="1:34" ht="45" customHeight="1">
      <c r="A397" s="293">
        <f t="shared" si="14"/>
        <v>390</v>
      </c>
      <c r="B397" s="28" t="s">
        <v>327</v>
      </c>
      <c r="C397" s="295" t="s">
        <v>1635</v>
      </c>
      <c r="D397" s="56">
        <f>IF(F397="","",SUBTOTAL(3,$F$6:F397))</f>
        <v>391</v>
      </c>
      <c r="E397" s="34" t="s">
        <v>41</v>
      </c>
      <c r="F397" s="107" t="s">
        <v>1792</v>
      </c>
      <c r="G397" s="39" t="s">
        <v>719</v>
      </c>
      <c r="H397" s="83" t="str">
        <f>IF($G397&lt;&gt;"",VLOOKUP($G397,'WPS '!C$5:M$209,3,FALSE),"")</f>
        <v>FCAW</v>
      </c>
      <c r="I397" s="22" t="s">
        <v>850</v>
      </c>
      <c r="J397" s="22" t="s">
        <v>1215</v>
      </c>
      <c r="K397" s="69" t="s">
        <v>964</v>
      </c>
      <c r="L397" s="22" t="str">
        <f>IF($G397&lt;&gt;"",VLOOKUP($G397,'WPS '!C$5:M$209,8,FALSE),"")</f>
        <v>E71T-1C</v>
      </c>
      <c r="M397" s="76" t="s">
        <v>320</v>
      </c>
      <c r="N397" s="21">
        <v>45586</v>
      </c>
      <c r="O397" s="21">
        <v>45590</v>
      </c>
      <c r="P397" s="21">
        <f t="shared" si="13"/>
        <v>46137</v>
      </c>
      <c r="Q397" s="164" t="str">
        <f>IF($G397&lt;&gt;"",VLOOKUP($G397,'WPS '!C$5:M$209,11,FALSE),"")</f>
        <v>ASME IX</v>
      </c>
      <c r="R397" s="147" t="str">
        <f>IF($G397&lt;&gt;"",VLOOKUP($G397,'WPS '!$C$5:$M$209,2,FALSE),"")</f>
        <v>OSR-WPS-ASME-FC-002</v>
      </c>
      <c r="S397" s="30" t="s">
        <v>356</v>
      </c>
      <c r="T397" s="30"/>
      <c r="U397" s="30"/>
      <c r="V397" s="30"/>
      <c r="W397" s="62"/>
      <c r="X397" s="30"/>
      <c r="Y397" s="32"/>
      <c r="Z397" s="32"/>
      <c r="AA397" s="32"/>
      <c r="AB397" s="62"/>
      <c r="AC397" s="62"/>
      <c r="AD397" s="62"/>
      <c r="AE397" s="146"/>
      <c r="AF397" s="146"/>
      <c r="AG397" s="67">
        <v>3</v>
      </c>
      <c r="AH397" s="18"/>
    </row>
    <row r="398" spans="1:34" ht="45" customHeight="1">
      <c r="A398" s="293">
        <f t="shared" si="14"/>
        <v>391</v>
      </c>
      <c r="B398" s="28" t="s">
        <v>327</v>
      </c>
      <c r="C398" s="296" t="s">
        <v>1635</v>
      </c>
      <c r="D398" s="56">
        <f>IF(F398="","",SUBTOTAL(3,$F$6:F398))</f>
        <v>392</v>
      </c>
      <c r="E398" s="34" t="s">
        <v>41</v>
      </c>
      <c r="F398" s="107" t="s">
        <v>1792</v>
      </c>
      <c r="G398" s="39" t="s">
        <v>1367</v>
      </c>
      <c r="H398" s="83" t="str">
        <f>IF($G398&lt;&gt;"",VLOOKUP($G398,'WPS '!C$5:M$209,3,FALSE),"")</f>
        <v>FCAW</v>
      </c>
      <c r="I398" s="22" t="s">
        <v>1403</v>
      </c>
      <c r="J398" s="77" t="s">
        <v>1407</v>
      </c>
      <c r="K398" s="69" t="s">
        <v>1408</v>
      </c>
      <c r="L398" s="22" t="str">
        <f>IF($G398&lt;&gt;"",VLOOKUP($G398,'WPS '!C$5:M$209,8,FALSE),"")</f>
        <v>E71T-1C</v>
      </c>
      <c r="M398" s="76" t="s">
        <v>1406</v>
      </c>
      <c r="N398" s="21">
        <v>45895</v>
      </c>
      <c r="O398" s="21">
        <v>45906</v>
      </c>
      <c r="P398" s="21">
        <f t="shared" si="13"/>
        <v>46271</v>
      </c>
      <c r="Q398" s="164" t="str">
        <f>IF($G398&lt;&gt;"",VLOOKUP($G398,'WPS '!C$5:M$209,11,FALSE),"")</f>
        <v>AWS D1.1</v>
      </c>
      <c r="R398" s="147" t="str">
        <f>IF($G398&lt;&gt;"",VLOOKUP($G398,'WPS '!$C$5:$M$209,2,FALSE),"")</f>
        <v>OSR-WPS-D1.1-FC-101</v>
      </c>
      <c r="S398" s="30"/>
      <c r="T398" s="30"/>
      <c r="U398" s="30"/>
      <c r="V398" s="32"/>
      <c r="W398" s="32"/>
      <c r="X398" s="32"/>
      <c r="Y398" s="32"/>
      <c r="Z398" s="32"/>
      <c r="AA398" s="32"/>
      <c r="AB398" s="32"/>
      <c r="AC398" s="62" t="s">
        <v>356</v>
      </c>
      <c r="AD398" s="62" t="s">
        <v>356</v>
      </c>
      <c r="AE398" s="146"/>
      <c r="AF398" s="146"/>
      <c r="AG398" s="153">
        <v>2</v>
      </c>
    </row>
    <row r="399" spans="1:34" s="2" customFormat="1" ht="45" customHeight="1">
      <c r="A399" s="293">
        <f t="shared" si="14"/>
        <v>392</v>
      </c>
      <c r="B399" s="5" t="s">
        <v>1634</v>
      </c>
      <c r="C399" s="5" t="s">
        <v>328</v>
      </c>
      <c r="D399" s="56">
        <f>IF(F399="","",SUBTOTAL(3,$F$6:F399))</f>
        <v>393</v>
      </c>
      <c r="E399" s="35" t="s">
        <v>191</v>
      </c>
      <c r="F399" s="106" t="s">
        <v>1708</v>
      </c>
      <c r="G399" s="40" t="s">
        <v>700</v>
      </c>
      <c r="H399" s="83">
        <f>IF($G399&lt;&gt;"",VLOOKUP($G399,'WPS '!C$5:M$209,3,FALSE),"")</f>
        <v>136</v>
      </c>
      <c r="I399" s="22" t="s">
        <v>1250</v>
      </c>
      <c r="J399" s="22" t="s">
        <v>242</v>
      </c>
      <c r="K399" s="69" t="s">
        <v>884</v>
      </c>
      <c r="L399" s="22" t="str">
        <f>IF($G399&lt;&gt;"",VLOOKUP($G399,'WPS '!C$5:M$209,8,FALSE),"")</f>
        <v>E81T1-W2C</v>
      </c>
      <c r="M399" s="76" t="s">
        <v>192</v>
      </c>
      <c r="N399" s="21">
        <v>45804</v>
      </c>
      <c r="O399" s="21">
        <v>45807</v>
      </c>
      <c r="P399" s="21">
        <f t="shared" si="13"/>
        <v>46172</v>
      </c>
      <c r="Q399" s="164" t="s">
        <v>1811</v>
      </c>
      <c r="R399" s="147" t="str">
        <f>IF($G399&lt;&gt;"",VLOOKUP($G399,'WPS '!$C$5:$M$209,2,FALSE),"")</f>
        <v>OSR-WPS-ISO-PF-045</v>
      </c>
      <c r="S399" s="30"/>
      <c r="T399" s="30"/>
      <c r="U399" s="30"/>
      <c r="V399" s="30"/>
      <c r="W399" s="30"/>
      <c r="X399" s="30" t="s">
        <v>95</v>
      </c>
      <c r="Y399" s="30"/>
      <c r="Z399" s="30"/>
      <c r="AA399" s="30"/>
      <c r="AB399" s="30"/>
      <c r="AC399" s="30"/>
      <c r="AD399" s="30"/>
      <c r="AE399" s="54"/>
      <c r="AF399" s="54"/>
      <c r="AG399" s="66">
        <v>2</v>
      </c>
      <c r="AH399" s="115"/>
    </row>
    <row r="400" spans="1:34" s="2" customFormat="1" ht="45" customHeight="1">
      <c r="A400" s="293">
        <f t="shared" si="14"/>
        <v>393</v>
      </c>
      <c r="B400" s="5" t="s">
        <v>1634</v>
      </c>
      <c r="C400" s="5" t="s">
        <v>328</v>
      </c>
      <c r="D400" s="56">
        <f>IF(F400="","",SUBTOTAL(3,$F$6:F400))</f>
        <v>394</v>
      </c>
      <c r="E400" s="34" t="s">
        <v>43</v>
      </c>
      <c r="F400" s="108" t="s">
        <v>1710</v>
      </c>
      <c r="G400" s="40" t="s">
        <v>662</v>
      </c>
      <c r="H400" s="83">
        <f>IF($G400&lt;&gt;"",VLOOKUP($G400,'WPS '!C$5:M$209,3,FALSE),"")</f>
        <v>136</v>
      </c>
      <c r="I400" s="22" t="s">
        <v>1250</v>
      </c>
      <c r="J400" s="22" t="s">
        <v>243</v>
      </c>
      <c r="K400" s="69" t="s">
        <v>884</v>
      </c>
      <c r="L400" s="22" t="str">
        <f>IF($G400&lt;&gt;"",VLOOKUP($G400,'WPS '!C$5:M$209,8,FALSE),"")</f>
        <v>E71T-1C</v>
      </c>
      <c r="M400" s="76" t="s">
        <v>44</v>
      </c>
      <c r="N400" s="21">
        <v>45026</v>
      </c>
      <c r="O400" s="21">
        <v>45028</v>
      </c>
      <c r="P400" s="21">
        <f t="shared" si="13"/>
        <v>46124</v>
      </c>
      <c r="Q400" s="164" t="s">
        <v>1811</v>
      </c>
      <c r="R400" s="147" t="str">
        <f>IF($G400&lt;&gt;"",VLOOKUP($G400,'WPS '!$C$5:$M$209,2,FALSE),"")</f>
        <v>OSR-WPS-ISO-PB-006</v>
      </c>
      <c r="S400" s="30"/>
      <c r="T400" s="30"/>
      <c r="U400" s="30"/>
      <c r="V400" s="30"/>
      <c r="W400" s="30"/>
      <c r="X400" s="30" t="s">
        <v>95</v>
      </c>
      <c r="Y400" s="30"/>
      <c r="Z400" s="30"/>
      <c r="AA400" s="30"/>
      <c r="AB400" s="30"/>
      <c r="AC400" s="30"/>
      <c r="AD400" s="30"/>
      <c r="AE400" s="54"/>
      <c r="AF400" s="54"/>
      <c r="AG400" s="66">
        <v>6</v>
      </c>
      <c r="AH400" s="115"/>
    </row>
    <row r="401" spans="1:34" s="2" customFormat="1" ht="45" customHeight="1">
      <c r="A401" s="293">
        <f t="shared" si="14"/>
        <v>394</v>
      </c>
      <c r="B401" s="5" t="s">
        <v>326</v>
      </c>
      <c r="C401" s="296" t="s">
        <v>1635</v>
      </c>
      <c r="D401" s="56">
        <f>IF(F401="","",SUBTOTAL(3,$F$6:F401))</f>
        <v>395</v>
      </c>
      <c r="E401" s="34" t="s">
        <v>45</v>
      </c>
      <c r="F401" s="108" t="s">
        <v>1698</v>
      </c>
      <c r="G401" s="40" t="s">
        <v>662</v>
      </c>
      <c r="H401" s="83">
        <f>IF($G401&lt;&gt;"",VLOOKUP($G401,'WPS '!C$5:M$209,3,FALSE),"")</f>
        <v>136</v>
      </c>
      <c r="I401" s="22" t="s">
        <v>1250</v>
      </c>
      <c r="J401" s="22" t="s">
        <v>1683</v>
      </c>
      <c r="K401" s="69" t="s">
        <v>884</v>
      </c>
      <c r="L401" s="22" t="str">
        <f>IF($G401&lt;&gt;"",VLOOKUP($G401,'WPS '!C$5:M$209,8,FALSE),"")</f>
        <v>E71T-1C</v>
      </c>
      <c r="M401" s="76" t="s">
        <v>47</v>
      </c>
      <c r="N401" s="21">
        <v>45026</v>
      </c>
      <c r="O401" s="21">
        <v>45028</v>
      </c>
      <c r="P401" s="21">
        <f t="shared" si="13"/>
        <v>46124</v>
      </c>
      <c r="Q401" s="164" t="s">
        <v>1811</v>
      </c>
      <c r="R401" s="147" t="str">
        <f>IF($G401&lt;&gt;"",VLOOKUP($G401,'WPS '!$C$5:$M$209,2,FALSE),"")</f>
        <v>OSR-WPS-ISO-PB-006</v>
      </c>
      <c r="S401" s="30"/>
      <c r="T401" s="30"/>
      <c r="U401" s="30"/>
      <c r="V401" s="30"/>
      <c r="W401" s="30" t="s">
        <v>356</v>
      </c>
      <c r="X401" s="30" t="s">
        <v>95</v>
      </c>
      <c r="Y401" s="30"/>
      <c r="Z401" s="30"/>
      <c r="AA401" s="30"/>
      <c r="AB401" s="30"/>
      <c r="AC401" s="30"/>
      <c r="AD401" s="30"/>
      <c r="AE401" s="54"/>
      <c r="AF401" s="54"/>
      <c r="AG401" s="66">
        <v>6</v>
      </c>
      <c r="AH401" s="115"/>
    </row>
    <row r="402" spans="1:34" s="2" customFormat="1" ht="45" customHeight="1">
      <c r="A402" s="293">
        <f t="shared" si="14"/>
        <v>395</v>
      </c>
      <c r="B402" s="5" t="s">
        <v>327</v>
      </c>
      <c r="C402" s="296" t="s">
        <v>1635</v>
      </c>
      <c r="D402" s="56">
        <f>IF(F402="","",SUBTOTAL(3,$F$6:F402))</f>
        <v>396</v>
      </c>
      <c r="E402" s="34" t="s">
        <v>45</v>
      </c>
      <c r="F402" s="108" t="s">
        <v>1698</v>
      </c>
      <c r="G402" s="40" t="s">
        <v>701</v>
      </c>
      <c r="H402" s="83">
        <f>IF($G402&lt;&gt;"",VLOOKUP($G402,'WPS '!C$5:M$209,3,FALSE),"")</f>
        <v>136</v>
      </c>
      <c r="I402" s="22" t="s">
        <v>1250</v>
      </c>
      <c r="J402" s="22" t="s">
        <v>257</v>
      </c>
      <c r="K402" s="69" t="s">
        <v>884</v>
      </c>
      <c r="L402" s="22" t="str">
        <f>IF($G402&lt;&gt;"",VLOOKUP($G402,'WPS '!C$5:M$209,8,FALSE),"")</f>
        <v>E81T1-W2C</v>
      </c>
      <c r="M402" s="76" t="s">
        <v>148</v>
      </c>
      <c r="N402" s="21">
        <v>45724</v>
      </c>
      <c r="O402" s="21">
        <v>45731</v>
      </c>
      <c r="P402" s="21">
        <f t="shared" si="13"/>
        <v>46096</v>
      </c>
      <c r="Q402" s="164" t="s">
        <v>1811</v>
      </c>
      <c r="R402" s="147" t="str">
        <f>IF($G402&lt;&gt;"",VLOOKUP($G402,'WPS '!$C$5:$M$209,2,FALSE),"")</f>
        <v>OSR-WPS-ISO-PC-046</v>
      </c>
      <c r="S402" s="30"/>
      <c r="T402" s="30"/>
      <c r="U402" s="30"/>
      <c r="V402" s="30"/>
      <c r="W402" s="30"/>
      <c r="X402" s="30" t="s">
        <v>95</v>
      </c>
      <c r="Y402" s="30"/>
      <c r="Z402" s="30"/>
      <c r="AA402" s="30"/>
      <c r="AB402" s="30"/>
      <c r="AC402" s="30"/>
      <c r="AD402" s="30"/>
      <c r="AE402" s="54"/>
      <c r="AF402" s="54"/>
      <c r="AG402" s="66">
        <v>2</v>
      </c>
      <c r="AH402" s="115"/>
    </row>
    <row r="403" spans="1:34" ht="45" customHeight="1">
      <c r="A403" s="293">
        <f t="shared" si="14"/>
        <v>396</v>
      </c>
      <c r="B403" s="5" t="s">
        <v>327</v>
      </c>
      <c r="C403" s="296" t="s">
        <v>1635</v>
      </c>
      <c r="D403" s="56">
        <f>IF(F403="","",SUBTOTAL(3,$F$6:F403))</f>
        <v>397</v>
      </c>
      <c r="E403" s="34" t="s">
        <v>45</v>
      </c>
      <c r="F403" s="108" t="s">
        <v>1698</v>
      </c>
      <c r="G403" s="40" t="s">
        <v>706</v>
      </c>
      <c r="H403" s="83">
        <f>IF($G403&lt;&gt;"",VLOOKUP($G403,'WPS '!C$5:M$209,3,FALSE),"")</f>
        <v>136</v>
      </c>
      <c r="I403" s="22" t="s">
        <v>1251</v>
      </c>
      <c r="J403" s="22" t="s">
        <v>923</v>
      </c>
      <c r="K403" s="69" t="s">
        <v>884</v>
      </c>
      <c r="L403" s="22" t="str">
        <f>IF($G403&lt;&gt;"",VLOOKUP($G403,'WPS '!C$5:M$209,8,FALSE),"")</f>
        <v>E71T-1C</v>
      </c>
      <c r="M403" s="76" t="s">
        <v>924</v>
      </c>
      <c r="N403" s="21">
        <v>45796</v>
      </c>
      <c r="O403" s="21">
        <v>45799</v>
      </c>
      <c r="P403" s="21">
        <f t="shared" si="13"/>
        <v>46164</v>
      </c>
      <c r="Q403" s="164" t="s">
        <v>1811</v>
      </c>
      <c r="R403" s="147" t="str">
        <f>IF($G403&lt;&gt;"",VLOOKUP($G403,'WPS '!$C$5:$M$209,2,FALSE),"")</f>
        <v>OSR-WPS-ISO-PF-051</v>
      </c>
      <c r="S403" s="30"/>
      <c r="T403" s="30"/>
      <c r="U403" s="30"/>
      <c r="V403" s="30"/>
      <c r="W403" s="30"/>
      <c r="X403" s="30"/>
      <c r="Y403" s="30" t="s">
        <v>95</v>
      </c>
      <c r="Z403" s="30"/>
      <c r="AA403" s="30"/>
      <c r="AB403" s="30"/>
      <c r="AC403" s="30"/>
      <c r="AD403" s="30"/>
      <c r="AE403" s="54"/>
      <c r="AF403" s="54"/>
      <c r="AG403" s="66">
        <v>2</v>
      </c>
      <c r="AH403" s="115"/>
    </row>
    <row r="404" spans="1:34" s="20" customFormat="1" ht="45" customHeight="1">
      <c r="A404" s="293">
        <f t="shared" si="14"/>
        <v>397</v>
      </c>
      <c r="B404" s="5" t="s">
        <v>327</v>
      </c>
      <c r="C404" s="296" t="s">
        <v>1635</v>
      </c>
      <c r="D404" s="56">
        <f>IF(F404="","",SUBTOTAL(3,$F$6:F404))</f>
        <v>398</v>
      </c>
      <c r="E404" s="34" t="s">
        <v>45</v>
      </c>
      <c r="F404" s="108" t="s">
        <v>1698</v>
      </c>
      <c r="G404" s="40" t="s">
        <v>706</v>
      </c>
      <c r="H404" s="83">
        <f>IF($G404&lt;&gt;"",VLOOKUP($G404,'WPS '!C$5:M$209,3,FALSE),"")</f>
        <v>136</v>
      </c>
      <c r="I404" s="22" t="s">
        <v>1251</v>
      </c>
      <c r="J404" s="22" t="s">
        <v>255</v>
      </c>
      <c r="K404" s="69" t="s">
        <v>884</v>
      </c>
      <c r="L404" s="22" t="str">
        <f>IF($G404&lt;&gt;"",VLOOKUP($G404,'WPS '!C$5:M$209,8,FALSE),"")</f>
        <v>E71T-1C</v>
      </c>
      <c r="M404" s="76" t="s">
        <v>925</v>
      </c>
      <c r="N404" s="21">
        <v>45813</v>
      </c>
      <c r="O404" s="21">
        <v>45816</v>
      </c>
      <c r="P404" s="21">
        <f t="shared" si="13"/>
        <v>46181</v>
      </c>
      <c r="Q404" s="164" t="s">
        <v>1811</v>
      </c>
      <c r="R404" s="147" t="str">
        <f>IF($G404&lt;&gt;"",VLOOKUP($G404,'WPS '!$C$5:$M$209,2,FALSE),"")</f>
        <v>OSR-WPS-ISO-PF-051</v>
      </c>
      <c r="S404" s="30"/>
      <c r="T404" s="30"/>
      <c r="U404" s="30"/>
      <c r="V404" s="30"/>
      <c r="W404" s="30"/>
      <c r="X404" s="30"/>
      <c r="Y404" s="30" t="s">
        <v>95</v>
      </c>
      <c r="Z404" s="30"/>
      <c r="AA404" s="30"/>
      <c r="AB404" s="30"/>
      <c r="AC404" s="30"/>
      <c r="AD404" s="30"/>
      <c r="AE404" s="54"/>
      <c r="AF404" s="54"/>
      <c r="AG404" s="66">
        <v>2</v>
      </c>
      <c r="AH404" s="115"/>
    </row>
    <row r="405" spans="1:34" s="20" customFormat="1" ht="45" customHeight="1">
      <c r="A405" s="293">
        <f t="shared" si="14"/>
        <v>398</v>
      </c>
      <c r="B405" s="28" t="s">
        <v>327</v>
      </c>
      <c r="C405" s="295" t="s">
        <v>1635</v>
      </c>
      <c r="D405" s="56">
        <f>IF(F405="","",SUBTOTAL(3,$F$6:F405))</f>
        <v>399</v>
      </c>
      <c r="E405" s="34" t="s">
        <v>45</v>
      </c>
      <c r="F405" s="107" t="s">
        <v>1698</v>
      </c>
      <c r="G405" s="39" t="s">
        <v>718</v>
      </c>
      <c r="H405" s="83" t="str">
        <f>IF($G405&lt;&gt;"",VLOOKUP($G405,'WPS '!C$5:M$209,3,FALSE),"")</f>
        <v>FCAW</v>
      </c>
      <c r="I405" s="22" t="s">
        <v>852</v>
      </c>
      <c r="J405" s="22" t="s">
        <v>1215</v>
      </c>
      <c r="K405" s="69" t="s">
        <v>964</v>
      </c>
      <c r="L405" s="22" t="str">
        <f>IF($G405&lt;&gt;"",VLOOKUP($G405,'WPS '!C$5:M$209,8,FALSE),"")</f>
        <v>E71T-1C</v>
      </c>
      <c r="M405" s="76" t="s">
        <v>296</v>
      </c>
      <c r="N405" s="21">
        <v>45586</v>
      </c>
      <c r="O405" s="21">
        <v>45590</v>
      </c>
      <c r="P405" s="21">
        <f t="shared" si="13"/>
        <v>46137</v>
      </c>
      <c r="Q405" s="164" t="str">
        <f>IF($G405&lt;&gt;"",VLOOKUP($G405,'WPS '!C$5:M$209,11,FALSE),"")</f>
        <v>ASME IX</v>
      </c>
      <c r="R405" s="147" t="str">
        <f>IF($G405&lt;&gt;"",VLOOKUP($G405,'WPS '!$C$5:$M$209,2,FALSE),"")</f>
        <v>OSR-WPS-ASME-FC-001</v>
      </c>
      <c r="S405" s="30" t="s">
        <v>356</v>
      </c>
      <c r="T405" s="30"/>
      <c r="U405" s="30"/>
      <c r="V405" s="30"/>
      <c r="W405" s="62"/>
      <c r="X405" s="30"/>
      <c r="Y405" s="32"/>
      <c r="Z405" s="32"/>
      <c r="AA405" s="32"/>
      <c r="AB405" s="62"/>
      <c r="AC405" s="62"/>
      <c r="AD405" s="62"/>
      <c r="AE405" s="146"/>
      <c r="AF405" s="146"/>
      <c r="AG405" s="67">
        <v>3</v>
      </c>
      <c r="AH405" s="18"/>
    </row>
    <row r="406" spans="1:34" ht="45" customHeight="1">
      <c r="A406" s="293">
        <f t="shared" si="14"/>
        <v>399</v>
      </c>
      <c r="B406" s="28" t="s">
        <v>327</v>
      </c>
      <c r="C406" s="296" t="s">
        <v>1635</v>
      </c>
      <c r="D406" s="56">
        <f>IF(F406="","",SUBTOTAL(3,$F$6:F406))</f>
        <v>400</v>
      </c>
      <c r="E406" s="34" t="s">
        <v>45</v>
      </c>
      <c r="F406" s="107" t="s">
        <v>1698</v>
      </c>
      <c r="G406" s="40" t="s">
        <v>1174</v>
      </c>
      <c r="H406" s="83" t="str">
        <f>IF($G406&lt;&gt;"",VLOOKUP($G406,'WPS '!C$5:M$209,3,FALSE),"")</f>
        <v>FCAW</v>
      </c>
      <c r="I406" s="22" t="s">
        <v>1398</v>
      </c>
      <c r="J406" s="77" t="s">
        <v>1215</v>
      </c>
      <c r="K406" s="69" t="s">
        <v>1366</v>
      </c>
      <c r="L406" s="22" t="str">
        <f>IF($G406&lt;&gt;"",VLOOKUP($G406,'WPS '!C$5:M$209,8,FALSE),"")</f>
        <v>E71T-1C</v>
      </c>
      <c r="M406" s="76" t="s">
        <v>1515</v>
      </c>
      <c r="N406" s="21">
        <v>45894</v>
      </c>
      <c r="O406" s="21">
        <v>45906</v>
      </c>
      <c r="P406" s="21">
        <f t="shared" si="13"/>
        <v>46271</v>
      </c>
      <c r="Q406" s="164" t="str">
        <f>IF($G406&lt;&gt;"",VLOOKUP($G406,'WPS '!C$5:M$209,11,FALSE),"")</f>
        <v>AWS D1.1</v>
      </c>
      <c r="R406" s="147" t="str">
        <f>IF($G406&lt;&gt;"",VLOOKUP($G406,'WPS '!$C$5:$M$209,2,FALSE),"")</f>
        <v>OSR-WPS-D1.1-FC-100</v>
      </c>
      <c r="S406" s="30"/>
      <c r="T406" s="30"/>
      <c r="U406" s="30"/>
      <c r="V406" s="30"/>
      <c r="W406" s="30"/>
      <c r="X406" s="30"/>
      <c r="Y406" s="30"/>
      <c r="Z406" s="30"/>
      <c r="AA406" s="30"/>
      <c r="AB406" s="30"/>
      <c r="AC406" s="30" t="s">
        <v>95</v>
      </c>
      <c r="AD406" s="30"/>
      <c r="AE406" s="54"/>
      <c r="AF406" s="54"/>
      <c r="AG406" s="153">
        <v>2</v>
      </c>
    </row>
    <row r="407" spans="1:34" ht="45" customHeight="1">
      <c r="A407" s="293">
        <f t="shared" si="14"/>
        <v>400</v>
      </c>
      <c r="B407" s="5" t="s">
        <v>1634</v>
      </c>
      <c r="C407" s="5" t="s">
        <v>328</v>
      </c>
      <c r="D407" s="56">
        <f>IF(F407="","",SUBTOTAL(3,$F$6:F407))</f>
        <v>401</v>
      </c>
      <c r="E407" s="37" t="s">
        <v>131</v>
      </c>
      <c r="F407" s="109" t="s">
        <v>1759</v>
      </c>
      <c r="G407" s="40" t="s">
        <v>661</v>
      </c>
      <c r="H407" s="83">
        <f>IF($G407&lt;&gt;"",VLOOKUP($G407,'WPS '!C$5:M$209,3,FALSE),"")</f>
        <v>136</v>
      </c>
      <c r="I407" s="22" t="s">
        <v>1250</v>
      </c>
      <c r="J407" s="24" t="s">
        <v>242</v>
      </c>
      <c r="K407" s="70" t="s">
        <v>884</v>
      </c>
      <c r="L407" s="22" t="str">
        <f>IF($G407&lt;&gt;"",VLOOKUP($G407,'WPS '!C$5:M$209,8,FALSE),"")</f>
        <v>E71T-1C</v>
      </c>
      <c r="M407" s="76" t="s">
        <v>212</v>
      </c>
      <c r="N407" s="23">
        <v>45709</v>
      </c>
      <c r="O407" s="23">
        <v>45714</v>
      </c>
      <c r="P407" s="21">
        <f t="shared" si="13"/>
        <v>46079</v>
      </c>
      <c r="Q407" s="164" t="s">
        <v>1811</v>
      </c>
      <c r="R407" s="147" t="str">
        <f>IF($G407&lt;&gt;"",VLOOKUP($G407,'WPS '!$C$5:$M$209,2,FALSE),"")</f>
        <v>OSR-WPS-ISO-PC+PF-005</v>
      </c>
      <c r="S407" s="30"/>
      <c r="T407" s="30"/>
      <c r="U407" s="30"/>
      <c r="V407" s="30"/>
      <c r="W407" s="30"/>
      <c r="X407" s="30"/>
      <c r="Y407" s="30"/>
      <c r="Z407" s="30"/>
      <c r="AA407" s="30"/>
      <c r="AB407" s="30"/>
      <c r="AC407" s="30"/>
      <c r="AD407" s="30"/>
      <c r="AE407" s="54"/>
      <c r="AF407" s="54"/>
      <c r="AG407" s="66">
        <v>2</v>
      </c>
      <c r="AH407" s="115"/>
    </row>
    <row r="408" spans="1:34" ht="45" customHeight="1">
      <c r="A408" s="293">
        <f t="shared" si="14"/>
        <v>401</v>
      </c>
      <c r="B408" s="28" t="s">
        <v>1634</v>
      </c>
      <c r="C408" s="28" t="s">
        <v>328</v>
      </c>
      <c r="D408" s="56">
        <f>IF(F408="","",SUBTOTAL(3,$F$6:F408))</f>
        <v>402</v>
      </c>
      <c r="E408" s="34" t="s">
        <v>131</v>
      </c>
      <c r="F408" s="107" t="s">
        <v>1759</v>
      </c>
      <c r="G408" s="39" t="s">
        <v>719</v>
      </c>
      <c r="H408" s="83" t="str">
        <f>IF($G408&lt;&gt;"",VLOOKUP($G408,'WPS '!C$5:M$209,3,FALSE),"")</f>
        <v>FCAW</v>
      </c>
      <c r="I408" s="22" t="s">
        <v>853</v>
      </c>
      <c r="J408" s="22" t="s">
        <v>107</v>
      </c>
      <c r="K408" s="69" t="s">
        <v>964</v>
      </c>
      <c r="L408" s="22" t="str">
        <f>IF($G408&lt;&gt;"",VLOOKUP($G408,'WPS '!C$5:M$209,8,FALSE),"")</f>
        <v>E71T-1C</v>
      </c>
      <c r="M408" s="76" t="s">
        <v>280</v>
      </c>
      <c r="N408" s="21">
        <v>45720</v>
      </c>
      <c r="O408" s="21">
        <v>45724</v>
      </c>
      <c r="P408" s="21">
        <f t="shared" si="13"/>
        <v>46089</v>
      </c>
      <c r="Q408" s="164" t="str">
        <f>IF($G408&lt;&gt;"",VLOOKUP($G408,'WPS '!C$5:M$209,11,FALSE),"")</f>
        <v>ASME IX</v>
      </c>
      <c r="R408" s="147" t="str">
        <f>IF($G408&lt;&gt;"",VLOOKUP($G408,'WPS '!$C$5:$M$209,2,FALSE),"")</f>
        <v>OSR-WPS-ASME-FC-002</v>
      </c>
      <c r="S408" s="30"/>
      <c r="T408" s="30"/>
      <c r="U408" s="30"/>
      <c r="V408" s="30"/>
      <c r="W408" s="62"/>
      <c r="X408" s="30"/>
      <c r="Y408" s="31"/>
      <c r="Z408" s="31"/>
      <c r="AA408" s="31"/>
      <c r="AB408" s="62"/>
      <c r="AC408" s="62"/>
      <c r="AD408" s="62"/>
      <c r="AE408" s="146"/>
      <c r="AF408" s="146"/>
      <c r="AG408" s="66">
        <v>2</v>
      </c>
      <c r="AH408" s="18"/>
    </row>
    <row r="409" spans="1:34" ht="45" customHeight="1">
      <c r="A409" s="293">
        <f t="shared" si="14"/>
        <v>402</v>
      </c>
      <c r="B409" s="5" t="s">
        <v>1634</v>
      </c>
      <c r="C409" s="5" t="s">
        <v>328</v>
      </c>
      <c r="D409" s="56">
        <f>IF(F409="","",SUBTOTAL(3,$F$6:F409))</f>
        <v>403</v>
      </c>
      <c r="E409" s="34" t="s">
        <v>48</v>
      </c>
      <c r="F409" s="108" t="s">
        <v>1693</v>
      </c>
      <c r="G409" s="40" t="s">
        <v>662</v>
      </c>
      <c r="H409" s="83">
        <f>IF($G409&lt;&gt;"",VLOOKUP($G409,'WPS '!C$5:M$209,3,FALSE),"")</f>
        <v>136</v>
      </c>
      <c r="I409" s="22" t="s">
        <v>1250</v>
      </c>
      <c r="J409" s="22" t="s">
        <v>243</v>
      </c>
      <c r="K409" s="69" t="s">
        <v>884</v>
      </c>
      <c r="L409" s="22" t="str">
        <f>IF($G409&lt;&gt;"",VLOOKUP($G409,'WPS '!C$5:M$209,8,FALSE),"")</f>
        <v>E71T-1C</v>
      </c>
      <c r="M409" s="76" t="s">
        <v>49</v>
      </c>
      <c r="N409" s="21">
        <v>45026</v>
      </c>
      <c r="O409" s="21">
        <v>45028</v>
      </c>
      <c r="P409" s="21">
        <f t="shared" si="13"/>
        <v>46124</v>
      </c>
      <c r="Q409" s="164" t="s">
        <v>1811</v>
      </c>
      <c r="R409" s="147" t="str">
        <f>IF($G409&lt;&gt;"",VLOOKUP($G409,'WPS '!$C$5:$M$209,2,FALSE),"")</f>
        <v>OSR-WPS-ISO-PB-006</v>
      </c>
      <c r="S409" s="30"/>
      <c r="T409" s="30"/>
      <c r="U409" s="30"/>
      <c r="V409" s="30"/>
      <c r="W409" s="30"/>
      <c r="X409" s="30" t="s">
        <v>95</v>
      </c>
      <c r="Y409" s="30"/>
      <c r="Z409" s="30"/>
      <c r="AA409" s="30"/>
      <c r="AB409" s="30"/>
      <c r="AC409" s="30"/>
      <c r="AD409" s="30"/>
      <c r="AE409" s="54"/>
      <c r="AF409" s="54"/>
      <c r="AG409" s="66">
        <v>6</v>
      </c>
      <c r="AH409" s="115"/>
    </row>
    <row r="410" spans="1:34" ht="45" customHeight="1">
      <c r="A410" s="293">
        <f t="shared" si="14"/>
        <v>403</v>
      </c>
      <c r="B410" s="5" t="s">
        <v>1634</v>
      </c>
      <c r="C410" s="5" t="s">
        <v>328</v>
      </c>
      <c r="D410" s="56">
        <f>IF(F410="","",SUBTOTAL(3,$F$6:F410))</f>
        <v>404</v>
      </c>
      <c r="E410" s="36" t="s">
        <v>175</v>
      </c>
      <c r="F410" s="106" t="s">
        <v>1692</v>
      </c>
      <c r="G410" s="40" t="s">
        <v>661</v>
      </c>
      <c r="H410" s="83">
        <f>IF($G410&lt;&gt;"",VLOOKUP($G410,'WPS '!C$5:M$209,3,FALSE),"")</f>
        <v>136</v>
      </c>
      <c r="I410" s="22" t="s">
        <v>1250</v>
      </c>
      <c r="J410" s="22" t="s">
        <v>242</v>
      </c>
      <c r="K410" s="69" t="s">
        <v>884</v>
      </c>
      <c r="L410" s="22" t="str">
        <f>IF($G410&lt;&gt;"",VLOOKUP($G410,'WPS '!C$5:M$209,8,FALSE),"")</f>
        <v>E71T-1C</v>
      </c>
      <c r="M410" s="76" t="s">
        <v>176</v>
      </c>
      <c r="N410" s="21">
        <v>45745</v>
      </c>
      <c r="O410" s="21">
        <v>45747</v>
      </c>
      <c r="P410" s="21">
        <f t="shared" si="13"/>
        <v>46112</v>
      </c>
      <c r="Q410" s="164" t="s">
        <v>1811</v>
      </c>
      <c r="R410" s="147" t="str">
        <f>IF($G410&lt;&gt;"",VLOOKUP($G410,'WPS '!$C$5:$M$209,2,FALSE),"")</f>
        <v>OSR-WPS-ISO-PC+PF-005</v>
      </c>
      <c r="S410" s="30"/>
      <c r="T410" s="30"/>
      <c r="U410" s="30"/>
      <c r="V410" s="30"/>
      <c r="W410" s="30"/>
      <c r="X410" s="30" t="s">
        <v>95</v>
      </c>
      <c r="Y410" s="30"/>
      <c r="Z410" s="30"/>
      <c r="AA410" s="30"/>
      <c r="AB410" s="30"/>
      <c r="AC410" s="30"/>
      <c r="AD410" s="30"/>
      <c r="AE410" s="54"/>
      <c r="AF410" s="54"/>
      <c r="AG410" s="66">
        <v>2</v>
      </c>
      <c r="AH410" s="115"/>
    </row>
    <row r="411" spans="1:34" ht="45" customHeight="1">
      <c r="A411" s="293">
        <f t="shared" si="14"/>
        <v>404</v>
      </c>
      <c r="B411" s="5" t="s">
        <v>1516</v>
      </c>
      <c r="C411" s="296" t="s">
        <v>1635</v>
      </c>
      <c r="D411" s="56">
        <f>IF(F411="","",SUBTOTAL(3,$F$6:F411))</f>
        <v>405</v>
      </c>
      <c r="E411" s="34" t="s">
        <v>876</v>
      </c>
      <c r="F411" s="108" t="s">
        <v>1719</v>
      </c>
      <c r="G411" s="40" t="s">
        <v>1158</v>
      </c>
      <c r="H411" s="83" t="str">
        <f>IF($G411&lt;&gt;"",VLOOKUP($G411,'WPS '!C$5:M$209,3,FALSE),"")</f>
        <v>FCAW</v>
      </c>
      <c r="I411" s="22" t="s">
        <v>1398</v>
      </c>
      <c r="J411" s="77" t="s">
        <v>1215</v>
      </c>
      <c r="K411" s="69" t="s">
        <v>1292</v>
      </c>
      <c r="L411" s="22" t="str">
        <f>IF($G411&lt;&gt;"",VLOOKUP($G411,'WPS '!C$5:M$209,8,FALSE),"")</f>
        <v>E71T-1C</v>
      </c>
      <c r="M411" s="76" t="s">
        <v>1473</v>
      </c>
      <c r="N411" s="21">
        <v>45906</v>
      </c>
      <c r="O411" s="21">
        <v>45910</v>
      </c>
      <c r="P411" s="21">
        <f t="shared" si="13"/>
        <v>46275</v>
      </c>
      <c r="Q411" s="164" t="str">
        <f>IF($G411&lt;&gt;"",VLOOKUP($G411,'WPS '!C$5:M$209,11,FALSE),"")</f>
        <v>AWS D1.1</v>
      </c>
      <c r="R411" s="147" t="str">
        <f>IF($G411&lt;&gt;"",VLOOKUP($G411,'WPS '!$C$5:$M$209,2,FALSE),"")</f>
        <v>OSR-WPS-D1.1-FC-095</v>
      </c>
      <c r="S411" s="30"/>
      <c r="T411" s="30" t="s">
        <v>356</v>
      </c>
      <c r="U411" s="30"/>
      <c r="V411" s="30"/>
      <c r="W411" s="30"/>
      <c r="X411" s="30"/>
      <c r="Y411" s="30"/>
      <c r="Z411" s="30"/>
      <c r="AA411" s="30"/>
      <c r="AB411" s="30"/>
      <c r="AC411" s="30" t="s">
        <v>95</v>
      </c>
      <c r="AD411" s="30" t="s">
        <v>356</v>
      </c>
      <c r="AE411" s="54"/>
      <c r="AF411" s="54"/>
      <c r="AG411" s="153">
        <v>2</v>
      </c>
    </row>
    <row r="412" spans="1:34" ht="45" customHeight="1">
      <c r="A412" s="293">
        <f t="shared" si="14"/>
        <v>405</v>
      </c>
      <c r="B412" s="5" t="s">
        <v>1516</v>
      </c>
      <c r="C412" s="296" t="s">
        <v>1635</v>
      </c>
      <c r="D412" s="56">
        <f>IF(F412="","",SUBTOTAL(3,$F$6:F412))</f>
        <v>406</v>
      </c>
      <c r="E412" s="34" t="s">
        <v>876</v>
      </c>
      <c r="F412" s="108" t="s">
        <v>1719</v>
      </c>
      <c r="G412" s="40" t="s">
        <v>675</v>
      </c>
      <c r="H412" s="83">
        <f>IF($G412&lt;&gt;"",VLOOKUP($G412,'WPS '!C$5:M$209,3,FALSE),"")</f>
        <v>136</v>
      </c>
      <c r="I412" s="22" t="s">
        <v>1251</v>
      </c>
      <c r="J412" s="22" t="s">
        <v>253</v>
      </c>
      <c r="K412" s="69" t="s">
        <v>884</v>
      </c>
      <c r="L412" s="22" t="str">
        <f>IF($G412&lt;&gt;"",VLOOKUP($G412,'WPS '!C$5:M$209,8,FALSE),"")</f>
        <v>E71T-1C</v>
      </c>
      <c r="M412" s="76" t="s">
        <v>877</v>
      </c>
      <c r="N412" s="21">
        <v>45871</v>
      </c>
      <c r="O412" s="21">
        <v>45874</v>
      </c>
      <c r="P412" s="21">
        <f t="shared" si="13"/>
        <v>46239</v>
      </c>
      <c r="Q412" s="164" t="s">
        <v>1811</v>
      </c>
      <c r="R412" s="147" t="str">
        <f>IF($G412&lt;&gt;"",VLOOKUP($G412,'WPS '!$C$5:$M$209,2,FALSE),"")</f>
        <v>OSR-WPS-ISO-PE-020</v>
      </c>
      <c r="S412" s="30"/>
      <c r="T412" s="30"/>
      <c r="U412" s="30"/>
      <c r="V412" s="30"/>
      <c r="W412" s="30"/>
      <c r="X412" s="30"/>
      <c r="Y412" s="30"/>
      <c r="Z412" s="30"/>
      <c r="AA412" s="30"/>
      <c r="AB412" s="30"/>
      <c r="AC412" s="30"/>
      <c r="AD412" s="30"/>
      <c r="AE412" s="54"/>
      <c r="AF412" s="54"/>
      <c r="AG412" s="66">
        <v>2</v>
      </c>
      <c r="AH412" s="115"/>
    </row>
    <row r="413" spans="1:34" ht="45" customHeight="1">
      <c r="A413" s="293">
        <f t="shared" si="14"/>
        <v>406</v>
      </c>
      <c r="B413" s="5" t="s">
        <v>1516</v>
      </c>
      <c r="C413" s="296" t="s">
        <v>1635</v>
      </c>
      <c r="D413" s="56">
        <f>IF(F413="","",SUBTOTAL(3,$F$6:F413))</f>
        <v>407</v>
      </c>
      <c r="E413" s="34" t="s">
        <v>876</v>
      </c>
      <c r="F413" s="108" t="s">
        <v>1719</v>
      </c>
      <c r="G413" s="40" t="s">
        <v>675</v>
      </c>
      <c r="H413" s="83">
        <f>IF($G413&lt;&gt;"",VLOOKUP($G413,'WPS '!C$5:M$209,3,FALSE),"")</f>
        <v>136</v>
      </c>
      <c r="I413" s="22" t="s">
        <v>1251</v>
      </c>
      <c r="J413" s="22" t="s">
        <v>255</v>
      </c>
      <c r="K413" s="69" t="s">
        <v>884</v>
      </c>
      <c r="L413" s="22" t="str">
        <f>IF($G413&lt;&gt;"",VLOOKUP($G413,'WPS '!C$5:M$209,8,FALSE),"")</f>
        <v>E71T-1C</v>
      </c>
      <c r="M413" s="76" t="s">
        <v>878</v>
      </c>
      <c r="N413" s="21">
        <v>45871</v>
      </c>
      <c r="O413" s="21">
        <v>45874</v>
      </c>
      <c r="P413" s="21">
        <f t="shared" si="13"/>
        <v>46239</v>
      </c>
      <c r="Q413" s="164" t="s">
        <v>1811</v>
      </c>
      <c r="R413" s="147" t="str">
        <f>IF($G413&lt;&gt;"",VLOOKUP($G413,'WPS '!$C$5:$M$209,2,FALSE),"")</f>
        <v>OSR-WPS-ISO-PE-020</v>
      </c>
      <c r="S413" s="30"/>
      <c r="T413" s="30"/>
      <c r="U413" s="30"/>
      <c r="V413" s="30"/>
      <c r="W413" s="30"/>
      <c r="X413" s="30"/>
      <c r="Y413" s="30"/>
      <c r="Z413" s="30"/>
      <c r="AA413" s="30"/>
      <c r="AB413" s="30"/>
      <c r="AC413" s="30"/>
      <c r="AD413" s="30"/>
      <c r="AE413" s="54"/>
      <c r="AF413" s="54"/>
      <c r="AG413" s="66">
        <v>2</v>
      </c>
      <c r="AH413" s="115"/>
    </row>
    <row r="414" spans="1:34" ht="45" customHeight="1">
      <c r="A414" s="293">
        <f t="shared" si="14"/>
        <v>407</v>
      </c>
      <c r="B414" s="5" t="s">
        <v>1516</v>
      </c>
      <c r="C414" s="296" t="s">
        <v>1635</v>
      </c>
      <c r="D414" s="56">
        <f>IF(F414="","",SUBTOTAL(3,$F$6:F414))</f>
        <v>408</v>
      </c>
      <c r="E414" s="34" t="s">
        <v>98</v>
      </c>
      <c r="F414" s="107" t="s">
        <v>1728</v>
      </c>
      <c r="G414" s="40" t="s">
        <v>661</v>
      </c>
      <c r="H414" s="83">
        <f>IF($G414&lt;&gt;"",VLOOKUP($G414,'WPS '!C$5:M$209,3,FALSE),"")</f>
        <v>136</v>
      </c>
      <c r="I414" s="22" t="s">
        <v>1250</v>
      </c>
      <c r="J414" s="22" t="s">
        <v>242</v>
      </c>
      <c r="K414" s="69" t="s">
        <v>884</v>
      </c>
      <c r="L414" s="22" t="str">
        <f>IF($G414&lt;&gt;"",VLOOKUP($G414,'WPS '!C$5:M$209,8,FALSE),"")</f>
        <v>E71T-1C</v>
      </c>
      <c r="M414" s="76" t="s">
        <v>99</v>
      </c>
      <c r="N414" s="21">
        <v>45826</v>
      </c>
      <c r="O414" s="21">
        <v>45828</v>
      </c>
      <c r="P414" s="21">
        <f t="shared" si="13"/>
        <v>46193</v>
      </c>
      <c r="Q414" s="164" t="s">
        <v>1811</v>
      </c>
      <c r="R414" s="147" t="str">
        <f>IF($G414&lt;&gt;"",VLOOKUP($G414,'WPS '!$C$5:$M$209,2,FALSE),"")</f>
        <v>OSR-WPS-ISO-PC+PF-005</v>
      </c>
      <c r="S414" s="30"/>
      <c r="T414" s="30"/>
      <c r="U414" s="30"/>
      <c r="V414" s="30"/>
      <c r="W414" s="30"/>
      <c r="X414" s="30"/>
      <c r="Y414" s="30"/>
      <c r="Z414" s="30"/>
      <c r="AA414" s="30"/>
      <c r="AB414" s="30"/>
      <c r="AC414" s="30"/>
      <c r="AD414" s="30"/>
      <c r="AE414" s="54"/>
      <c r="AF414" s="54"/>
      <c r="AG414" s="66">
        <v>2</v>
      </c>
      <c r="AH414" s="115"/>
    </row>
    <row r="415" spans="1:34" ht="45" customHeight="1">
      <c r="A415" s="293">
        <f t="shared" si="14"/>
        <v>408</v>
      </c>
      <c r="B415" s="5" t="s">
        <v>1516</v>
      </c>
      <c r="C415" s="296" t="s">
        <v>1635</v>
      </c>
      <c r="D415" s="56">
        <f>IF(F415="","",SUBTOTAL(3,$F$6:F415))</f>
        <v>409</v>
      </c>
      <c r="E415" s="34" t="s">
        <v>98</v>
      </c>
      <c r="F415" s="107" t="s">
        <v>1728</v>
      </c>
      <c r="G415" s="40" t="s">
        <v>673</v>
      </c>
      <c r="H415" s="83" t="str">
        <f>IF($G415&lt;&gt;"",VLOOKUP($G415,'WPS '!C$5:M$209,3,FALSE),"")</f>
        <v>141
136</v>
      </c>
      <c r="I415" s="22" t="s">
        <v>936</v>
      </c>
      <c r="J415" s="22" t="s">
        <v>252</v>
      </c>
      <c r="K415" s="69" t="s">
        <v>922</v>
      </c>
      <c r="L415" s="22" t="str">
        <f>IF($G415&lt;&gt;"",VLOOKUP($G415,'WPS '!C$5:M$209,8,FALSE),"")</f>
        <v>ER70S-G  E71T-1C</v>
      </c>
      <c r="M415" s="76" t="s">
        <v>866</v>
      </c>
      <c r="N415" s="21">
        <v>45871</v>
      </c>
      <c r="O415" s="21">
        <v>45875</v>
      </c>
      <c r="P415" s="21">
        <f t="shared" si="13"/>
        <v>46240</v>
      </c>
      <c r="Q415" s="164" t="s">
        <v>1811</v>
      </c>
      <c r="R415" s="147" t="str">
        <f>IF($G415&lt;&gt;"",VLOOKUP($G415,'WPS '!$C$5:$M$209,2,FALSE),"")</f>
        <v>OSR-WPS-ISO-PC-017</v>
      </c>
      <c r="S415" s="30"/>
      <c r="T415" s="30"/>
      <c r="U415" s="30"/>
      <c r="V415" s="30"/>
      <c r="W415" s="30"/>
      <c r="X415" s="30"/>
      <c r="Y415" s="30"/>
      <c r="Z415" s="30"/>
      <c r="AA415" s="30"/>
      <c r="AB415" s="30"/>
      <c r="AC415" s="30"/>
      <c r="AD415" s="30"/>
      <c r="AE415" s="54"/>
      <c r="AF415" s="54"/>
      <c r="AG415" s="66">
        <v>2</v>
      </c>
      <c r="AH415" s="115"/>
    </row>
    <row r="416" spans="1:34" ht="45" customHeight="1">
      <c r="A416" s="293">
        <f t="shared" si="14"/>
        <v>409</v>
      </c>
      <c r="B416" s="5" t="s">
        <v>1516</v>
      </c>
      <c r="C416" s="296" t="s">
        <v>1635</v>
      </c>
      <c r="D416" s="56">
        <f>IF(F416="","",SUBTOTAL(3,$F$6:F416))</f>
        <v>410</v>
      </c>
      <c r="E416" s="34" t="s">
        <v>98</v>
      </c>
      <c r="F416" s="107" t="s">
        <v>1728</v>
      </c>
      <c r="G416" s="40" t="s">
        <v>675</v>
      </c>
      <c r="H416" s="83">
        <f>IF($G416&lt;&gt;"",VLOOKUP($G416,'WPS '!C$5:M$209,3,FALSE),"")</f>
        <v>136</v>
      </c>
      <c r="I416" s="22" t="s">
        <v>1251</v>
      </c>
      <c r="J416" s="22" t="s">
        <v>253</v>
      </c>
      <c r="K416" s="69" t="s">
        <v>884</v>
      </c>
      <c r="L416" s="22" t="str">
        <f>IF($G416&lt;&gt;"",VLOOKUP($G416,'WPS '!C$5:M$209,8,FALSE),"")</f>
        <v>E71T-1C</v>
      </c>
      <c r="M416" s="76" t="s">
        <v>863</v>
      </c>
      <c r="N416" s="21">
        <v>45871</v>
      </c>
      <c r="O416" s="21">
        <v>45874</v>
      </c>
      <c r="P416" s="21">
        <f t="shared" si="13"/>
        <v>46239</v>
      </c>
      <c r="Q416" s="164" t="s">
        <v>1811</v>
      </c>
      <c r="R416" s="147" t="str">
        <f>IF($G416&lt;&gt;"",VLOOKUP($G416,'WPS '!$C$5:$M$209,2,FALSE),"")</f>
        <v>OSR-WPS-ISO-PE-020</v>
      </c>
      <c r="S416" s="30"/>
      <c r="T416" s="30"/>
      <c r="U416" s="30"/>
      <c r="V416" s="30"/>
      <c r="W416" s="30"/>
      <c r="X416" s="30"/>
      <c r="Y416" s="30"/>
      <c r="Z416" s="30"/>
      <c r="AA416" s="30"/>
      <c r="AB416" s="30"/>
      <c r="AC416" s="30"/>
      <c r="AD416" s="30"/>
      <c r="AE416" s="54"/>
      <c r="AF416" s="54"/>
      <c r="AG416" s="66">
        <v>2</v>
      </c>
      <c r="AH416" s="115"/>
    </row>
    <row r="417" spans="1:34" ht="45" customHeight="1">
      <c r="A417" s="293">
        <f t="shared" si="14"/>
        <v>410</v>
      </c>
      <c r="B417" s="5" t="s">
        <v>1516</v>
      </c>
      <c r="C417" s="296" t="s">
        <v>1635</v>
      </c>
      <c r="D417" s="56">
        <f>IF(F417="","",SUBTOTAL(3,$F$6:F417))</f>
        <v>411</v>
      </c>
      <c r="E417" s="34" t="s">
        <v>98</v>
      </c>
      <c r="F417" s="107" t="s">
        <v>1728</v>
      </c>
      <c r="G417" s="40" t="s">
        <v>675</v>
      </c>
      <c r="H417" s="83">
        <f>IF($G417&lt;&gt;"",VLOOKUP($G417,'WPS '!C$5:M$209,3,FALSE),"")</f>
        <v>136</v>
      </c>
      <c r="I417" s="22" t="s">
        <v>1251</v>
      </c>
      <c r="J417" s="22" t="s">
        <v>255</v>
      </c>
      <c r="K417" s="69" t="s">
        <v>884</v>
      </c>
      <c r="L417" s="22" t="str">
        <f>IF($G417&lt;&gt;"",VLOOKUP($G417,'WPS '!C$5:M$209,8,FALSE),"")</f>
        <v>E71T-1C</v>
      </c>
      <c r="M417" s="76" t="s">
        <v>864</v>
      </c>
      <c r="N417" s="21">
        <v>45871</v>
      </c>
      <c r="O417" s="21">
        <v>45874</v>
      </c>
      <c r="P417" s="21">
        <f t="shared" si="13"/>
        <v>46239</v>
      </c>
      <c r="Q417" s="164" t="s">
        <v>1811</v>
      </c>
      <c r="R417" s="147" t="str">
        <f>IF($G417&lt;&gt;"",VLOOKUP($G417,'WPS '!$C$5:$M$209,2,FALSE),"")</f>
        <v>OSR-WPS-ISO-PE-020</v>
      </c>
      <c r="S417" s="30"/>
      <c r="T417" s="30"/>
      <c r="U417" s="30"/>
      <c r="V417" s="30"/>
      <c r="W417" s="30"/>
      <c r="X417" s="30"/>
      <c r="Y417" s="30"/>
      <c r="Z417" s="30"/>
      <c r="AA417" s="30"/>
      <c r="AB417" s="30"/>
      <c r="AC417" s="30"/>
      <c r="AD417" s="30"/>
      <c r="AE417" s="54"/>
      <c r="AF417" s="54"/>
      <c r="AG417" s="66">
        <v>2</v>
      </c>
      <c r="AH417" s="115"/>
    </row>
    <row r="418" spans="1:34" ht="45" customHeight="1">
      <c r="A418" s="293">
        <f t="shared" si="14"/>
        <v>411</v>
      </c>
      <c r="B418" s="5" t="s">
        <v>1516</v>
      </c>
      <c r="C418" s="296" t="s">
        <v>1635</v>
      </c>
      <c r="D418" s="56">
        <f>IF(F418="","",SUBTOTAL(3,$F$6:F418))</f>
        <v>412</v>
      </c>
      <c r="E418" s="34" t="s">
        <v>98</v>
      </c>
      <c r="F418" s="107" t="s">
        <v>1728</v>
      </c>
      <c r="G418" s="40" t="s">
        <v>691</v>
      </c>
      <c r="H418" s="83" t="str">
        <f>IF($G418&lt;&gt;"",VLOOKUP($G418,'WPS '!C$5:M$209,3,FALSE),"")</f>
        <v>141+136</v>
      </c>
      <c r="I418" s="22" t="s">
        <v>936</v>
      </c>
      <c r="J418" s="22" t="s">
        <v>252</v>
      </c>
      <c r="K418" s="69" t="s">
        <v>874</v>
      </c>
      <c r="L418" s="22" t="str">
        <f>IF($G418&lt;&gt;"",VLOOKUP($G418,'WPS '!C$5:M$209,8,FALSE),"")</f>
        <v>ER70S-G
E71T1-C1</v>
      </c>
      <c r="M418" s="76" t="s">
        <v>938</v>
      </c>
      <c r="N418" s="21">
        <v>45871</v>
      </c>
      <c r="O418" s="21">
        <v>45875</v>
      </c>
      <c r="P418" s="21">
        <f t="shared" si="13"/>
        <v>46240</v>
      </c>
      <c r="Q418" s="164" t="s">
        <v>1811</v>
      </c>
      <c r="R418" s="147" t="str">
        <f>IF($G418&lt;&gt;"",VLOOKUP($G418,'WPS '!$C$5:$M$209,2,FALSE),"")</f>
        <v>OSR-WPS-ISO-PA-036</v>
      </c>
      <c r="S418" s="30"/>
      <c r="T418" s="30"/>
      <c r="U418" s="30"/>
      <c r="V418" s="30"/>
      <c r="W418" s="30"/>
      <c r="X418" s="30" t="s">
        <v>95</v>
      </c>
      <c r="Y418" s="30"/>
      <c r="Z418" s="30"/>
      <c r="AA418" s="30"/>
      <c r="AB418" s="30"/>
      <c r="AC418" s="30"/>
      <c r="AD418" s="30"/>
      <c r="AE418" s="54"/>
      <c r="AF418" s="54"/>
      <c r="AG418" s="66">
        <v>2</v>
      </c>
      <c r="AH418" s="115"/>
    </row>
    <row r="419" spans="1:34" ht="45" customHeight="1">
      <c r="A419" s="293">
        <f t="shared" si="14"/>
        <v>412</v>
      </c>
      <c r="B419" s="5" t="s">
        <v>1516</v>
      </c>
      <c r="C419" s="296" t="s">
        <v>1635</v>
      </c>
      <c r="D419" s="56">
        <f>IF(F419="","",SUBTOTAL(3,$F$6:F419))</f>
        <v>413</v>
      </c>
      <c r="E419" s="34" t="s">
        <v>98</v>
      </c>
      <c r="F419" s="107" t="s">
        <v>1728</v>
      </c>
      <c r="G419" s="40" t="s">
        <v>700</v>
      </c>
      <c r="H419" s="83">
        <f>IF($G419&lt;&gt;"",VLOOKUP($G419,'WPS '!C$5:M$209,3,FALSE),"")</f>
        <v>136</v>
      </c>
      <c r="I419" s="22" t="s">
        <v>46</v>
      </c>
      <c r="J419" s="22" t="s">
        <v>242</v>
      </c>
      <c r="K419" s="69" t="s">
        <v>884</v>
      </c>
      <c r="L419" s="22" t="str">
        <f>IF($G419&lt;&gt;"",VLOOKUP($G419,'WPS '!C$5:M$209,8,FALSE),"")</f>
        <v>E81T1-W2C</v>
      </c>
      <c r="M419" s="76" t="s">
        <v>150</v>
      </c>
      <c r="N419" s="21">
        <v>45724</v>
      </c>
      <c r="O419" s="21">
        <v>45731</v>
      </c>
      <c r="P419" s="21">
        <f t="shared" si="13"/>
        <v>46096</v>
      </c>
      <c r="Q419" s="164" t="s">
        <v>1811</v>
      </c>
      <c r="R419" s="147" t="str">
        <f>IF($G419&lt;&gt;"",VLOOKUP($G419,'WPS '!$C$5:$M$209,2,FALSE),"")</f>
        <v>OSR-WPS-ISO-PF-045</v>
      </c>
      <c r="S419" s="30"/>
      <c r="T419" s="30"/>
      <c r="U419" s="30"/>
      <c r="V419" s="30"/>
      <c r="W419" s="30"/>
      <c r="X419" s="30" t="s">
        <v>95</v>
      </c>
      <c r="Y419" s="30"/>
      <c r="Z419" s="30"/>
      <c r="AA419" s="30"/>
      <c r="AB419" s="30"/>
      <c r="AC419" s="30"/>
      <c r="AD419" s="30"/>
      <c r="AE419" s="54"/>
      <c r="AF419" s="54"/>
      <c r="AG419" s="66">
        <v>2</v>
      </c>
      <c r="AH419" s="115"/>
    </row>
    <row r="420" spans="1:34" ht="45" customHeight="1">
      <c r="A420" s="293">
        <f t="shared" si="14"/>
        <v>413</v>
      </c>
      <c r="B420" s="5" t="s">
        <v>1516</v>
      </c>
      <c r="C420" s="296" t="s">
        <v>1635</v>
      </c>
      <c r="D420" s="56">
        <f>IF(F420="","",SUBTOTAL(3,$F$6:F420))</f>
        <v>414</v>
      </c>
      <c r="E420" s="34" t="s">
        <v>98</v>
      </c>
      <c r="F420" s="107" t="s">
        <v>1728</v>
      </c>
      <c r="G420" s="40" t="s">
        <v>709</v>
      </c>
      <c r="H420" s="83">
        <f>IF($G420&lt;&gt;"",VLOOKUP($G420,'WPS '!C$5:M$209,3,FALSE),"")</f>
        <v>136</v>
      </c>
      <c r="I420" s="22" t="s">
        <v>217</v>
      </c>
      <c r="J420" s="22" t="s">
        <v>255</v>
      </c>
      <c r="K420" s="69" t="s">
        <v>884</v>
      </c>
      <c r="L420" s="22" t="str">
        <f>IF($G420&lt;&gt;"",VLOOKUP($G420,'WPS '!C$5:M$209,8,FALSE),"")</f>
        <v>E309LT1-1/-4</v>
      </c>
      <c r="M420" s="76" t="s">
        <v>867</v>
      </c>
      <c r="N420" s="21">
        <v>45871</v>
      </c>
      <c r="O420" s="21">
        <v>45874</v>
      </c>
      <c r="P420" s="21">
        <f t="shared" si="13"/>
        <v>46239</v>
      </c>
      <c r="Q420" s="164" t="s">
        <v>1811</v>
      </c>
      <c r="R420" s="147" t="str">
        <f>IF($G420&lt;&gt;"",VLOOKUP($G420,'WPS '!$C$5:$M$209,2,FALSE),"")</f>
        <v>OSR-WPS-ISO-PF-054</v>
      </c>
      <c r="S420" s="30"/>
      <c r="T420" s="30"/>
      <c r="U420" s="30"/>
      <c r="V420" s="30"/>
      <c r="W420" s="30"/>
      <c r="X420" s="30"/>
      <c r="Y420" s="30"/>
      <c r="Z420" s="30"/>
      <c r="AA420" s="30"/>
      <c r="AB420" s="30"/>
      <c r="AC420" s="30"/>
      <c r="AD420" s="30"/>
      <c r="AE420" s="54"/>
      <c r="AF420" s="54"/>
      <c r="AG420" s="66">
        <v>2</v>
      </c>
      <c r="AH420" s="115"/>
    </row>
    <row r="421" spans="1:34" ht="45" customHeight="1">
      <c r="A421" s="293">
        <f t="shared" si="14"/>
        <v>414</v>
      </c>
      <c r="B421" s="5" t="s">
        <v>1516</v>
      </c>
      <c r="C421" s="296" t="s">
        <v>1635</v>
      </c>
      <c r="D421" s="56">
        <f>IF(F421="","",SUBTOTAL(3,$F$6:F421))</f>
        <v>415</v>
      </c>
      <c r="E421" s="34" t="s">
        <v>98</v>
      </c>
      <c r="F421" s="107" t="s">
        <v>1728</v>
      </c>
      <c r="G421" s="40" t="s">
        <v>710</v>
      </c>
      <c r="H421" s="83">
        <f>IF($G421&lt;&gt;"",VLOOKUP($G421,'WPS '!C$5:M$209,3,FALSE),"")</f>
        <v>136</v>
      </c>
      <c r="I421" s="22" t="s">
        <v>46</v>
      </c>
      <c r="J421" s="22" t="s">
        <v>242</v>
      </c>
      <c r="K421" s="69" t="s">
        <v>884</v>
      </c>
      <c r="L421" s="22" t="str">
        <f>IF($G421&lt;&gt;"",VLOOKUP($G421,'WPS '!C$5:M$209,8,FALSE),"")</f>
        <v>E316LT1-1/-4</v>
      </c>
      <c r="M421" s="76" t="s">
        <v>100</v>
      </c>
      <c r="N421" s="21">
        <v>45826</v>
      </c>
      <c r="O421" s="21">
        <v>45829</v>
      </c>
      <c r="P421" s="21">
        <f t="shared" si="13"/>
        <v>46194</v>
      </c>
      <c r="Q421" s="164" t="s">
        <v>1811</v>
      </c>
      <c r="R421" s="147" t="str">
        <f>IF($G421&lt;&gt;"",VLOOKUP($G421,'WPS '!$C$5:$M$209,2,FALSE),"")</f>
        <v>OSR-WPS-ISO-PF-055</v>
      </c>
      <c r="S421" s="30"/>
      <c r="T421" s="30"/>
      <c r="U421" s="30"/>
      <c r="V421" s="30"/>
      <c r="W421" s="30"/>
      <c r="X421" s="30"/>
      <c r="Y421" s="30"/>
      <c r="Z421" s="30"/>
      <c r="AA421" s="30"/>
      <c r="AB421" s="30"/>
      <c r="AC421" s="30"/>
      <c r="AD421" s="30"/>
      <c r="AE421" s="54"/>
      <c r="AF421" s="54"/>
      <c r="AG421" s="66">
        <v>2</v>
      </c>
      <c r="AH421" s="115"/>
    </row>
    <row r="422" spans="1:34" ht="45" customHeight="1">
      <c r="A422" s="293">
        <f t="shared" si="14"/>
        <v>415</v>
      </c>
      <c r="B422" s="5" t="s">
        <v>1516</v>
      </c>
      <c r="C422" s="296" t="s">
        <v>1635</v>
      </c>
      <c r="D422" s="56">
        <f>IF(F422="","",SUBTOTAL(3,$F$6:F422))</f>
        <v>416</v>
      </c>
      <c r="E422" s="34" t="s">
        <v>98</v>
      </c>
      <c r="F422" s="107" t="s">
        <v>1728</v>
      </c>
      <c r="G422" s="40" t="s">
        <v>868</v>
      </c>
      <c r="H422" s="83">
        <f>IF($G422&lt;&gt;"",VLOOKUP($G422,'WPS '!C$5:M$209,3,FALSE),"")</f>
        <v>136</v>
      </c>
      <c r="I422" s="22" t="s">
        <v>943</v>
      </c>
      <c r="J422" s="22" t="s">
        <v>243</v>
      </c>
      <c r="K422" s="69" t="s">
        <v>869</v>
      </c>
      <c r="L422" s="22" t="str">
        <f>IF($G422&lt;&gt;"",VLOOKUP($G422,'WPS '!C$5:M$209,8,FALSE),"")</f>
        <v>E71T-1C</v>
      </c>
      <c r="M422" s="76" t="s">
        <v>870</v>
      </c>
      <c r="N422" s="21">
        <v>45874</v>
      </c>
      <c r="O422" s="21">
        <v>45877</v>
      </c>
      <c r="P422" s="21">
        <f t="shared" si="13"/>
        <v>46242</v>
      </c>
      <c r="Q422" s="164" t="s">
        <v>1811</v>
      </c>
      <c r="R422" s="147" t="str">
        <f>IF($G422&lt;&gt;"",VLOOKUP($G422,'WPS '!$C$5:$M$209,2,FALSE),"")</f>
        <v>OSR-WPS-ISO-PB-064</v>
      </c>
      <c r="S422" s="30"/>
      <c r="T422" s="30"/>
      <c r="U422" s="30"/>
      <c r="V422" s="30"/>
      <c r="W422" s="30"/>
      <c r="X422" s="30"/>
      <c r="Y422" s="30" t="s">
        <v>356</v>
      </c>
      <c r="Z422" s="30"/>
      <c r="AA422" s="30"/>
      <c r="AB422" s="30"/>
      <c r="AC422" s="30"/>
      <c r="AD422" s="30"/>
      <c r="AE422" s="54"/>
      <c r="AF422" s="54"/>
      <c r="AG422" s="66">
        <v>2</v>
      </c>
      <c r="AH422" s="115"/>
    </row>
    <row r="423" spans="1:34" ht="45" customHeight="1">
      <c r="A423" s="293">
        <f t="shared" si="14"/>
        <v>416</v>
      </c>
      <c r="B423" s="5" t="s">
        <v>1516</v>
      </c>
      <c r="C423" s="295" t="s">
        <v>1635</v>
      </c>
      <c r="D423" s="56">
        <f>IF(F423="","",SUBTOTAL(3,$F$6:F423))</f>
        <v>417</v>
      </c>
      <c r="E423" s="34" t="s">
        <v>98</v>
      </c>
      <c r="F423" s="107" t="s">
        <v>1728</v>
      </c>
      <c r="G423" s="39" t="s">
        <v>719</v>
      </c>
      <c r="H423" s="83" t="str">
        <f>IF($G423&lt;&gt;"",VLOOKUP($G423,'WPS '!C$5:M$209,3,FALSE),"")</f>
        <v>FCAW</v>
      </c>
      <c r="I423" s="22" t="s">
        <v>850</v>
      </c>
      <c r="J423" s="22" t="s">
        <v>107</v>
      </c>
      <c r="K423" s="69" t="s">
        <v>964</v>
      </c>
      <c r="L423" s="22" t="str">
        <f>IF($G423&lt;&gt;"",VLOOKUP($G423,'WPS '!C$5:M$209,8,FALSE),"")</f>
        <v>E71T-1C</v>
      </c>
      <c r="M423" s="76" t="s">
        <v>305</v>
      </c>
      <c r="N423" s="21">
        <v>45734</v>
      </c>
      <c r="O423" s="21">
        <v>45736</v>
      </c>
      <c r="P423" s="21">
        <f t="shared" si="13"/>
        <v>46101</v>
      </c>
      <c r="Q423" s="164" t="str">
        <f>IF($G423&lt;&gt;"",VLOOKUP($G423,'WPS '!C$5:M$209,11,FALSE),"")</f>
        <v>ASME IX</v>
      </c>
      <c r="R423" s="147" t="str">
        <f>IF($G423&lt;&gt;"",VLOOKUP($G423,'WPS '!$C$5:$M$209,2,FALSE),"")</f>
        <v>OSR-WPS-ASME-FC-002</v>
      </c>
      <c r="S423" s="30"/>
      <c r="T423" s="30"/>
      <c r="U423" s="30"/>
      <c r="V423" s="30"/>
      <c r="W423" s="62"/>
      <c r="X423" s="30"/>
      <c r="Y423" s="148"/>
      <c r="Z423" s="148"/>
      <c r="AA423" s="148"/>
      <c r="AB423" s="62"/>
      <c r="AC423" s="62"/>
      <c r="AD423" s="62"/>
      <c r="AE423" s="146"/>
      <c r="AF423" s="146"/>
      <c r="AG423" s="66">
        <v>2</v>
      </c>
      <c r="AH423" s="18"/>
    </row>
    <row r="424" spans="1:34" ht="45" customHeight="1">
      <c r="A424" s="293">
        <f t="shared" si="14"/>
        <v>417</v>
      </c>
      <c r="B424" s="5" t="s">
        <v>1516</v>
      </c>
      <c r="C424" s="296" t="s">
        <v>1635</v>
      </c>
      <c r="D424" s="56">
        <f>IF(F424="","",SUBTOTAL(3,$F$6:F424))</f>
        <v>418</v>
      </c>
      <c r="E424" s="37" t="s">
        <v>98</v>
      </c>
      <c r="F424" s="109" t="s">
        <v>1728</v>
      </c>
      <c r="G424" s="40" t="s">
        <v>735</v>
      </c>
      <c r="H424" s="83" t="str">
        <f>IF($G424&lt;&gt;"",VLOOKUP($G424,'WPS '!C$5:M$209,3,FALSE),"")</f>
        <v>FCAW</v>
      </c>
      <c r="I424" s="22" t="s">
        <v>1398</v>
      </c>
      <c r="J424" s="77" t="s">
        <v>1215</v>
      </c>
      <c r="K424" s="69" t="s">
        <v>1366</v>
      </c>
      <c r="L424" s="22" t="str">
        <f>IF($G424&lt;&gt;"",VLOOKUP($G424,'WPS '!C$5:M$209,8,FALSE),"")</f>
        <v>E71T-1C</v>
      </c>
      <c r="M424" s="76" t="s">
        <v>1463</v>
      </c>
      <c r="N424" s="21">
        <v>45907</v>
      </c>
      <c r="O424" s="21">
        <v>45910</v>
      </c>
      <c r="P424" s="23">
        <f t="shared" si="13"/>
        <v>46275</v>
      </c>
      <c r="Q424" s="164" t="str">
        <f>IF($G424&lt;&gt;"",VLOOKUP($G424,'WPS '!C$5:M$209,11,FALSE),"")</f>
        <v>AWS D1.1</v>
      </c>
      <c r="R424" s="147" t="str">
        <f>IF($G424&lt;&gt;"",VLOOKUP($G424,'WPS '!$C$5:$M$209,2,FALSE),"")</f>
        <v>OSR-WPS-D1.1-FC-007</v>
      </c>
      <c r="S424" s="30"/>
      <c r="T424" s="30"/>
      <c r="U424" s="30"/>
      <c r="V424" s="30"/>
      <c r="W424" s="30"/>
      <c r="X424" s="30"/>
      <c r="Y424" s="30"/>
      <c r="Z424" s="30"/>
      <c r="AA424" s="30"/>
      <c r="AB424" s="30"/>
      <c r="AC424" s="30" t="s">
        <v>356</v>
      </c>
      <c r="AD424" s="30" t="s">
        <v>356</v>
      </c>
      <c r="AE424" s="54"/>
      <c r="AF424" s="54"/>
      <c r="AG424" s="153">
        <v>2</v>
      </c>
    </row>
    <row r="425" spans="1:34" ht="45" customHeight="1">
      <c r="A425" s="293">
        <f t="shared" si="14"/>
        <v>418</v>
      </c>
      <c r="B425" s="5" t="s">
        <v>1516</v>
      </c>
      <c r="C425" s="296" t="s">
        <v>1635</v>
      </c>
      <c r="D425" s="56">
        <f>IF(F425="","",SUBTOTAL(3,$F$6:F425))</f>
        <v>419</v>
      </c>
      <c r="E425" s="37" t="s">
        <v>98</v>
      </c>
      <c r="F425" s="109" t="s">
        <v>1728</v>
      </c>
      <c r="G425" s="40" t="s">
        <v>812</v>
      </c>
      <c r="H425" s="83" t="str">
        <f>IF($G425&lt;&gt;"",VLOOKUP($G425,'WPS '!C$5:M$209,3,FALSE),"")</f>
        <v>FCAW</v>
      </c>
      <c r="I425" s="22" t="s">
        <v>1384</v>
      </c>
      <c r="J425" s="77" t="s">
        <v>1390</v>
      </c>
      <c r="K425" s="69" t="s">
        <v>1490</v>
      </c>
      <c r="L425" s="22" t="str">
        <f>IF($G425&lt;&gt;"",VLOOKUP($G425,'WPS '!C$5:M$209,8,FALSE),"")</f>
        <v>E71T-1C</v>
      </c>
      <c r="M425" s="76" t="s">
        <v>1464</v>
      </c>
      <c r="N425" s="21">
        <v>45854</v>
      </c>
      <c r="O425" s="21">
        <v>45856</v>
      </c>
      <c r="P425" s="21">
        <f t="shared" si="13"/>
        <v>46221</v>
      </c>
      <c r="Q425" s="164" t="str">
        <f>IF($G425&lt;&gt;"",VLOOKUP($G425,'WPS '!C$5:M$209,11,FALSE),"")</f>
        <v>AWS D1.1</v>
      </c>
      <c r="R425" s="147" t="str">
        <f>IF($G425&lt;&gt;"",VLOOKUP($G425,'WPS '!$C$5:$M$209,2,FALSE),"")</f>
        <v>OSR-WPS-D1.1-FC-084</v>
      </c>
      <c r="S425" s="30"/>
      <c r="T425" s="30"/>
      <c r="U425" s="30"/>
      <c r="V425" s="30"/>
      <c r="W425" s="30"/>
      <c r="X425" s="30"/>
      <c r="Y425" s="30"/>
      <c r="Z425" s="30"/>
      <c r="AA425" s="30"/>
      <c r="AB425" s="30"/>
      <c r="AC425" s="30" t="s">
        <v>356</v>
      </c>
      <c r="AD425" s="30" t="s">
        <v>356</v>
      </c>
      <c r="AE425" s="54"/>
      <c r="AF425" s="54" t="s">
        <v>356</v>
      </c>
      <c r="AG425" s="153">
        <v>2</v>
      </c>
    </row>
    <row r="426" spans="1:34" s="206" customFormat="1" ht="45" customHeight="1">
      <c r="A426" s="293">
        <f t="shared" si="14"/>
        <v>419</v>
      </c>
      <c r="B426" s="197" t="s">
        <v>1516</v>
      </c>
      <c r="C426" s="299" t="s">
        <v>1635</v>
      </c>
      <c r="D426" s="198">
        <f>IF(F426="","",SUBTOTAL(3,$F$6:F426))</f>
        <v>420</v>
      </c>
      <c r="E426" s="200" t="s">
        <v>98</v>
      </c>
      <c r="F426" s="199" t="s">
        <v>1728</v>
      </c>
      <c r="G426" s="181" t="s">
        <v>1160</v>
      </c>
      <c r="H426" s="182" t="str">
        <f>IF($G426&lt;&gt;"",VLOOKUP($G426,'WPS '!C$5:M$209,3,FALSE),"")</f>
        <v>FCAW</v>
      </c>
      <c r="I426" s="183" t="s">
        <v>1605</v>
      </c>
      <c r="J426" s="201" t="s">
        <v>1215</v>
      </c>
      <c r="K426" s="184" t="s">
        <v>1402</v>
      </c>
      <c r="L426" s="183" t="str">
        <f>IF($G426&lt;&gt;"",VLOOKUP($G426,'WPS '!C$5:M$209,8,FALSE),"")</f>
        <v>E309LT1-1/-4</v>
      </c>
      <c r="M426" s="185" t="s">
        <v>1475</v>
      </c>
      <c r="N426" s="186">
        <v>45906</v>
      </c>
      <c r="O426" s="186">
        <v>45910</v>
      </c>
      <c r="P426" s="186">
        <f t="shared" si="13"/>
        <v>46275</v>
      </c>
      <c r="Q426" s="187" t="str">
        <f>IF($G426&lt;&gt;"",VLOOKUP($G426,'WPS '!C$5:M$209,11,FALSE),"")</f>
        <v>AWS D1.6</v>
      </c>
      <c r="R426" s="202" t="str">
        <f>IF($G426&lt;&gt;"",VLOOKUP($G426,'WPS '!$C$5:$M$209,2,FALSE),"")</f>
        <v>OSR-WPS-D1.6-FC-096</v>
      </c>
      <c r="S426" s="30"/>
      <c r="T426" s="30"/>
      <c r="U426" s="30"/>
      <c r="V426" s="30"/>
      <c r="W426" s="30"/>
      <c r="X426" s="30"/>
      <c r="Y426" s="30"/>
      <c r="Z426" s="30"/>
      <c r="AA426" s="30"/>
      <c r="AB426" s="30"/>
      <c r="AC426" s="30" t="s">
        <v>356</v>
      </c>
      <c r="AD426" s="30" t="s">
        <v>356</v>
      </c>
      <c r="AE426" s="54"/>
      <c r="AF426" s="203" t="s">
        <v>356</v>
      </c>
      <c r="AG426" s="204">
        <v>2</v>
      </c>
      <c r="AH426" s="205"/>
    </row>
    <row r="427" spans="1:34" ht="45" customHeight="1">
      <c r="A427" s="293">
        <f t="shared" si="14"/>
        <v>420</v>
      </c>
      <c r="B427" s="5" t="s">
        <v>1516</v>
      </c>
      <c r="C427" s="296" t="s">
        <v>1635</v>
      </c>
      <c r="D427" s="56">
        <f>IF(F427="","",SUBTOTAL(3,$F$6:F427))</f>
        <v>421</v>
      </c>
      <c r="E427" s="37" t="s">
        <v>98</v>
      </c>
      <c r="F427" s="109" t="s">
        <v>1728</v>
      </c>
      <c r="G427" s="40" t="s">
        <v>1171</v>
      </c>
      <c r="H427" s="83" t="str">
        <f>IF($G427&lt;&gt;"",VLOOKUP($G427,'WPS '!C$5:M$209,3,FALSE),"")</f>
        <v>FCAW</v>
      </c>
      <c r="I427" s="22" t="s">
        <v>1398</v>
      </c>
      <c r="J427" s="77" t="s">
        <v>1215</v>
      </c>
      <c r="K427" s="69" t="s">
        <v>1292</v>
      </c>
      <c r="L427" s="22" t="str">
        <f>IF($G427&lt;&gt;"",VLOOKUP($G427,'WPS '!C$5:M$209,8,FALSE),"")</f>
        <v>E71T-1C</v>
      </c>
      <c r="M427" s="76" t="s">
        <v>1465</v>
      </c>
      <c r="N427" s="21">
        <v>45906</v>
      </c>
      <c r="O427" s="21">
        <v>45910</v>
      </c>
      <c r="P427" s="21">
        <f t="shared" si="13"/>
        <v>46275</v>
      </c>
      <c r="Q427" s="164" t="str">
        <f>IF($G427&lt;&gt;"",VLOOKUP($G427,'WPS '!C$5:M$209,11,FALSE),"")</f>
        <v>AWS D1.1</v>
      </c>
      <c r="R427" s="147" t="str">
        <f>IF($G427&lt;&gt;"",VLOOKUP($G427,'WPS '!$C$5:$M$209,2,FALSE),"")</f>
        <v>OSR-WPS-D1.1-FC-099</v>
      </c>
      <c r="S427" s="30"/>
      <c r="T427" s="30"/>
      <c r="U427" s="30"/>
      <c r="V427" s="30"/>
      <c r="W427" s="30"/>
      <c r="X427" s="30"/>
      <c r="Y427" s="30"/>
      <c r="Z427" s="30"/>
      <c r="AA427" s="30"/>
      <c r="AB427" s="30"/>
      <c r="AC427" s="30" t="s">
        <v>356</v>
      </c>
      <c r="AD427" s="30" t="s">
        <v>356</v>
      </c>
      <c r="AE427" s="54"/>
      <c r="AF427" s="54"/>
      <c r="AG427" s="153">
        <v>2</v>
      </c>
    </row>
    <row r="428" spans="1:34" ht="45" customHeight="1">
      <c r="A428" s="293">
        <f t="shared" si="14"/>
        <v>421</v>
      </c>
      <c r="B428" s="5" t="s">
        <v>1516</v>
      </c>
      <c r="C428" s="296" t="s">
        <v>1635</v>
      </c>
      <c r="D428" s="56">
        <f>IF(F428="","",SUBTOTAL(3,$F$6:F428))</f>
        <v>422</v>
      </c>
      <c r="E428" s="37" t="s">
        <v>98</v>
      </c>
      <c r="F428" s="109" t="s">
        <v>1728</v>
      </c>
      <c r="G428" s="40" t="s">
        <v>1367</v>
      </c>
      <c r="H428" s="83" t="str">
        <f>IF($G428&lt;&gt;"",VLOOKUP($G428,'WPS '!C$5:M$209,3,FALSE),"")</f>
        <v>FCAW</v>
      </c>
      <c r="I428" s="22" t="s">
        <v>1403</v>
      </c>
      <c r="J428" s="77" t="s">
        <v>1407</v>
      </c>
      <c r="K428" s="69" t="s">
        <v>1408</v>
      </c>
      <c r="L428" s="22" t="str">
        <f>IF($G428&lt;&gt;"",VLOOKUP($G428,'WPS '!C$5:M$209,8,FALSE),"")</f>
        <v>E71T-1C</v>
      </c>
      <c r="M428" s="76" t="s">
        <v>1466</v>
      </c>
      <c r="N428" s="21">
        <v>45904</v>
      </c>
      <c r="O428" s="21">
        <v>45906</v>
      </c>
      <c r="P428" s="21">
        <f t="shared" si="13"/>
        <v>46271</v>
      </c>
      <c r="Q428" s="164" t="str">
        <f>IF($G428&lt;&gt;"",VLOOKUP($G428,'WPS '!C$5:M$209,11,FALSE),"")</f>
        <v>AWS D1.1</v>
      </c>
      <c r="R428" s="147" t="str">
        <f>IF($G428&lt;&gt;"",VLOOKUP($G428,'WPS '!$C$5:$M$209,2,FALSE),"")</f>
        <v>OSR-WPS-D1.1-FC-101</v>
      </c>
      <c r="S428" s="30"/>
      <c r="T428" s="30"/>
      <c r="U428" s="30"/>
      <c r="V428" s="30"/>
      <c r="W428" s="30"/>
      <c r="X428" s="30"/>
      <c r="Y428" s="30"/>
      <c r="Z428" s="30"/>
      <c r="AA428" s="30"/>
      <c r="AB428" s="30"/>
      <c r="AC428" s="30" t="s">
        <v>356</v>
      </c>
      <c r="AD428" s="30" t="s">
        <v>356</v>
      </c>
      <c r="AE428" s="54"/>
      <c r="AF428" s="54"/>
      <c r="AG428" s="153">
        <v>2</v>
      </c>
    </row>
    <row r="429" spans="1:34" ht="45" customHeight="1">
      <c r="A429" s="293">
        <f t="shared" si="14"/>
        <v>422</v>
      </c>
      <c r="B429" s="5" t="s">
        <v>1516</v>
      </c>
      <c r="C429" s="296" t="s">
        <v>1635</v>
      </c>
      <c r="D429" s="56">
        <f>IF(F429="","",SUBTOTAL(3,$F$6:F429))</f>
        <v>423</v>
      </c>
      <c r="E429" s="37" t="s">
        <v>98</v>
      </c>
      <c r="F429" s="109" t="s">
        <v>1728</v>
      </c>
      <c r="G429" s="40" t="s">
        <v>1369</v>
      </c>
      <c r="H429" s="83" t="str">
        <f>IF($G429&lt;&gt;"",VLOOKUP($G429,'WPS '!C$5:M$209,3,FALSE),"")</f>
        <v>FCAW</v>
      </c>
      <c r="I429" s="22" t="s">
        <v>1403</v>
      </c>
      <c r="J429" s="77" t="s">
        <v>1407</v>
      </c>
      <c r="K429" s="69" t="s">
        <v>1408</v>
      </c>
      <c r="L429" s="22" t="str">
        <f>IF($G429&lt;&gt;"",VLOOKUP($G429,'WPS '!C$5:M$209,8,FALSE),"")</f>
        <v>E71T-1C</v>
      </c>
      <c r="M429" s="76" t="s">
        <v>1467</v>
      </c>
      <c r="N429" s="21">
        <v>45905</v>
      </c>
      <c r="O429" s="21">
        <v>45906</v>
      </c>
      <c r="P429" s="21">
        <f t="shared" si="13"/>
        <v>46271</v>
      </c>
      <c r="Q429" s="164" t="str">
        <f>IF($G429&lt;&gt;"",VLOOKUP($G429,'WPS '!C$5:M$209,11,FALSE),"")</f>
        <v>AWS D1.1</v>
      </c>
      <c r="R429" s="147" t="str">
        <f>IF($G429&lt;&gt;"",VLOOKUP($G429,'WPS '!$C$5:$M$209,2,FALSE),"")</f>
        <v>OSR-WPS-D1.1-FC-103</v>
      </c>
      <c r="S429" s="30"/>
      <c r="T429" s="30"/>
      <c r="U429" s="30"/>
      <c r="V429" s="30"/>
      <c r="W429" s="30"/>
      <c r="X429" s="30"/>
      <c r="Y429" s="30"/>
      <c r="Z429" s="30"/>
      <c r="AA429" s="30"/>
      <c r="AB429" s="30"/>
      <c r="AC429" s="30" t="s">
        <v>356</v>
      </c>
      <c r="AD429" s="30" t="s">
        <v>356</v>
      </c>
      <c r="AE429" s="54"/>
      <c r="AF429" s="54"/>
      <c r="AG429" s="153">
        <v>2</v>
      </c>
    </row>
    <row r="430" spans="1:34" ht="45" customHeight="1">
      <c r="A430" s="293">
        <f t="shared" si="14"/>
        <v>423</v>
      </c>
      <c r="B430" s="5" t="s">
        <v>1516</v>
      </c>
      <c r="C430" s="296" t="s">
        <v>1635</v>
      </c>
      <c r="D430" s="56">
        <f>IF(F430="","",SUBTOTAL(3,$F$6:F430))</f>
        <v>424</v>
      </c>
      <c r="E430" s="37" t="s">
        <v>98</v>
      </c>
      <c r="F430" s="109" t="s">
        <v>1728</v>
      </c>
      <c r="G430" s="40" t="s">
        <v>1225</v>
      </c>
      <c r="H430" s="83" t="str">
        <f>IF($G430&lt;&gt;"",VLOOKUP($G430,'WPS '!C$5:M$209,3,FALSE),"")</f>
        <v>FCAW</v>
      </c>
      <c r="I430" s="22" t="s">
        <v>1293</v>
      </c>
      <c r="J430" s="77" t="s">
        <v>1215</v>
      </c>
      <c r="K430" s="69" t="s">
        <v>1292</v>
      </c>
      <c r="L430" s="22" t="str">
        <f>IF($G430&lt;&gt;"",VLOOKUP($G430,'WPS '!C$5:M$209,8,FALSE),"")</f>
        <v>E71T-1C</v>
      </c>
      <c r="M430" s="76" t="s">
        <v>1468</v>
      </c>
      <c r="N430" s="21">
        <v>45906</v>
      </c>
      <c r="O430" s="21">
        <v>45910</v>
      </c>
      <c r="P430" s="21">
        <f t="shared" si="13"/>
        <v>46275</v>
      </c>
      <c r="Q430" s="164" t="str">
        <f>IF($G430&lt;&gt;"",VLOOKUP($G430,'WPS '!C$5:M$209,11,FALSE),"")</f>
        <v>AWS D1.1</v>
      </c>
      <c r="R430" s="147" t="str">
        <f>IF($G430&lt;&gt;"",VLOOKUP($G430,'WPS '!$C$5:$M$209,2,FALSE),"")</f>
        <v>OSR-WPS-D1.1-FC-107</v>
      </c>
      <c r="S430" s="30"/>
      <c r="T430" s="30"/>
      <c r="U430" s="30"/>
      <c r="V430" s="30"/>
      <c r="W430" s="30"/>
      <c r="X430" s="30"/>
      <c r="Y430" s="30"/>
      <c r="Z430" s="30"/>
      <c r="AA430" s="30"/>
      <c r="AB430" s="30"/>
      <c r="AC430" s="30" t="s">
        <v>356</v>
      </c>
      <c r="AD430" s="30" t="s">
        <v>356</v>
      </c>
      <c r="AE430" s="54"/>
      <c r="AF430" s="54"/>
      <c r="AG430" s="153">
        <v>2</v>
      </c>
    </row>
    <row r="431" spans="1:34" s="206" customFormat="1" ht="45" customHeight="1">
      <c r="A431" s="293">
        <f t="shared" si="14"/>
        <v>424</v>
      </c>
      <c r="B431" s="197" t="s">
        <v>1516</v>
      </c>
      <c r="C431" s="299" t="s">
        <v>1635</v>
      </c>
      <c r="D431" s="198">
        <f>IF(F431="","",SUBTOTAL(3,$F$6:F431))</f>
        <v>425</v>
      </c>
      <c r="E431" s="200" t="s">
        <v>98</v>
      </c>
      <c r="F431" s="199" t="s">
        <v>1728</v>
      </c>
      <c r="G431" s="181" t="s">
        <v>1381</v>
      </c>
      <c r="H431" s="182" t="str">
        <f>IF($G431&lt;&gt;"",VLOOKUP($G431,'WPS '!C$5:M$209,3,FALSE),"")</f>
        <v>GTAW</v>
      </c>
      <c r="I431" s="183" t="s">
        <v>1606</v>
      </c>
      <c r="J431" s="201" t="s">
        <v>1472</v>
      </c>
      <c r="K431" s="184" t="s">
        <v>1399</v>
      </c>
      <c r="L431" s="183" t="str">
        <f>IF($G431&lt;&gt;"",VLOOKUP($G431,'WPS '!C$5:M$209,8,FALSE),"")</f>
        <v>ER 309L</v>
      </c>
      <c r="M431" s="185" t="s">
        <v>1511</v>
      </c>
      <c r="N431" s="186">
        <v>45915</v>
      </c>
      <c r="O431" s="186">
        <v>45917</v>
      </c>
      <c r="P431" s="186">
        <f t="shared" si="13"/>
        <v>46282</v>
      </c>
      <c r="Q431" s="187" t="str">
        <f>IF($G431&lt;&gt;"",VLOOKUP($G431,'WPS '!C$5:M$209,11,FALSE),"")</f>
        <v>AWS D1.6</v>
      </c>
      <c r="R431" s="202" t="str">
        <f>IF($G431&lt;&gt;"",VLOOKUP($G431,'WPS '!$C$5:$M$209,2,FALSE),"")</f>
        <v>OSR-WPS-D1.6-GT-108</v>
      </c>
      <c r="S431" s="30"/>
      <c r="T431" s="30"/>
      <c r="U431" s="30"/>
      <c r="V431" s="30"/>
      <c r="W431" s="30"/>
      <c r="X431" s="30"/>
      <c r="Y431" s="30"/>
      <c r="Z431" s="30"/>
      <c r="AA431" s="30"/>
      <c r="AB431" s="30"/>
      <c r="AC431" s="30" t="s">
        <v>356</v>
      </c>
      <c r="AD431" s="30" t="s">
        <v>356</v>
      </c>
      <c r="AE431" s="54"/>
      <c r="AF431" s="203" t="s">
        <v>356</v>
      </c>
      <c r="AG431" s="204">
        <v>2</v>
      </c>
      <c r="AH431" s="205"/>
    </row>
    <row r="432" spans="1:34" s="206" customFormat="1" ht="45" customHeight="1">
      <c r="A432" s="293">
        <f t="shared" si="14"/>
        <v>425</v>
      </c>
      <c r="B432" s="197" t="s">
        <v>1516</v>
      </c>
      <c r="C432" s="299" t="s">
        <v>1635</v>
      </c>
      <c r="D432" s="198">
        <f>IF(F432="","",SUBTOTAL(3,$F$6:F432))</f>
        <v>426</v>
      </c>
      <c r="E432" s="200" t="s">
        <v>98</v>
      </c>
      <c r="F432" s="199" t="s">
        <v>1728</v>
      </c>
      <c r="G432" s="181" t="s">
        <v>1517</v>
      </c>
      <c r="H432" s="182" t="str">
        <f>IF($G432&lt;&gt;"",VLOOKUP($G432,'WPS '!C$5:M$209,3,FALSE),"")</f>
        <v>GTAW
FCAW</v>
      </c>
      <c r="I432" s="183" t="s">
        <v>1383</v>
      </c>
      <c r="J432" s="201" t="s">
        <v>1390</v>
      </c>
      <c r="K432" s="184" t="s">
        <v>1829</v>
      </c>
      <c r="L432" s="183" t="str">
        <f>IF($G432&lt;&gt;"",VLOOKUP($G432,'WPS '!C$5:M$209,8,FALSE),"")</f>
        <v>E70S-G
E71T-1C</v>
      </c>
      <c r="M432" s="185" t="s">
        <v>1561</v>
      </c>
      <c r="N432" s="186">
        <v>45919</v>
      </c>
      <c r="O432" s="186">
        <v>45921</v>
      </c>
      <c r="P432" s="186">
        <f t="shared" si="13"/>
        <v>46286</v>
      </c>
      <c r="Q432" s="187" t="str">
        <f>IF($G432&lt;&gt;"",VLOOKUP($G432,'WPS '!C$5:M$209,11,FALSE),"")</f>
        <v>AWS D1.1</v>
      </c>
      <c r="R432" s="202" t="str">
        <f>IF($G432&lt;&gt;"",VLOOKUP($G432,'WPS '!$C$5:$M$209,2,FALSE),"")</f>
        <v>OSR-WPS-D1.1-GT+FC-109</v>
      </c>
      <c r="S432" s="30"/>
      <c r="T432" s="30"/>
      <c r="U432" s="30"/>
      <c r="V432" s="30"/>
      <c r="W432" s="30"/>
      <c r="X432" s="30"/>
      <c r="Y432" s="30"/>
      <c r="Z432" s="30"/>
      <c r="AA432" s="30"/>
      <c r="AB432" s="30"/>
      <c r="AC432" s="30" t="s">
        <v>356</v>
      </c>
      <c r="AD432" s="30" t="s">
        <v>356</v>
      </c>
      <c r="AE432" s="54"/>
      <c r="AF432" s="203" t="s">
        <v>356</v>
      </c>
      <c r="AG432" s="204">
        <v>2</v>
      </c>
      <c r="AH432" s="205"/>
    </row>
    <row r="433" spans="1:34" s="2" customFormat="1" ht="45" customHeight="1">
      <c r="A433" s="293">
        <f t="shared" si="14"/>
        <v>426</v>
      </c>
      <c r="B433" s="5" t="s">
        <v>1516</v>
      </c>
      <c r="C433" s="296" t="s">
        <v>1635</v>
      </c>
      <c r="D433" s="56">
        <f>IF(F433="","",SUBTOTAL(3,$F$6:F433))</f>
        <v>427</v>
      </c>
      <c r="E433" s="34" t="s">
        <v>96</v>
      </c>
      <c r="F433" s="108" t="s">
        <v>1775</v>
      </c>
      <c r="G433" s="40" t="s">
        <v>661</v>
      </c>
      <c r="H433" s="83">
        <f>IF($G433&lt;&gt;"",VLOOKUP($G433,'WPS '!C$5:M$209,3,FALSE),"")</f>
        <v>136</v>
      </c>
      <c r="I433" s="22" t="s">
        <v>1250</v>
      </c>
      <c r="J433" s="22" t="s">
        <v>255</v>
      </c>
      <c r="K433" s="69" t="s">
        <v>884</v>
      </c>
      <c r="L433" s="22" t="str">
        <f>IF($G433&lt;&gt;"",VLOOKUP($G433,'WPS '!C$5:M$209,8,FALSE),"")</f>
        <v>E71T-1C</v>
      </c>
      <c r="M433" s="76" t="s">
        <v>97</v>
      </c>
      <c r="N433" s="21">
        <v>45826</v>
      </c>
      <c r="O433" s="21">
        <v>45828</v>
      </c>
      <c r="P433" s="21">
        <f t="shared" si="13"/>
        <v>46193</v>
      </c>
      <c r="Q433" s="164" t="s">
        <v>1811</v>
      </c>
      <c r="R433" s="147" t="str">
        <f>IF($G433&lt;&gt;"",VLOOKUP($G433,'WPS '!$C$5:$M$209,2,FALSE),"")</f>
        <v>OSR-WPS-ISO-PC+PF-005</v>
      </c>
      <c r="S433" s="30"/>
      <c r="T433" s="30"/>
      <c r="U433" s="30"/>
      <c r="V433" s="30"/>
      <c r="W433" s="30"/>
      <c r="X433" s="30"/>
      <c r="Y433" s="30"/>
      <c r="Z433" s="30"/>
      <c r="AA433" s="30"/>
      <c r="AB433" s="30"/>
      <c r="AC433" s="30"/>
      <c r="AD433" s="30"/>
      <c r="AE433" s="54"/>
      <c r="AF433" s="54"/>
      <c r="AG433" s="66">
        <v>2</v>
      </c>
      <c r="AH433" s="115"/>
    </row>
    <row r="434" spans="1:34" ht="45" customHeight="1">
      <c r="A434" s="293">
        <f t="shared" si="14"/>
        <v>427</v>
      </c>
      <c r="B434" s="5" t="s">
        <v>1516</v>
      </c>
      <c r="C434" s="296" t="s">
        <v>1635</v>
      </c>
      <c r="D434" s="56">
        <f>IF(F434="","",SUBTOTAL(3,$F$6:F434))</f>
        <v>428</v>
      </c>
      <c r="E434" s="34" t="s">
        <v>96</v>
      </c>
      <c r="F434" s="108" t="s">
        <v>1775</v>
      </c>
      <c r="G434" s="40" t="s">
        <v>675</v>
      </c>
      <c r="H434" s="83">
        <f>IF($G434&lt;&gt;"",VLOOKUP($G434,'WPS '!C$5:M$209,3,FALSE),"")</f>
        <v>136</v>
      </c>
      <c r="I434" s="22" t="s">
        <v>1251</v>
      </c>
      <c r="J434" s="22" t="s">
        <v>253</v>
      </c>
      <c r="K434" s="69" t="s">
        <v>884</v>
      </c>
      <c r="L434" s="22" t="str">
        <f>IF($G434&lt;&gt;"",VLOOKUP($G434,'WPS '!C$5:M$209,8,FALSE),"")</f>
        <v>E71T-1C</v>
      </c>
      <c r="M434" s="76" t="s">
        <v>872</v>
      </c>
      <c r="N434" s="21">
        <v>45871</v>
      </c>
      <c r="O434" s="21">
        <v>45874</v>
      </c>
      <c r="P434" s="21">
        <f t="shared" si="13"/>
        <v>46239</v>
      </c>
      <c r="Q434" s="164" t="s">
        <v>1811</v>
      </c>
      <c r="R434" s="147" t="str">
        <f>IF($G434&lt;&gt;"",VLOOKUP($G434,'WPS '!$C$5:$M$209,2,FALSE),"")</f>
        <v>OSR-WPS-ISO-PE-020</v>
      </c>
      <c r="S434" s="30"/>
      <c r="T434" s="30"/>
      <c r="U434" s="30"/>
      <c r="V434" s="30"/>
      <c r="W434" s="30"/>
      <c r="X434" s="30"/>
      <c r="Y434" s="30"/>
      <c r="Z434" s="30"/>
      <c r="AA434" s="30"/>
      <c r="AB434" s="30"/>
      <c r="AC434" s="30"/>
      <c r="AD434" s="30"/>
      <c r="AE434" s="54"/>
      <c r="AF434" s="54"/>
      <c r="AG434" s="66">
        <v>2</v>
      </c>
      <c r="AH434" s="115"/>
    </row>
    <row r="435" spans="1:34" s="20" customFormat="1" ht="45" customHeight="1">
      <c r="A435" s="293">
        <f t="shared" si="14"/>
        <v>428</v>
      </c>
      <c r="B435" s="5" t="s">
        <v>1516</v>
      </c>
      <c r="C435" s="296" t="s">
        <v>1635</v>
      </c>
      <c r="D435" s="56">
        <f>IF(F435="","",SUBTOTAL(3,$F$6:F435))</f>
        <v>429</v>
      </c>
      <c r="E435" s="34" t="s">
        <v>96</v>
      </c>
      <c r="F435" s="108" t="s">
        <v>1775</v>
      </c>
      <c r="G435" s="40" t="s">
        <v>675</v>
      </c>
      <c r="H435" s="83">
        <f>IF($G435&lt;&gt;"",VLOOKUP($G435,'WPS '!C$5:M$209,3,FALSE),"")</f>
        <v>136</v>
      </c>
      <c r="I435" s="22" t="s">
        <v>1251</v>
      </c>
      <c r="J435" s="22" t="s">
        <v>255</v>
      </c>
      <c r="K435" s="69" t="s">
        <v>884</v>
      </c>
      <c r="L435" s="22" t="str">
        <f>IF($G435&lt;&gt;"",VLOOKUP($G435,'WPS '!C$5:M$209,8,FALSE),"")</f>
        <v>E71T-1C</v>
      </c>
      <c r="M435" s="76" t="s">
        <v>873</v>
      </c>
      <c r="N435" s="21">
        <v>45871</v>
      </c>
      <c r="O435" s="21">
        <v>45874</v>
      </c>
      <c r="P435" s="21">
        <f t="shared" si="13"/>
        <v>46239</v>
      </c>
      <c r="Q435" s="164" t="s">
        <v>1811</v>
      </c>
      <c r="R435" s="147" t="str">
        <f>IF($G435&lt;&gt;"",VLOOKUP($G435,'WPS '!$C$5:$M$209,2,FALSE),"")</f>
        <v>OSR-WPS-ISO-PE-020</v>
      </c>
      <c r="S435" s="30"/>
      <c r="T435" s="30"/>
      <c r="U435" s="30"/>
      <c r="V435" s="30"/>
      <c r="W435" s="30"/>
      <c r="X435" s="30"/>
      <c r="Y435" s="30"/>
      <c r="Z435" s="30"/>
      <c r="AA435" s="30"/>
      <c r="AB435" s="30"/>
      <c r="AC435" s="30"/>
      <c r="AD435" s="30"/>
      <c r="AE435" s="54"/>
      <c r="AF435" s="54"/>
      <c r="AG435" s="66">
        <v>2</v>
      </c>
      <c r="AH435" s="115"/>
    </row>
    <row r="436" spans="1:34" s="20" customFormat="1" ht="45" customHeight="1">
      <c r="A436" s="293">
        <f t="shared" si="14"/>
        <v>429</v>
      </c>
      <c r="B436" s="5" t="s">
        <v>1516</v>
      </c>
      <c r="C436" s="296" t="s">
        <v>1635</v>
      </c>
      <c r="D436" s="56">
        <f>IF(F436="","",SUBTOTAL(3,$F$6:F436))</f>
        <v>430</v>
      </c>
      <c r="E436" s="34" t="s">
        <v>96</v>
      </c>
      <c r="F436" s="108" t="s">
        <v>1775</v>
      </c>
      <c r="G436" s="40" t="s">
        <v>701</v>
      </c>
      <c r="H436" s="83">
        <f>IF($G436&lt;&gt;"",VLOOKUP($G436,'WPS '!C$5:M$209,3,FALSE),"")</f>
        <v>136</v>
      </c>
      <c r="I436" s="22" t="s">
        <v>1250</v>
      </c>
      <c r="J436" s="22" t="s">
        <v>257</v>
      </c>
      <c r="K436" s="69" t="s">
        <v>884</v>
      </c>
      <c r="L436" s="22" t="str">
        <f>IF($G436&lt;&gt;"",VLOOKUP($G436,'WPS '!C$5:M$209,8,FALSE),"")</f>
        <v>E81T1-W2C</v>
      </c>
      <c r="M436" s="76" t="s">
        <v>149</v>
      </c>
      <c r="N436" s="21">
        <v>45724</v>
      </c>
      <c r="O436" s="21">
        <v>45731</v>
      </c>
      <c r="P436" s="21">
        <f t="shared" ref="P436:P468" si="15">EDATE(O436,6*AG436)</f>
        <v>46096</v>
      </c>
      <c r="Q436" s="164" t="s">
        <v>1811</v>
      </c>
      <c r="R436" s="147" t="str">
        <f>IF($G436&lt;&gt;"",VLOOKUP($G436,'WPS '!$C$5:$M$209,2,FALSE),"")</f>
        <v>OSR-WPS-ISO-PC-046</v>
      </c>
      <c r="S436" s="30"/>
      <c r="T436" s="30"/>
      <c r="U436" s="30"/>
      <c r="V436" s="30"/>
      <c r="W436" s="30"/>
      <c r="X436" s="30" t="s">
        <v>95</v>
      </c>
      <c r="Y436" s="30"/>
      <c r="Z436" s="30"/>
      <c r="AA436" s="30"/>
      <c r="AB436" s="30"/>
      <c r="AC436" s="30"/>
      <c r="AD436" s="30"/>
      <c r="AE436" s="54"/>
      <c r="AF436" s="54"/>
      <c r="AG436" s="66">
        <v>2</v>
      </c>
      <c r="AH436" s="115"/>
    </row>
    <row r="437" spans="1:34" s="20" customFormat="1" ht="45" customHeight="1">
      <c r="A437" s="293">
        <f t="shared" si="14"/>
        <v>430</v>
      </c>
      <c r="B437" s="5" t="s">
        <v>1516</v>
      </c>
      <c r="C437" s="296" t="s">
        <v>1635</v>
      </c>
      <c r="D437" s="56">
        <f>IF(F437="","",SUBTOTAL(3,$F$6:F437))</f>
        <v>431</v>
      </c>
      <c r="E437" s="34" t="s">
        <v>96</v>
      </c>
      <c r="F437" s="108" t="s">
        <v>1775</v>
      </c>
      <c r="G437" s="40" t="s">
        <v>707</v>
      </c>
      <c r="H437" s="83">
        <f>IF($G437&lt;&gt;"",VLOOKUP($G437,'WPS '!C$5:M$209,3,FALSE),"")</f>
        <v>136</v>
      </c>
      <c r="I437" s="22" t="s">
        <v>217</v>
      </c>
      <c r="J437" s="22" t="s">
        <v>243</v>
      </c>
      <c r="K437" s="69" t="s">
        <v>874</v>
      </c>
      <c r="L437" s="22" t="str">
        <f>IF($G437&lt;&gt;"",VLOOKUP($G437,'WPS '!C$5:M$209,8,FALSE),"")</f>
        <v>E71T-1C</v>
      </c>
      <c r="M437" s="76" t="s">
        <v>875</v>
      </c>
      <c r="N437" s="21">
        <v>45871</v>
      </c>
      <c r="O437" s="21">
        <v>45873</v>
      </c>
      <c r="P437" s="21">
        <f t="shared" si="15"/>
        <v>46238</v>
      </c>
      <c r="Q437" s="164" t="s">
        <v>1811</v>
      </c>
      <c r="R437" s="147" t="str">
        <f>IF($G437&lt;&gt;"",VLOOKUP($G437,'WPS '!$C$5:$M$209,2,FALSE),"")</f>
        <v>OSR-WPS-ISO-PB-052</v>
      </c>
      <c r="S437" s="30"/>
      <c r="T437" s="30"/>
      <c r="U437" s="30"/>
      <c r="V437" s="30"/>
      <c r="W437" s="30"/>
      <c r="X437" s="30"/>
      <c r="Y437" s="30"/>
      <c r="Z437" s="30"/>
      <c r="AA437" s="30"/>
      <c r="AB437" s="30"/>
      <c r="AC437" s="30"/>
      <c r="AD437" s="30"/>
      <c r="AE437" s="54"/>
      <c r="AF437" s="54"/>
      <c r="AG437" s="66">
        <v>2</v>
      </c>
      <c r="AH437" s="115"/>
    </row>
    <row r="438" spans="1:34" s="2" customFormat="1" ht="45" customHeight="1">
      <c r="A438" s="293">
        <f t="shared" si="14"/>
        <v>431</v>
      </c>
      <c r="B438" s="5" t="s">
        <v>1516</v>
      </c>
      <c r="C438" s="296" t="s">
        <v>1635</v>
      </c>
      <c r="D438" s="56">
        <f>IF(F438="","",SUBTOTAL(3,$F$6:F438))</f>
        <v>432</v>
      </c>
      <c r="E438" s="34" t="s">
        <v>96</v>
      </c>
      <c r="F438" s="107" t="s">
        <v>1775</v>
      </c>
      <c r="G438" s="39" t="s">
        <v>718</v>
      </c>
      <c r="H438" s="83" t="str">
        <f>IF($G438&lt;&gt;"",VLOOKUP($G438,'WPS '!C$5:M$209,3,FALSE),"")</f>
        <v>FCAW</v>
      </c>
      <c r="I438" s="22" t="s">
        <v>852</v>
      </c>
      <c r="J438" s="22" t="s">
        <v>115</v>
      </c>
      <c r="K438" s="69" t="s">
        <v>116</v>
      </c>
      <c r="L438" s="22" t="str">
        <f>IF($G438&lt;&gt;"",VLOOKUP($G438,'WPS '!C$5:M$209,8,FALSE),"")</f>
        <v>E71T-1C</v>
      </c>
      <c r="M438" s="76" t="s">
        <v>277</v>
      </c>
      <c r="N438" s="21">
        <v>45734</v>
      </c>
      <c r="O438" s="21">
        <v>45736</v>
      </c>
      <c r="P438" s="21">
        <f t="shared" si="15"/>
        <v>46101</v>
      </c>
      <c r="Q438" s="164" t="str">
        <f>IF($G438&lt;&gt;"",VLOOKUP($G438,'WPS '!C$5:M$209,11,FALSE),"")</f>
        <v>ASME IX</v>
      </c>
      <c r="R438" s="147" t="str">
        <f>IF($G438&lt;&gt;"",VLOOKUP($G438,'WPS '!$C$5:$M$209,2,FALSE),"")</f>
        <v>OSR-WPS-ASME-FC-001</v>
      </c>
      <c r="S438" s="30"/>
      <c r="T438" s="30"/>
      <c r="U438" s="30"/>
      <c r="V438" s="30"/>
      <c r="W438" s="62"/>
      <c r="X438" s="30"/>
      <c r="Y438" s="148"/>
      <c r="Z438" s="148"/>
      <c r="AA438" s="148"/>
      <c r="AB438" s="62"/>
      <c r="AC438" s="62"/>
      <c r="AD438" s="62"/>
      <c r="AE438" s="146"/>
      <c r="AF438" s="146"/>
      <c r="AG438" s="66">
        <v>2</v>
      </c>
      <c r="AH438" s="18"/>
    </row>
    <row r="439" spans="1:34" s="205" customFormat="1" ht="45" customHeight="1">
      <c r="A439" s="293">
        <f t="shared" si="14"/>
        <v>432</v>
      </c>
      <c r="B439" s="197" t="s">
        <v>1516</v>
      </c>
      <c r="C439" s="299" t="s">
        <v>1635</v>
      </c>
      <c r="D439" s="198">
        <f>IF(F439="","",SUBTOTAL(3,$F$6:F439))</f>
        <v>433</v>
      </c>
      <c r="E439" s="180" t="s">
        <v>96</v>
      </c>
      <c r="F439" s="188" t="s">
        <v>1775</v>
      </c>
      <c r="G439" s="181" t="s">
        <v>1153</v>
      </c>
      <c r="H439" s="182" t="str">
        <f>IF($G439&lt;&gt;"",VLOOKUP($G439,'WPS '!C$5:M$209,3,FALSE),"")</f>
        <v>FCAW</v>
      </c>
      <c r="I439" s="183" t="s">
        <v>1398</v>
      </c>
      <c r="J439" s="201" t="s">
        <v>1215</v>
      </c>
      <c r="K439" s="184" t="s">
        <v>1292</v>
      </c>
      <c r="L439" s="183" t="str">
        <f>IF($G439&lt;&gt;"",VLOOKUP($G439,'WPS '!C$5:M$209,8,FALSE),"")</f>
        <v>E71T-1C</v>
      </c>
      <c r="M439" s="185" t="s">
        <v>1476</v>
      </c>
      <c r="N439" s="186">
        <v>45906</v>
      </c>
      <c r="O439" s="186">
        <v>45910</v>
      </c>
      <c r="P439" s="186">
        <f t="shared" si="15"/>
        <v>46275</v>
      </c>
      <c r="Q439" s="187" t="str">
        <f>IF($G439&lt;&gt;"",VLOOKUP($G439,'WPS '!C$5:M$209,11,FALSE),"")</f>
        <v>AWS D1.1</v>
      </c>
      <c r="R439" s="202" t="str">
        <f>IF($G439&lt;&gt;"",VLOOKUP($G439,'WPS '!$C$5:$M$209,2,FALSE),"")</f>
        <v>OSR-WPS-D1.1-FC-094</v>
      </c>
      <c r="S439" s="30"/>
      <c r="T439" s="30"/>
      <c r="U439" s="30"/>
      <c r="V439" s="30"/>
      <c r="W439" s="30"/>
      <c r="X439" s="30"/>
      <c r="Y439" s="30"/>
      <c r="Z439" s="30"/>
      <c r="AA439" s="30"/>
      <c r="AB439" s="30"/>
      <c r="AC439" s="30" t="s">
        <v>95</v>
      </c>
      <c r="AD439" s="30" t="s">
        <v>356</v>
      </c>
      <c r="AE439" s="54"/>
      <c r="AF439" s="203" t="s">
        <v>356</v>
      </c>
      <c r="AG439" s="204">
        <v>2</v>
      </c>
    </row>
    <row r="440" spans="1:34" s="20" customFormat="1" ht="45" customHeight="1">
      <c r="A440" s="293">
        <f t="shared" si="14"/>
        <v>433</v>
      </c>
      <c r="B440" s="5" t="s">
        <v>1516</v>
      </c>
      <c r="C440" s="296" t="s">
        <v>1635</v>
      </c>
      <c r="D440" s="56">
        <f>IF(F440="","",SUBTOTAL(3,$F$6:F440))</f>
        <v>434</v>
      </c>
      <c r="E440" s="34" t="s">
        <v>96</v>
      </c>
      <c r="F440" s="107" t="s">
        <v>1775</v>
      </c>
      <c r="G440" s="40" t="s">
        <v>1164</v>
      </c>
      <c r="H440" s="83" t="str">
        <f>IF($G440&lt;&gt;"",VLOOKUP($G440,'WPS '!C$5:M$209,3,FALSE),"")</f>
        <v>FCAW</v>
      </c>
      <c r="I440" s="22" t="s">
        <v>1398</v>
      </c>
      <c r="J440" s="77" t="s">
        <v>1215</v>
      </c>
      <c r="K440" s="69" t="s">
        <v>1292</v>
      </c>
      <c r="L440" s="22" t="str">
        <f>IF($G440&lt;&gt;"",VLOOKUP($G440,'WPS '!C$5:M$209,8,FALSE),"")</f>
        <v>E71T-1C</v>
      </c>
      <c r="M440" s="76" t="s">
        <v>1477</v>
      </c>
      <c r="N440" s="21">
        <v>45906</v>
      </c>
      <c r="O440" s="21">
        <v>45910</v>
      </c>
      <c r="P440" s="21">
        <f t="shared" si="15"/>
        <v>46275</v>
      </c>
      <c r="Q440" s="164" t="str">
        <f>IF($G440&lt;&gt;"",VLOOKUP($G440,'WPS '!C$5:M$209,11,FALSE),"")</f>
        <v>AWS D1.1</v>
      </c>
      <c r="R440" s="147" t="str">
        <f>IF($G440&lt;&gt;"",VLOOKUP($G440,'WPS '!$C$5:$M$209,2,FALSE),"")</f>
        <v>OSR-WPS-D1.1-FC-097</v>
      </c>
      <c r="S440" s="30"/>
      <c r="T440" s="30"/>
      <c r="U440" s="30"/>
      <c r="V440" s="30"/>
      <c r="W440" s="30"/>
      <c r="X440" s="30"/>
      <c r="Y440" s="30"/>
      <c r="Z440" s="30"/>
      <c r="AA440" s="30"/>
      <c r="AB440" s="30"/>
      <c r="AC440" s="30" t="s">
        <v>95</v>
      </c>
      <c r="AD440" s="30" t="s">
        <v>356</v>
      </c>
      <c r="AE440" s="54"/>
      <c r="AF440" s="54"/>
      <c r="AG440" s="153">
        <v>2</v>
      </c>
      <c r="AH440" s="2"/>
    </row>
    <row r="441" spans="1:34" ht="45" customHeight="1">
      <c r="A441" s="293">
        <f t="shared" si="14"/>
        <v>434</v>
      </c>
      <c r="B441" s="5" t="s">
        <v>1516</v>
      </c>
      <c r="C441" s="296" t="s">
        <v>1635</v>
      </c>
      <c r="D441" s="56">
        <f>IF(F441="","",SUBTOTAL(3,$F$6:F441))</f>
        <v>435</v>
      </c>
      <c r="E441" s="34" t="s">
        <v>96</v>
      </c>
      <c r="F441" s="107" t="s">
        <v>1775</v>
      </c>
      <c r="G441" s="40" t="s">
        <v>1168</v>
      </c>
      <c r="H441" s="83" t="str">
        <f>IF($G441&lt;&gt;"",VLOOKUP($G441,'WPS '!C$5:M$209,3,FALSE),"")</f>
        <v>FCAW</v>
      </c>
      <c r="I441" s="22" t="s">
        <v>1398</v>
      </c>
      <c r="J441" s="77" t="s">
        <v>1215</v>
      </c>
      <c r="K441" s="69" t="s">
        <v>1292</v>
      </c>
      <c r="L441" s="22" t="str">
        <f>IF($G441&lt;&gt;"",VLOOKUP($G441,'WPS '!C$5:M$209,8,FALSE),"")</f>
        <v>E71T-1C</v>
      </c>
      <c r="M441" s="76" t="s">
        <v>1500</v>
      </c>
      <c r="N441" s="21">
        <v>45906</v>
      </c>
      <c r="O441" s="21">
        <v>45910</v>
      </c>
      <c r="P441" s="21">
        <f t="shared" si="15"/>
        <v>46275</v>
      </c>
      <c r="Q441" s="164" t="str">
        <f>IF($G441&lt;&gt;"",VLOOKUP($G441,'WPS '!C$5:M$209,11,FALSE),"")</f>
        <v>AWS D1.1</v>
      </c>
      <c r="R441" s="147" t="str">
        <f>IF($G441&lt;&gt;"",VLOOKUP($G441,'WPS '!$C$5:$M$209,2,FALSE),"")</f>
        <v>OSR-WPS-D1.1-FC-098</v>
      </c>
      <c r="S441" s="30"/>
      <c r="T441" s="30"/>
      <c r="U441" s="30"/>
      <c r="V441" s="30"/>
      <c r="W441" s="30"/>
      <c r="X441" s="30"/>
      <c r="Y441" s="30"/>
      <c r="Z441" s="30"/>
      <c r="AA441" s="30"/>
      <c r="AB441" s="30"/>
      <c r="AC441" s="30" t="s">
        <v>95</v>
      </c>
      <c r="AD441" s="30" t="s">
        <v>356</v>
      </c>
      <c r="AE441" s="54"/>
      <c r="AF441" s="54" t="s">
        <v>356</v>
      </c>
      <c r="AG441" s="153">
        <v>2</v>
      </c>
    </row>
    <row r="442" spans="1:34" ht="45" customHeight="1">
      <c r="A442" s="293">
        <f t="shared" si="14"/>
        <v>435</v>
      </c>
      <c r="B442" s="5" t="s">
        <v>1516</v>
      </c>
      <c r="C442" s="296" t="s">
        <v>1635</v>
      </c>
      <c r="D442" s="56">
        <f>IF(F442="","",SUBTOTAL(3,$F$6:F442))</f>
        <v>436</v>
      </c>
      <c r="E442" s="34" t="s">
        <v>96</v>
      </c>
      <c r="F442" s="107" t="s">
        <v>1775</v>
      </c>
      <c r="G442" s="40" t="s">
        <v>1220</v>
      </c>
      <c r="H442" s="83" t="str">
        <f>IF($G442&lt;&gt;"",VLOOKUP($G442,'WPS '!C$5:M$209,3,FALSE),"")</f>
        <v>FCAW</v>
      </c>
      <c r="I442" s="22" t="s">
        <v>1398</v>
      </c>
      <c r="J442" s="77" t="s">
        <v>1215</v>
      </c>
      <c r="K442" s="69" t="s">
        <v>1292</v>
      </c>
      <c r="L442" s="22" t="str">
        <f>IF($G442&lt;&gt;"",VLOOKUP($G442,'WPS '!C$5:M$209,8,FALSE),"")</f>
        <v>E71T-1C</v>
      </c>
      <c r="M442" s="76" t="s">
        <v>1474</v>
      </c>
      <c r="N442" s="21">
        <v>45906</v>
      </c>
      <c r="O442" s="21">
        <v>45910</v>
      </c>
      <c r="P442" s="21">
        <f t="shared" si="15"/>
        <v>46275</v>
      </c>
      <c r="Q442" s="164" t="str">
        <f>IF($G442&lt;&gt;"",VLOOKUP($G442,'WPS '!C$5:M$209,11,FALSE),"")</f>
        <v>AWS D1.1</v>
      </c>
      <c r="R442" s="147" t="str">
        <f>IF($G442&lt;&gt;"",VLOOKUP($G442,'WPS '!$C$5:$M$209,2,FALSE),"")</f>
        <v>OSR-WPS-D1.1-FC-106</v>
      </c>
      <c r="S442" s="30"/>
      <c r="T442" s="30"/>
      <c r="U442" s="30"/>
      <c r="V442" s="30"/>
      <c r="W442" s="30"/>
      <c r="X442" s="30"/>
      <c r="Y442" s="30"/>
      <c r="Z442" s="30"/>
      <c r="AA442" s="30"/>
      <c r="AB442" s="30"/>
      <c r="AC442" s="30" t="s">
        <v>95</v>
      </c>
      <c r="AD442" s="30" t="s">
        <v>356</v>
      </c>
      <c r="AE442" s="54"/>
      <c r="AF442" s="54"/>
      <c r="AG442" s="153">
        <v>2</v>
      </c>
    </row>
    <row r="443" spans="1:34" ht="45" customHeight="1">
      <c r="A443" s="293">
        <f t="shared" si="14"/>
        <v>436</v>
      </c>
      <c r="B443" s="5" t="s">
        <v>326</v>
      </c>
      <c r="C443" s="296" t="s">
        <v>1635</v>
      </c>
      <c r="D443" s="56">
        <f>IF(F443="","",SUBTOTAL(3,$F$6:F443))</f>
        <v>437</v>
      </c>
      <c r="E443" s="34" t="s">
        <v>123</v>
      </c>
      <c r="F443" s="108" t="s">
        <v>1706</v>
      </c>
      <c r="G443" s="40" t="s">
        <v>681</v>
      </c>
      <c r="H443" s="83">
        <f>IF($G443&lt;&gt;"",VLOOKUP($G443,'WPS '!C$5:M$209,3,FALSE),"")</f>
        <v>136</v>
      </c>
      <c r="I443" s="22" t="s">
        <v>1250</v>
      </c>
      <c r="J443" s="22" t="s">
        <v>1676</v>
      </c>
      <c r="K443" s="69" t="s">
        <v>884</v>
      </c>
      <c r="L443" s="22" t="str">
        <f>IF($G443&lt;&gt;"",VLOOKUP($G443,'WPS '!C$5:M$209,8,FALSE),"")</f>
        <v>E71T-1C</v>
      </c>
      <c r="M443" s="76" t="s">
        <v>266</v>
      </c>
      <c r="N443" s="21">
        <v>45852</v>
      </c>
      <c r="O443" s="21">
        <v>45864</v>
      </c>
      <c r="P443" s="21">
        <f t="shared" si="15"/>
        <v>46229</v>
      </c>
      <c r="Q443" s="164" t="s">
        <v>1811</v>
      </c>
      <c r="R443" s="147" t="str">
        <f>IF($G443&lt;&gt;"",VLOOKUP($G443,'WPS '!$C$5:$M$209,2,FALSE),"")</f>
        <v>OSR-WPS-ISO-PF-026</v>
      </c>
      <c r="S443" s="30"/>
      <c r="T443" s="30"/>
      <c r="U443" s="30"/>
      <c r="V443" s="30"/>
      <c r="W443" s="30"/>
      <c r="X443" s="30"/>
      <c r="Y443" s="30"/>
      <c r="Z443" s="30"/>
      <c r="AA443" s="30"/>
      <c r="AB443" s="30" t="s">
        <v>95</v>
      </c>
      <c r="AC443" s="30"/>
      <c r="AD443" s="30"/>
      <c r="AE443" s="54"/>
      <c r="AF443" s="54"/>
      <c r="AG443" s="66">
        <v>2</v>
      </c>
      <c r="AH443" s="115"/>
    </row>
    <row r="444" spans="1:34" ht="45" customHeight="1">
      <c r="A444" s="293">
        <f t="shared" si="14"/>
        <v>437</v>
      </c>
      <c r="B444" s="5" t="s">
        <v>326</v>
      </c>
      <c r="C444" s="296" t="s">
        <v>1635</v>
      </c>
      <c r="D444" s="56">
        <f>IF(F444="","",SUBTOTAL(3,$F$6:F444))</f>
        <v>438</v>
      </c>
      <c r="E444" s="34" t="s">
        <v>123</v>
      </c>
      <c r="F444" s="108" t="s">
        <v>1706</v>
      </c>
      <c r="G444" s="40" t="s">
        <v>703</v>
      </c>
      <c r="H444" s="83">
        <f>IF($G444&lt;&gt;"",VLOOKUP($G444,'WPS '!C$5:M$209,3,FALSE),"")</f>
        <v>136</v>
      </c>
      <c r="I444" s="22" t="s">
        <v>1251</v>
      </c>
      <c r="J444" s="22" t="s">
        <v>243</v>
      </c>
      <c r="K444" s="69" t="s">
        <v>922</v>
      </c>
      <c r="L444" s="22" t="str">
        <f>IF($G444&lt;&gt;"",VLOOKUP($G444,'WPS '!C$5:M$209,8,FALSE),"")</f>
        <v>E71T-1C</v>
      </c>
      <c r="M444" s="76" t="s">
        <v>926</v>
      </c>
      <c r="N444" s="21">
        <v>45795</v>
      </c>
      <c r="O444" s="21">
        <v>45799</v>
      </c>
      <c r="P444" s="21">
        <f t="shared" si="15"/>
        <v>46164</v>
      </c>
      <c r="Q444" s="164" t="s">
        <v>1811</v>
      </c>
      <c r="R444" s="147" t="str">
        <f>IF($G444&lt;&gt;"",VLOOKUP($G444,'WPS '!$C$5:$M$209,2,FALSE),"")</f>
        <v>OSR-WPS-ISO-PB-048</v>
      </c>
      <c r="S444" s="30"/>
      <c r="T444" s="30"/>
      <c r="U444" s="30"/>
      <c r="V444" s="30"/>
      <c r="W444" s="30"/>
      <c r="X444" s="30"/>
      <c r="Y444" s="30" t="s">
        <v>95</v>
      </c>
      <c r="Z444" s="30"/>
      <c r="AA444" s="30"/>
      <c r="AB444" s="30"/>
      <c r="AC444" s="30"/>
      <c r="AD444" s="30"/>
      <c r="AE444" s="54"/>
      <c r="AF444" s="54"/>
      <c r="AG444" s="66">
        <v>2</v>
      </c>
      <c r="AH444" s="115"/>
    </row>
    <row r="445" spans="1:34" ht="45" customHeight="1">
      <c r="A445" s="293">
        <f t="shared" si="14"/>
        <v>438</v>
      </c>
      <c r="B445" s="28" t="s">
        <v>326</v>
      </c>
      <c r="C445" s="295" t="s">
        <v>1635</v>
      </c>
      <c r="D445" s="56">
        <f>IF(F445="","",SUBTOTAL(3,$F$6:F445))</f>
        <v>439</v>
      </c>
      <c r="E445" s="34" t="s">
        <v>123</v>
      </c>
      <c r="F445" s="107" t="s">
        <v>1706</v>
      </c>
      <c r="G445" s="39" t="s">
        <v>718</v>
      </c>
      <c r="H445" s="83" t="str">
        <f>IF($G445&lt;&gt;"",VLOOKUP($G445,'WPS '!C$5:M$209,3,FALSE),"")</f>
        <v>FCAW</v>
      </c>
      <c r="I445" s="22" t="s">
        <v>852</v>
      </c>
      <c r="J445" s="22" t="s">
        <v>1390</v>
      </c>
      <c r="K445" s="69" t="s">
        <v>116</v>
      </c>
      <c r="L445" s="22" t="str">
        <f>IF($G445&lt;&gt;"",VLOOKUP($G445,'WPS '!C$5:M$209,8,FALSE),"")</f>
        <v>E71T-1C</v>
      </c>
      <c r="M445" s="76" t="s">
        <v>318</v>
      </c>
      <c r="N445" s="21">
        <v>45586</v>
      </c>
      <c r="O445" s="21">
        <v>45590</v>
      </c>
      <c r="P445" s="21">
        <f t="shared" si="15"/>
        <v>46137</v>
      </c>
      <c r="Q445" s="164" t="str">
        <f>IF($G445&lt;&gt;"",VLOOKUP($G445,'WPS '!C$5:M$209,11,FALSE),"")</f>
        <v>ASME IX</v>
      </c>
      <c r="R445" s="147" t="str">
        <f>IF($G445&lt;&gt;"",VLOOKUP($G445,'WPS '!$C$5:$M$209,2,FALSE),"")</f>
        <v>OSR-WPS-ASME-FC-001</v>
      </c>
      <c r="S445" s="30" t="s">
        <v>356</v>
      </c>
      <c r="T445" s="30"/>
      <c r="U445" s="30"/>
      <c r="V445" s="30"/>
      <c r="W445" s="62"/>
      <c r="X445" s="30"/>
      <c r="Y445" s="32"/>
      <c r="Z445" s="32"/>
      <c r="AA445" s="32"/>
      <c r="AB445" s="62"/>
      <c r="AC445" s="62"/>
      <c r="AD445" s="62"/>
      <c r="AE445" s="146"/>
      <c r="AF445" s="146"/>
      <c r="AG445" s="67">
        <v>3</v>
      </c>
      <c r="AH445" s="18"/>
    </row>
    <row r="446" spans="1:34" ht="45" customHeight="1">
      <c r="A446" s="293">
        <f t="shared" si="14"/>
        <v>439</v>
      </c>
      <c r="B446" s="28" t="s">
        <v>326</v>
      </c>
      <c r="C446" s="295" t="s">
        <v>1635</v>
      </c>
      <c r="D446" s="56">
        <f>IF(F446="","",SUBTOTAL(3,$F$6:F446))</f>
        <v>440</v>
      </c>
      <c r="E446" s="34" t="s">
        <v>123</v>
      </c>
      <c r="F446" s="107" t="s">
        <v>1706</v>
      </c>
      <c r="G446" s="39" t="s">
        <v>727</v>
      </c>
      <c r="H446" s="83" t="str">
        <f>IF($G446&lt;&gt;"",VLOOKUP($G446,'WPS '!C$5:M$209,3,FALSE),"")</f>
        <v>GMAW</v>
      </c>
      <c r="I446" s="22" t="s">
        <v>853</v>
      </c>
      <c r="J446" s="22" t="s">
        <v>1472</v>
      </c>
      <c r="K446" s="69" t="s">
        <v>105</v>
      </c>
      <c r="L446" s="22" t="str">
        <f>IF($G446&lt;&gt;"",VLOOKUP($G446,'WPS '!C$5:M$209,8,FALSE),"")</f>
        <v>ER309</v>
      </c>
      <c r="M446" s="76" t="s">
        <v>319</v>
      </c>
      <c r="N446" s="21">
        <v>45734</v>
      </c>
      <c r="O446" s="21">
        <v>45735</v>
      </c>
      <c r="P446" s="21">
        <f t="shared" si="15"/>
        <v>46100</v>
      </c>
      <c r="Q446" s="164" t="str">
        <f>IF($G446&lt;&gt;"",VLOOKUP($G446,'WPS '!C$5:M$209,11,FALSE),"")</f>
        <v>ASME IX</v>
      </c>
      <c r="R446" s="147" t="str">
        <f>IF($G446&lt;&gt;"",VLOOKUP($G446,'WPS '!$C$5:$M$209,2,FALSE),"")</f>
        <v>OSR-WPS-ASME-GM-010</v>
      </c>
      <c r="S446" s="30" t="s">
        <v>356</v>
      </c>
      <c r="T446" s="30"/>
      <c r="U446" s="30"/>
      <c r="V446" s="30"/>
      <c r="W446" s="62"/>
      <c r="X446" s="30"/>
      <c r="Y446" s="31"/>
      <c r="Z446" s="31"/>
      <c r="AA446" s="31"/>
      <c r="AB446" s="62"/>
      <c r="AC446" s="62"/>
      <c r="AD446" s="62"/>
      <c r="AE446" s="146"/>
      <c r="AF446" s="146"/>
      <c r="AG446" s="66">
        <v>2</v>
      </c>
      <c r="AH446" s="28" t="s">
        <v>1533</v>
      </c>
    </row>
    <row r="447" spans="1:34" ht="45" customHeight="1">
      <c r="A447" s="293">
        <f t="shared" si="14"/>
        <v>440</v>
      </c>
      <c r="B447" s="28" t="s">
        <v>326</v>
      </c>
      <c r="C447" s="296" t="s">
        <v>1635</v>
      </c>
      <c r="D447" s="56">
        <f>IF(F447="","",SUBTOTAL(3,$F$6:F447))</f>
        <v>441</v>
      </c>
      <c r="E447" s="34" t="s">
        <v>123</v>
      </c>
      <c r="F447" s="107" t="s">
        <v>1706</v>
      </c>
      <c r="G447" s="39" t="s">
        <v>1225</v>
      </c>
      <c r="H447" s="83" t="str">
        <f>IF($G447&lt;&gt;"",VLOOKUP($G447,'WPS '!C$5:M$209,3,FALSE),"")</f>
        <v>FCAW</v>
      </c>
      <c r="I447" s="22" t="s">
        <v>1293</v>
      </c>
      <c r="J447" s="77" t="s">
        <v>1215</v>
      </c>
      <c r="K447" s="69" t="s">
        <v>1292</v>
      </c>
      <c r="L447" s="22" t="str">
        <f>IF($G447&lt;&gt;"",VLOOKUP($G447,'WPS '!C$5:M$209,8,FALSE),"")</f>
        <v>E71T-1C</v>
      </c>
      <c r="M447" s="76" t="s">
        <v>1513</v>
      </c>
      <c r="N447" s="21">
        <v>45894</v>
      </c>
      <c r="O447" s="21">
        <v>45906</v>
      </c>
      <c r="P447" s="21">
        <f t="shared" si="15"/>
        <v>46271</v>
      </c>
      <c r="Q447" s="164" t="str">
        <f>IF($G447&lt;&gt;"",VLOOKUP($G447,'WPS '!C$5:M$209,11,FALSE),"")</f>
        <v>AWS D1.1</v>
      </c>
      <c r="R447" s="147" t="str">
        <f>IF($G447&lt;&gt;"",VLOOKUP($G447,'WPS '!$C$5:$M$209,2,FALSE),"")</f>
        <v>OSR-WPS-D1.1-FC-107</v>
      </c>
      <c r="S447" s="30"/>
      <c r="T447" s="30"/>
      <c r="U447" s="30"/>
      <c r="V447" s="32"/>
      <c r="W447" s="32"/>
      <c r="X447" s="32"/>
      <c r="Y447" s="32"/>
      <c r="Z447" s="32"/>
      <c r="AA447" s="32"/>
      <c r="AB447" s="32"/>
      <c r="AC447" s="62" t="s">
        <v>356</v>
      </c>
      <c r="AD447" s="62" t="s">
        <v>356</v>
      </c>
      <c r="AE447" s="146"/>
      <c r="AF447" s="146"/>
      <c r="AG447" s="153">
        <v>2</v>
      </c>
    </row>
    <row r="448" spans="1:34" ht="45" customHeight="1">
      <c r="A448" s="293">
        <f t="shared" si="14"/>
        <v>441</v>
      </c>
      <c r="B448" s="28" t="s">
        <v>326</v>
      </c>
      <c r="C448" s="28" t="s">
        <v>328</v>
      </c>
      <c r="D448" s="56">
        <f>IF(F448="","",SUBTOTAL(3,$F$6:F448))</f>
        <v>442</v>
      </c>
      <c r="E448" s="34" t="s">
        <v>124</v>
      </c>
      <c r="F448" s="107" t="s">
        <v>1761</v>
      </c>
      <c r="G448" s="39" t="s">
        <v>719</v>
      </c>
      <c r="H448" s="83" t="str">
        <f>IF($G448&lt;&gt;"",VLOOKUP($G448,'WPS '!C$5:M$209,3,FALSE),"")</f>
        <v>FCAW</v>
      </c>
      <c r="I448" s="22" t="s">
        <v>850</v>
      </c>
      <c r="J448" s="22" t="s">
        <v>1215</v>
      </c>
      <c r="K448" s="69" t="s">
        <v>964</v>
      </c>
      <c r="L448" s="22" t="str">
        <f>IF($G448&lt;&gt;"",VLOOKUP($G448,'WPS '!C$5:M$209,8,FALSE),"")</f>
        <v>E71T-1C</v>
      </c>
      <c r="M448" s="76" t="s">
        <v>297</v>
      </c>
      <c r="N448" s="21">
        <v>45586</v>
      </c>
      <c r="O448" s="21">
        <v>45590</v>
      </c>
      <c r="P448" s="21">
        <f t="shared" si="15"/>
        <v>46137</v>
      </c>
      <c r="Q448" s="164" t="str">
        <f>IF($G448&lt;&gt;"",VLOOKUP($G448,'WPS '!C$5:M$209,11,FALSE),"")</f>
        <v>ASME IX</v>
      </c>
      <c r="R448" s="147" t="str">
        <f>IF($G448&lt;&gt;"",VLOOKUP($G448,'WPS '!$C$5:$M$209,2,FALSE),"")</f>
        <v>OSR-WPS-ASME-FC-002</v>
      </c>
      <c r="S448" s="30" t="s">
        <v>356</v>
      </c>
      <c r="T448" s="30"/>
      <c r="U448" s="30"/>
      <c r="V448" s="30"/>
      <c r="W448" s="62"/>
      <c r="X448" s="30"/>
      <c r="Y448" s="148"/>
      <c r="Z448" s="148"/>
      <c r="AA448" s="148"/>
      <c r="AB448" s="62"/>
      <c r="AC448" s="62"/>
      <c r="AD448" s="62"/>
      <c r="AE448" s="146"/>
      <c r="AF448" s="146"/>
      <c r="AG448" s="67">
        <v>3</v>
      </c>
      <c r="AH448" s="18"/>
    </row>
    <row r="449" spans="1:34" ht="45" customHeight="1">
      <c r="A449" s="293">
        <f t="shared" si="14"/>
        <v>442</v>
      </c>
      <c r="B449" s="28" t="s">
        <v>326</v>
      </c>
      <c r="C449" s="28" t="s">
        <v>328</v>
      </c>
      <c r="D449" s="56">
        <f>IF(F449="","",SUBTOTAL(3,$F$6:F449))</f>
        <v>443</v>
      </c>
      <c r="E449" s="34" t="s">
        <v>124</v>
      </c>
      <c r="F449" s="107" t="s">
        <v>1761</v>
      </c>
      <c r="G449" s="39" t="s">
        <v>728</v>
      </c>
      <c r="H449" s="83" t="str">
        <f>IF($G449&lt;&gt;"",VLOOKUP($G449,'WPS '!C$5:M$209,3,FALSE),"")</f>
        <v>GMAW</v>
      </c>
      <c r="I449" s="22" t="s">
        <v>853</v>
      </c>
      <c r="J449" s="22" t="s">
        <v>1472</v>
      </c>
      <c r="K449" s="69" t="s">
        <v>105</v>
      </c>
      <c r="L449" s="22" t="str">
        <f>IF($G449&lt;&gt;"",VLOOKUP($G449,'WPS '!C$5:M$209,8,FALSE),"")</f>
        <v>ER309</v>
      </c>
      <c r="M449" s="76" t="s">
        <v>298</v>
      </c>
      <c r="N449" s="21">
        <v>45734</v>
      </c>
      <c r="O449" s="21">
        <v>45735</v>
      </c>
      <c r="P449" s="21">
        <f t="shared" si="15"/>
        <v>46100</v>
      </c>
      <c r="Q449" s="164" t="str">
        <f>IF($G449&lt;&gt;"",VLOOKUP($G449,'WPS '!C$5:M$209,11,FALSE),"")</f>
        <v>ASME IX</v>
      </c>
      <c r="R449" s="147" t="str">
        <f>IF($G449&lt;&gt;"",VLOOKUP($G449,'WPS '!$C$5:$M$209,2,FALSE),"")</f>
        <v>OSR-WPS-ASME-GM-011</v>
      </c>
      <c r="S449" s="30" t="s">
        <v>356</v>
      </c>
      <c r="T449" s="30"/>
      <c r="U449" s="30"/>
      <c r="V449" s="30"/>
      <c r="W449" s="62"/>
      <c r="X449" s="30"/>
      <c r="Y449" s="31"/>
      <c r="Z449" s="31"/>
      <c r="AA449" s="31"/>
      <c r="AB449" s="62"/>
      <c r="AC449" s="62"/>
      <c r="AD449" s="62"/>
      <c r="AE449" s="146"/>
      <c r="AF449" s="146"/>
      <c r="AG449" s="66">
        <v>2</v>
      </c>
      <c r="AH449" s="28" t="s">
        <v>1533</v>
      </c>
    </row>
    <row r="450" spans="1:34" ht="45" customHeight="1">
      <c r="A450" s="293">
        <f t="shared" si="14"/>
        <v>443</v>
      </c>
      <c r="B450" s="28" t="s">
        <v>246</v>
      </c>
      <c r="C450" s="28" t="s">
        <v>328</v>
      </c>
      <c r="D450" s="56">
        <f>IF(F450="","",SUBTOTAL(3,$F$6:F450))</f>
        <v>444</v>
      </c>
      <c r="E450" s="34" t="s">
        <v>248</v>
      </c>
      <c r="F450" s="107" t="s">
        <v>1739</v>
      </c>
      <c r="G450" s="39" t="s">
        <v>719</v>
      </c>
      <c r="H450" s="83" t="str">
        <f>IF($G450&lt;&gt;"",VLOOKUP($G450,'WPS '!C$5:M$209,3,FALSE),"")</f>
        <v>FCAW</v>
      </c>
      <c r="I450" s="22" t="s">
        <v>849</v>
      </c>
      <c r="J450" s="22" t="s">
        <v>1215</v>
      </c>
      <c r="K450" s="69" t="s">
        <v>964</v>
      </c>
      <c r="L450" s="22" t="str">
        <f>IF($G450&lt;&gt;"",VLOOKUP($G450,'WPS '!C$5:M$209,8,FALSE),"")</f>
        <v>E71T-1C</v>
      </c>
      <c r="M450" s="76" t="s">
        <v>285</v>
      </c>
      <c r="N450" s="21">
        <v>45863</v>
      </c>
      <c r="O450" s="21">
        <v>45865</v>
      </c>
      <c r="P450" s="21">
        <f t="shared" si="15"/>
        <v>46230</v>
      </c>
      <c r="Q450" s="164" t="str">
        <f>IF($G450&lt;&gt;"",VLOOKUP($G450,'WPS '!C$5:M$209,11,FALSE),"")</f>
        <v>ASME IX</v>
      </c>
      <c r="R450" s="147" t="str">
        <f>IF($G450&lt;&gt;"",VLOOKUP($G450,'WPS '!$C$5:$M$209,2,FALSE),"")</f>
        <v>OSR-WPS-ASME-FC-002</v>
      </c>
      <c r="S450" s="30" t="s">
        <v>356</v>
      </c>
      <c r="T450" s="30"/>
      <c r="U450" s="30"/>
      <c r="V450" s="30"/>
      <c r="W450" s="62"/>
      <c r="X450" s="30"/>
      <c r="Y450" s="31"/>
      <c r="Z450" s="31"/>
      <c r="AA450" s="31"/>
      <c r="AB450" s="62"/>
      <c r="AC450" s="62"/>
      <c r="AD450" s="62"/>
      <c r="AE450" s="146"/>
      <c r="AF450" s="146"/>
      <c r="AG450" s="67">
        <v>2</v>
      </c>
      <c r="AH450" s="18"/>
    </row>
    <row r="451" spans="1:34" ht="45" customHeight="1">
      <c r="A451" s="293">
        <f t="shared" si="14"/>
        <v>444</v>
      </c>
      <c r="B451" s="28" t="s">
        <v>327</v>
      </c>
      <c r="C451" s="28" t="s">
        <v>328</v>
      </c>
      <c r="D451" s="56">
        <f>IF(F451="","",SUBTOTAL(3,$F$6:F451))</f>
        <v>445</v>
      </c>
      <c r="E451" s="34" t="s">
        <v>126</v>
      </c>
      <c r="F451" s="107" t="s">
        <v>1734</v>
      </c>
      <c r="G451" s="39" t="s">
        <v>725</v>
      </c>
      <c r="H451" s="83" t="str">
        <f>IF($G451&lt;&gt;"",VLOOKUP($G451,'WPS '!C$5:M$209,3,FALSE),"")</f>
        <v>SMAW</v>
      </c>
      <c r="I451" s="22" t="s">
        <v>853</v>
      </c>
      <c r="J451" s="22" t="s">
        <v>1472</v>
      </c>
      <c r="K451" s="69" t="s">
        <v>105</v>
      </c>
      <c r="L451" s="22" t="str">
        <f>IF($G451&lt;&gt;"",VLOOKUP($G451,'WPS '!C$5:M$209,8,FALSE),"")</f>
        <v>ERNiCr 3</v>
      </c>
      <c r="M451" s="76" t="s">
        <v>1566</v>
      </c>
      <c r="N451" s="21">
        <v>45720</v>
      </c>
      <c r="O451" s="21">
        <v>45724</v>
      </c>
      <c r="P451" s="21">
        <f t="shared" si="15"/>
        <v>46089</v>
      </c>
      <c r="Q451" s="164" t="str">
        <f>IF($G451&lt;&gt;"",VLOOKUP($G451,'WPS '!C$5:M$209,11,FALSE),"")</f>
        <v>ASME IX</v>
      </c>
      <c r="R451" s="147" t="str">
        <f>IF($G451&lt;&gt;"",VLOOKUP($G451,'WPS '!$C$5:$M$209,2,FALSE),"")</f>
        <v>OSR-WPS-ASME-FC-008</v>
      </c>
      <c r="S451" s="30" t="s">
        <v>356</v>
      </c>
      <c r="T451" s="30"/>
      <c r="U451" s="30"/>
      <c r="V451" s="30"/>
      <c r="W451" s="62"/>
      <c r="X451" s="30"/>
      <c r="Y451" s="32"/>
      <c r="Z451" s="32"/>
      <c r="AA451" s="32"/>
      <c r="AB451" s="62"/>
      <c r="AC451" s="62"/>
      <c r="AD451" s="62"/>
      <c r="AE451" s="146"/>
      <c r="AF451" s="146"/>
      <c r="AG451" s="67">
        <v>2</v>
      </c>
      <c r="AH451" s="18"/>
    </row>
    <row r="452" spans="1:34" ht="45" customHeight="1">
      <c r="A452" s="293">
        <f t="shared" si="14"/>
        <v>445</v>
      </c>
      <c r="B452" s="5" t="s">
        <v>326</v>
      </c>
      <c r="C452" s="296" t="s">
        <v>1635</v>
      </c>
      <c r="D452" s="56">
        <f>IF(F452="","",SUBTOTAL(3,$F$6:F452))</f>
        <v>446</v>
      </c>
      <c r="E452" s="34" t="s">
        <v>93</v>
      </c>
      <c r="F452" s="108" t="s">
        <v>1721</v>
      </c>
      <c r="G452" s="40" t="s">
        <v>675</v>
      </c>
      <c r="H452" s="83">
        <f>IF($G452&lt;&gt;"",VLOOKUP($G452,'WPS '!C$5:M$209,3,FALSE),"")</f>
        <v>136</v>
      </c>
      <c r="I452" s="22" t="s">
        <v>1251</v>
      </c>
      <c r="J452" s="22" t="s">
        <v>242</v>
      </c>
      <c r="K452" s="69" t="s">
        <v>884</v>
      </c>
      <c r="L452" s="22" t="str">
        <f>IF($G452&lt;&gt;"",VLOOKUP($G452,'WPS '!C$5:M$209,8,FALSE),"")</f>
        <v>E71T-1C</v>
      </c>
      <c r="M452" s="76" t="s">
        <v>927</v>
      </c>
      <c r="N452" s="21">
        <v>45795</v>
      </c>
      <c r="O452" s="21">
        <v>45799</v>
      </c>
      <c r="P452" s="21">
        <f t="shared" si="15"/>
        <v>46164</v>
      </c>
      <c r="Q452" s="164" t="s">
        <v>1811</v>
      </c>
      <c r="R452" s="147" t="str">
        <f>IF($G452&lt;&gt;"",VLOOKUP($G452,'WPS '!$C$5:$M$209,2,FALSE),"")</f>
        <v>OSR-WPS-ISO-PE-020</v>
      </c>
      <c r="S452" s="30"/>
      <c r="T452" s="30"/>
      <c r="U452" s="30"/>
      <c r="V452" s="30"/>
      <c r="W452" s="30"/>
      <c r="X452" s="30"/>
      <c r="Y452" s="30" t="s">
        <v>95</v>
      </c>
      <c r="Z452" s="30"/>
      <c r="AA452" s="30"/>
      <c r="AB452" s="30"/>
      <c r="AC452" s="30"/>
      <c r="AD452" s="30"/>
      <c r="AE452" s="54"/>
      <c r="AF452" s="54"/>
      <c r="AG452" s="66">
        <v>2</v>
      </c>
      <c r="AH452" s="115"/>
    </row>
    <row r="453" spans="1:34" ht="45" customHeight="1">
      <c r="A453" s="293">
        <f t="shared" si="14"/>
        <v>446</v>
      </c>
      <c r="B453" s="5" t="s">
        <v>326</v>
      </c>
      <c r="C453" s="296" t="s">
        <v>1635</v>
      </c>
      <c r="D453" s="56">
        <f>IF(F453="","",SUBTOTAL(3,$F$6:F453))</f>
        <v>447</v>
      </c>
      <c r="E453" s="34" t="s">
        <v>93</v>
      </c>
      <c r="F453" s="108" t="s">
        <v>1721</v>
      </c>
      <c r="G453" s="40" t="s">
        <v>675</v>
      </c>
      <c r="H453" s="83">
        <f>IF($G453&lt;&gt;"",VLOOKUP($G453,'WPS '!C$5:M$209,3,FALSE),"")</f>
        <v>136</v>
      </c>
      <c r="I453" s="22" t="s">
        <v>1251</v>
      </c>
      <c r="J453" s="22" t="s">
        <v>244</v>
      </c>
      <c r="K453" s="69" t="s">
        <v>884</v>
      </c>
      <c r="L453" s="22" t="str">
        <f>IF($G453&lt;&gt;"",VLOOKUP($G453,'WPS '!C$5:M$209,8,FALSE),"")</f>
        <v>E71T-1C</v>
      </c>
      <c r="M453" s="76" t="s">
        <v>928</v>
      </c>
      <c r="N453" s="21">
        <v>45813</v>
      </c>
      <c r="O453" s="21">
        <v>45816</v>
      </c>
      <c r="P453" s="21">
        <f t="shared" si="15"/>
        <v>46181</v>
      </c>
      <c r="Q453" s="164" t="s">
        <v>1811</v>
      </c>
      <c r="R453" s="147" t="str">
        <f>IF($G453&lt;&gt;"",VLOOKUP($G453,'WPS '!$C$5:$M$209,2,FALSE),"")</f>
        <v>OSR-WPS-ISO-PE-020</v>
      </c>
      <c r="S453" s="30"/>
      <c r="T453" s="30"/>
      <c r="U453" s="30"/>
      <c r="V453" s="30"/>
      <c r="W453" s="30"/>
      <c r="X453" s="30"/>
      <c r="Y453" s="30" t="s">
        <v>95</v>
      </c>
      <c r="Z453" s="30"/>
      <c r="AA453" s="30"/>
      <c r="AB453" s="30"/>
      <c r="AC453" s="30"/>
      <c r="AD453" s="30"/>
      <c r="AE453" s="54"/>
      <c r="AF453" s="54"/>
      <c r="AG453" s="66">
        <v>2</v>
      </c>
      <c r="AH453" s="115"/>
    </row>
    <row r="454" spans="1:34" ht="45" customHeight="1">
      <c r="A454" s="293">
        <f t="shared" si="14"/>
        <v>447</v>
      </c>
      <c r="B454" s="5" t="s">
        <v>326</v>
      </c>
      <c r="C454" s="296" t="s">
        <v>1635</v>
      </c>
      <c r="D454" s="56">
        <f>IF(F454="","",SUBTOTAL(3,$F$6:F454))</f>
        <v>448</v>
      </c>
      <c r="E454" s="34" t="s">
        <v>93</v>
      </c>
      <c r="F454" s="108" t="s">
        <v>1721</v>
      </c>
      <c r="G454" s="40" t="s">
        <v>700</v>
      </c>
      <c r="H454" s="83">
        <f>IF($G454&lt;&gt;"",VLOOKUP($G454,'WPS '!C$5:M$209,3,FALSE),"")</f>
        <v>136</v>
      </c>
      <c r="I454" s="22" t="s">
        <v>1250</v>
      </c>
      <c r="J454" s="22" t="s">
        <v>242</v>
      </c>
      <c r="K454" s="69" t="s">
        <v>884</v>
      </c>
      <c r="L454" s="22" t="str">
        <f>IF($G454&lt;&gt;"",VLOOKUP($G454,'WPS '!C$5:M$209,8,FALSE),"")</f>
        <v>E81T1-W2C</v>
      </c>
      <c r="M454" s="76" t="s">
        <v>929</v>
      </c>
      <c r="N454" s="21">
        <v>45724</v>
      </c>
      <c r="O454" s="21">
        <v>45731</v>
      </c>
      <c r="P454" s="21">
        <f t="shared" si="15"/>
        <v>46096</v>
      </c>
      <c r="Q454" s="164" t="s">
        <v>1811</v>
      </c>
      <c r="R454" s="147" t="str">
        <f>IF($G454&lt;&gt;"",VLOOKUP($G454,'WPS '!$C$5:$M$209,2,FALSE),"")</f>
        <v>OSR-WPS-ISO-PF-045</v>
      </c>
      <c r="S454" s="30"/>
      <c r="T454" s="30"/>
      <c r="U454" s="30"/>
      <c r="V454" s="30"/>
      <c r="W454" s="30"/>
      <c r="X454" s="30" t="s">
        <v>95</v>
      </c>
      <c r="Y454" s="30"/>
      <c r="Z454" s="30"/>
      <c r="AA454" s="30"/>
      <c r="AB454" s="30"/>
      <c r="AC454" s="30"/>
      <c r="AD454" s="30"/>
      <c r="AE454" s="54"/>
      <c r="AF454" s="54"/>
      <c r="AG454" s="66">
        <v>2</v>
      </c>
      <c r="AH454" s="115"/>
    </row>
    <row r="455" spans="1:34" ht="45" customHeight="1">
      <c r="A455" s="293">
        <f t="shared" si="14"/>
        <v>448</v>
      </c>
      <c r="B455" s="5" t="s">
        <v>326</v>
      </c>
      <c r="C455" s="296" t="s">
        <v>1635</v>
      </c>
      <c r="D455" s="56">
        <f>IF(F455="","",SUBTOTAL(3,$F$6:F455))</f>
        <v>449</v>
      </c>
      <c r="E455" s="180" t="s">
        <v>93</v>
      </c>
      <c r="F455" s="179" t="s">
        <v>1721</v>
      </c>
      <c r="G455" s="181" t="s">
        <v>1640</v>
      </c>
      <c r="H455" s="182" t="str">
        <f>IF($G455&lt;&gt;"",VLOOKUP($G455,'WPS '!C$5:M$209,3,FALSE),"")</f>
        <v>GMAW</v>
      </c>
      <c r="I455" s="183" t="s">
        <v>1643</v>
      </c>
      <c r="J455" s="183" t="s">
        <v>1390</v>
      </c>
      <c r="K455" s="184" t="s">
        <v>1644</v>
      </c>
      <c r="L455" s="183" t="str">
        <f>IF($G455&lt;&gt;"",VLOOKUP($G455,'WPS '!C$5:M$209,8,FALSE),"")</f>
        <v>E70S-6</v>
      </c>
      <c r="M455" s="185" t="s">
        <v>1645</v>
      </c>
      <c r="N455" s="186">
        <v>45959</v>
      </c>
      <c r="O455" s="186">
        <v>45967</v>
      </c>
      <c r="P455" s="186">
        <f t="shared" si="15"/>
        <v>46332</v>
      </c>
      <c r="Q455" s="187" t="str">
        <f>IF($G455&lt;&gt;"",VLOOKUP($G455,'WPS '!C$5:M$209,11,FALSE),"")</f>
        <v>AWS D1.1</v>
      </c>
      <c r="R455" s="147" t="str">
        <f>IF($G455&lt;&gt;"",VLOOKUP($G455,'WPS '!$C$5:$M$209,2,FALSE),"")</f>
        <v>OSR-WPS-D1.1-GM-110</v>
      </c>
      <c r="S455" s="30"/>
      <c r="T455" s="30"/>
      <c r="U455" s="30"/>
      <c r="V455" s="30"/>
      <c r="W455" s="30"/>
      <c r="X455" s="30"/>
      <c r="Y455" s="30"/>
      <c r="Z455" s="30"/>
      <c r="AA455" s="30"/>
      <c r="AB455" s="30"/>
      <c r="AC455" s="30" t="s">
        <v>95</v>
      </c>
      <c r="AD455" s="30" t="s">
        <v>95</v>
      </c>
      <c r="AE455" s="54"/>
      <c r="AF455" s="54" t="s">
        <v>356</v>
      </c>
      <c r="AG455" s="66">
        <v>2</v>
      </c>
      <c r="AH455" s="115"/>
    </row>
    <row r="456" spans="1:34" ht="45" customHeight="1">
      <c r="A456" s="293">
        <f t="shared" ref="A456:A468" si="16">A455+1</f>
        <v>449</v>
      </c>
      <c r="B456" s="5" t="s">
        <v>326</v>
      </c>
      <c r="C456" s="296" t="s">
        <v>1635</v>
      </c>
      <c r="D456" s="56">
        <f>IF(F456="","",SUBTOTAL(3,$F$6:F456))</f>
        <v>450</v>
      </c>
      <c r="E456" s="34" t="s">
        <v>127</v>
      </c>
      <c r="F456" s="107" t="s">
        <v>1737</v>
      </c>
      <c r="G456" s="40" t="s">
        <v>706</v>
      </c>
      <c r="H456" s="83">
        <f>IF($G456&lt;&gt;"",VLOOKUP($G456,'WPS '!C$5:M$209,3,FALSE),"")</f>
        <v>136</v>
      </c>
      <c r="I456" s="22" t="s">
        <v>1251</v>
      </c>
      <c r="J456" s="22" t="s">
        <v>242</v>
      </c>
      <c r="K456" s="69" t="s">
        <v>884</v>
      </c>
      <c r="L456" s="22" t="str">
        <f>IF($G456&lt;&gt;"",VLOOKUP($G456,'WPS '!C$5:M$209,8,FALSE),"")</f>
        <v>E71T-1C</v>
      </c>
      <c r="M456" s="76" t="s">
        <v>930</v>
      </c>
      <c r="N456" s="21">
        <v>45796</v>
      </c>
      <c r="O456" s="21">
        <v>45799</v>
      </c>
      <c r="P456" s="21">
        <f t="shared" si="15"/>
        <v>46164</v>
      </c>
      <c r="Q456" s="164" t="s">
        <v>1811</v>
      </c>
      <c r="R456" s="147" t="str">
        <f>IF($G456&lt;&gt;"",VLOOKUP($G456,'WPS '!$C$5:$M$209,2,FALSE),"")</f>
        <v>OSR-WPS-ISO-PF-051</v>
      </c>
      <c r="S456" s="30"/>
      <c r="T456" s="30"/>
      <c r="U456" s="30"/>
      <c r="V456" s="30"/>
      <c r="W456" s="30"/>
      <c r="X456" s="30"/>
      <c r="Y456" s="30" t="s">
        <v>95</v>
      </c>
      <c r="Z456" s="30"/>
      <c r="AA456" s="30"/>
      <c r="AB456" s="30"/>
      <c r="AC456" s="30"/>
      <c r="AD456" s="30"/>
      <c r="AE456" s="54"/>
      <c r="AF456" s="54"/>
      <c r="AG456" s="66">
        <v>2</v>
      </c>
      <c r="AH456" s="115"/>
    </row>
    <row r="457" spans="1:34" ht="45" customHeight="1">
      <c r="A457" s="293">
        <f t="shared" si="16"/>
        <v>450</v>
      </c>
      <c r="B457" s="5" t="s">
        <v>326</v>
      </c>
      <c r="C457" s="296" t="s">
        <v>1635</v>
      </c>
      <c r="D457" s="56">
        <f>IF(F457="","",SUBTOTAL(3,$F$6:F457))</f>
        <v>451</v>
      </c>
      <c r="E457" s="34" t="s">
        <v>127</v>
      </c>
      <c r="F457" s="107" t="s">
        <v>1737</v>
      </c>
      <c r="G457" s="40" t="s">
        <v>706</v>
      </c>
      <c r="H457" s="83">
        <f>IF($G457&lt;&gt;"",VLOOKUP($G457,'WPS '!C$5:M$209,3,FALSE),"")</f>
        <v>136</v>
      </c>
      <c r="I457" s="22" t="s">
        <v>1251</v>
      </c>
      <c r="J457" s="22" t="s">
        <v>931</v>
      </c>
      <c r="K457" s="69" t="s">
        <v>884</v>
      </c>
      <c r="L457" s="22" t="str">
        <f>IF($G457&lt;&gt;"",VLOOKUP($G457,'WPS '!C$5:M$209,8,FALSE),"")</f>
        <v>E71T-1C</v>
      </c>
      <c r="M457" s="76" t="s">
        <v>932</v>
      </c>
      <c r="N457" s="21">
        <v>45813</v>
      </c>
      <c r="O457" s="21">
        <v>45816</v>
      </c>
      <c r="P457" s="21">
        <f t="shared" si="15"/>
        <v>46181</v>
      </c>
      <c r="Q457" s="164" t="s">
        <v>1811</v>
      </c>
      <c r="R457" s="147" t="str">
        <f>IF($G457&lt;&gt;"",VLOOKUP($G457,'WPS '!$C$5:$M$209,2,FALSE),"")</f>
        <v>OSR-WPS-ISO-PF-051</v>
      </c>
      <c r="S457" s="30"/>
      <c r="T457" s="30"/>
      <c r="U457" s="30"/>
      <c r="V457" s="30"/>
      <c r="W457" s="30"/>
      <c r="X457" s="30"/>
      <c r="Y457" s="30" t="s">
        <v>95</v>
      </c>
      <c r="Z457" s="30"/>
      <c r="AA457" s="30"/>
      <c r="AB457" s="30"/>
      <c r="AC457" s="30"/>
      <c r="AD457" s="30"/>
      <c r="AE457" s="54"/>
      <c r="AF457" s="54"/>
      <c r="AG457" s="66">
        <v>2</v>
      </c>
      <c r="AH457" s="115"/>
    </row>
    <row r="458" spans="1:34" ht="45" customHeight="1">
      <c r="A458" s="293">
        <f t="shared" si="16"/>
        <v>451</v>
      </c>
      <c r="B458" s="28" t="s">
        <v>327</v>
      </c>
      <c r="C458" s="295" t="s">
        <v>1635</v>
      </c>
      <c r="D458" s="56">
        <f>IF(F458="","",SUBTOTAL(3,$F$6:F458))</f>
        <v>452</v>
      </c>
      <c r="E458" s="34" t="s">
        <v>127</v>
      </c>
      <c r="F458" s="107" t="s">
        <v>1737</v>
      </c>
      <c r="G458" s="39" t="s">
        <v>728</v>
      </c>
      <c r="H458" s="83" t="str">
        <f>IF($G458&lt;&gt;"",VLOOKUP($G458,'WPS '!C$5:M$209,3,FALSE),"")</f>
        <v>GMAW</v>
      </c>
      <c r="I458" s="22" t="s">
        <v>852</v>
      </c>
      <c r="J458" s="22" t="s">
        <v>1472</v>
      </c>
      <c r="K458" s="69" t="s">
        <v>105</v>
      </c>
      <c r="L458" s="22" t="str">
        <f>IF($G458&lt;&gt;"",VLOOKUP($G458,'WPS '!C$5:M$209,8,FALSE),"")</f>
        <v>ER309</v>
      </c>
      <c r="M458" s="76" t="s">
        <v>317</v>
      </c>
      <c r="N458" s="21">
        <v>45731</v>
      </c>
      <c r="O458" s="21">
        <v>45733</v>
      </c>
      <c r="P458" s="21">
        <f t="shared" si="15"/>
        <v>46098</v>
      </c>
      <c r="Q458" s="164" t="str">
        <f>IF($G458&lt;&gt;"",VLOOKUP($G458,'WPS '!C$5:M$209,11,FALSE),"")</f>
        <v>ASME IX</v>
      </c>
      <c r="R458" s="147" t="str">
        <f>IF($G458&lt;&gt;"",VLOOKUP($G458,'WPS '!$C$5:$M$209,2,FALSE),"")</f>
        <v>OSR-WPS-ASME-GM-011</v>
      </c>
      <c r="S458" s="30" t="s">
        <v>356</v>
      </c>
      <c r="T458" s="30"/>
      <c r="U458" s="30"/>
      <c r="V458" s="30"/>
      <c r="W458" s="62"/>
      <c r="X458" s="30"/>
      <c r="Y458" s="31"/>
      <c r="Z458" s="31"/>
      <c r="AA458" s="31"/>
      <c r="AB458" s="62"/>
      <c r="AC458" s="62"/>
      <c r="AD458" s="62"/>
      <c r="AE458" s="146"/>
      <c r="AF458" s="146"/>
      <c r="AG458" s="66">
        <v>2</v>
      </c>
      <c r="AH458" s="28" t="s">
        <v>1533</v>
      </c>
    </row>
    <row r="459" spans="1:34" ht="45" customHeight="1">
      <c r="A459" s="293">
        <f t="shared" si="16"/>
        <v>452</v>
      </c>
      <c r="B459" s="5" t="s">
        <v>1634</v>
      </c>
      <c r="C459" s="5" t="s">
        <v>328</v>
      </c>
      <c r="D459" s="56">
        <f>IF(F459="","",SUBTOTAL(3,$F$6:F459))</f>
        <v>453</v>
      </c>
      <c r="E459" s="36" t="s">
        <v>151</v>
      </c>
      <c r="F459" s="106" t="s">
        <v>1777</v>
      </c>
      <c r="G459" s="40" t="s">
        <v>701</v>
      </c>
      <c r="H459" s="83">
        <f>IF($G459&lt;&gt;"",VLOOKUP($G459,'WPS '!C$5:M$209,3,FALSE),"")</f>
        <v>136</v>
      </c>
      <c r="I459" s="22" t="s">
        <v>1250</v>
      </c>
      <c r="J459" s="22" t="s">
        <v>257</v>
      </c>
      <c r="K459" s="69" t="s">
        <v>884</v>
      </c>
      <c r="L459" s="22" t="str">
        <f>IF($G459&lt;&gt;"",VLOOKUP($G459,'WPS '!C$5:M$209,8,FALSE),"")</f>
        <v>E81T1-W2C</v>
      </c>
      <c r="M459" s="76" t="s">
        <v>152</v>
      </c>
      <c r="N459" s="21">
        <v>45735</v>
      </c>
      <c r="O459" s="21">
        <v>45737</v>
      </c>
      <c r="P459" s="21">
        <f t="shared" si="15"/>
        <v>46102</v>
      </c>
      <c r="Q459" s="164" t="s">
        <v>1811</v>
      </c>
      <c r="R459" s="147" t="str">
        <f>IF($G459&lt;&gt;"",VLOOKUP($G459,'WPS '!$C$5:$M$209,2,FALSE),"")</f>
        <v>OSR-WPS-ISO-PC-046</v>
      </c>
      <c r="S459" s="30"/>
      <c r="T459" s="30"/>
      <c r="U459" s="30"/>
      <c r="V459" s="30"/>
      <c r="W459" s="30"/>
      <c r="X459" s="30" t="s">
        <v>95</v>
      </c>
      <c r="Y459" s="30"/>
      <c r="Z459" s="30"/>
      <c r="AA459" s="30"/>
      <c r="AB459" s="30"/>
      <c r="AC459" s="30"/>
      <c r="AD459" s="30"/>
      <c r="AE459" s="54"/>
      <c r="AF459" s="54"/>
      <c r="AG459" s="66">
        <v>2</v>
      </c>
      <c r="AH459" s="115"/>
    </row>
    <row r="460" spans="1:34" ht="45" customHeight="1">
      <c r="A460" s="293">
        <f t="shared" si="16"/>
        <v>453</v>
      </c>
      <c r="B460" s="5" t="s">
        <v>1634</v>
      </c>
      <c r="C460" s="5" t="s">
        <v>328</v>
      </c>
      <c r="D460" s="56">
        <f>IF(F460="","",SUBTOTAL(3,$F$6:F460))</f>
        <v>454</v>
      </c>
      <c r="E460" s="36" t="s">
        <v>153</v>
      </c>
      <c r="F460" s="106" t="s">
        <v>1707</v>
      </c>
      <c r="G460" s="40" t="s">
        <v>662</v>
      </c>
      <c r="H460" s="83">
        <f>IF($G460&lt;&gt;"",VLOOKUP($G460,'WPS '!C$5:M$209,3,FALSE),"")</f>
        <v>136</v>
      </c>
      <c r="I460" s="22" t="s">
        <v>1250</v>
      </c>
      <c r="J460" s="22" t="s">
        <v>243</v>
      </c>
      <c r="K460" s="69" t="s">
        <v>884</v>
      </c>
      <c r="L460" s="22" t="str">
        <f>IF($G460&lt;&gt;"",VLOOKUP($G460,'WPS '!C$5:M$209,8,FALSE),"")</f>
        <v>E71T-1C</v>
      </c>
      <c r="M460" s="76" t="s">
        <v>154</v>
      </c>
      <c r="N460" s="21">
        <v>45735</v>
      </c>
      <c r="O460" s="21">
        <v>45737</v>
      </c>
      <c r="P460" s="21">
        <f t="shared" si="15"/>
        <v>46102</v>
      </c>
      <c r="Q460" s="164" t="s">
        <v>1811</v>
      </c>
      <c r="R460" s="147" t="str">
        <f>IF($G460&lt;&gt;"",VLOOKUP($G460,'WPS '!$C$5:$M$209,2,FALSE),"")</f>
        <v>OSR-WPS-ISO-PB-006</v>
      </c>
      <c r="S460" s="30"/>
      <c r="T460" s="30"/>
      <c r="U460" s="30"/>
      <c r="V460" s="30"/>
      <c r="W460" s="30"/>
      <c r="X460" s="30" t="s">
        <v>95</v>
      </c>
      <c r="Y460" s="30"/>
      <c r="Z460" s="30"/>
      <c r="AA460" s="30"/>
      <c r="AB460" s="30"/>
      <c r="AC460" s="30"/>
      <c r="AD460" s="30"/>
      <c r="AE460" s="54"/>
      <c r="AF460" s="54"/>
      <c r="AG460" s="66">
        <v>2</v>
      </c>
      <c r="AH460" s="115"/>
    </row>
    <row r="461" spans="1:34" ht="45" customHeight="1">
      <c r="A461" s="293">
        <f t="shared" si="16"/>
        <v>454</v>
      </c>
      <c r="B461" s="5" t="s">
        <v>1634</v>
      </c>
      <c r="C461" s="5" t="s">
        <v>328</v>
      </c>
      <c r="D461" s="56">
        <f>IF(F461="","",SUBTOTAL(3,$F$6:F461))</f>
        <v>455</v>
      </c>
      <c r="E461" s="36" t="s">
        <v>155</v>
      </c>
      <c r="F461" s="106" t="s">
        <v>1752</v>
      </c>
      <c r="G461" s="40" t="s">
        <v>701</v>
      </c>
      <c r="H461" s="83">
        <f>IF($G461&lt;&gt;"",VLOOKUP($G461,'WPS '!C$5:M$209,3,FALSE),"")</f>
        <v>136</v>
      </c>
      <c r="I461" s="22" t="s">
        <v>1250</v>
      </c>
      <c r="J461" s="22" t="s">
        <v>257</v>
      </c>
      <c r="K461" s="69" t="s">
        <v>884</v>
      </c>
      <c r="L461" s="22" t="str">
        <f>IF($G461&lt;&gt;"",VLOOKUP($G461,'WPS '!C$5:M$209,8,FALSE),"")</f>
        <v>E81T1-W2C</v>
      </c>
      <c r="M461" s="76" t="s">
        <v>156</v>
      </c>
      <c r="N461" s="21">
        <v>45735</v>
      </c>
      <c r="O461" s="21">
        <v>45737</v>
      </c>
      <c r="P461" s="21">
        <f t="shared" si="15"/>
        <v>46102</v>
      </c>
      <c r="Q461" s="164" t="s">
        <v>1811</v>
      </c>
      <c r="R461" s="147" t="str">
        <f>IF($G461&lt;&gt;"",VLOOKUP($G461,'WPS '!$C$5:$M$209,2,FALSE),"")</f>
        <v>OSR-WPS-ISO-PC-046</v>
      </c>
      <c r="S461" s="30"/>
      <c r="T461" s="30"/>
      <c r="U461" s="30"/>
      <c r="V461" s="30"/>
      <c r="W461" s="30"/>
      <c r="X461" s="30" t="s">
        <v>95</v>
      </c>
      <c r="Y461" s="30"/>
      <c r="Z461" s="30"/>
      <c r="AA461" s="30"/>
      <c r="AB461" s="30"/>
      <c r="AC461" s="30"/>
      <c r="AD461" s="30"/>
      <c r="AE461" s="54"/>
      <c r="AF461" s="54"/>
      <c r="AG461" s="66">
        <v>2</v>
      </c>
      <c r="AH461" s="115"/>
    </row>
    <row r="462" spans="1:34" ht="45" customHeight="1">
      <c r="A462" s="293">
        <f t="shared" si="16"/>
        <v>455</v>
      </c>
      <c r="B462" s="5" t="s">
        <v>1634</v>
      </c>
      <c r="C462" s="5" t="s">
        <v>328</v>
      </c>
      <c r="D462" s="56">
        <f>IF(F462="","",SUBTOTAL(3,$F$6:F462))</f>
        <v>456</v>
      </c>
      <c r="E462" s="36" t="s">
        <v>157</v>
      </c>
      <c r="F462" s="106" t="s">
        <v>1712</v>
      </c>
      <c r="G462" s="40" t="s">
        <v>691</v>
      </c>
      <c r="H462" s="83" t="str">
        <f>IF($G462&lt;&gt;"",VLOOKUP($G462,'WPS '!C$5:M$209,3,FALSE),"")</f>
        <v>141+136</v>
      </c>
      <c r="I462" s="22" t="s">
        <v>1250</v>
      </c>
      <c r="J462" s="22" t="s">
        <v>251</v>
      </c>
      <c r="K462" s="69" t="s">
        <v>884</v>
      </c>
      <c r="L462" s="22" t="str">
        <f>IF($G462&lt;&gt;"",VLOOKUP($G462,'WPS '!C$5:M$209,8,FALSE),"")</f>
        <v>ER70S-G
E71T1-C1</v>
      </c>
      <c r="M462" s="76" t="s">
        <v>158</v>
      </c>
      <c r="N462" s="21">
        <v>45735</v>
      </c>
      <c r="O462" s="21">
        <v>45737</v>
      </c>
      <c r="P462" s="21">
        <f t="shared" si="15"/>
        <v>46102</v>
      </c>
      <c r="Q462" s="164" t="s">
        <v>1811</v>
      </c>
      <c r="R462" s="147" t="str">
        <f>IF($G462&lt;&gt;"",VLOOKUP($G462,'WPS '!$C$5:$M$209,2,FALSE),"")</f>
        <v>OSR-WPS-ISO-PA-036</v>
      </c>
      <c r="S462" s="54"/>
      <c r="T462" s="191"/>
      <c r="U462" s="30"/>
      <c r="V462" s="30"/>
      <c r="W462" s="30"/>
      <c r="X462" s="30" t="s">
        <v>95</v>
      </c>
      <c r="Y462" s="30"/>
      <c r="Z462" s="30"/>
      <c r="AA462" s="30"/>
      <c r="AB462" s="30"/>
      <c r="AC462" s="30"/>
      <c r="AD462" s="30"/>
      <c r="AE462" s="54"/>
      <c r="AF462" s="54"/>
      <c r="AG462" s="66">
        <v>2</v>
      </c>
      <c r="AH462" s="115"/>
    </row>
    <row r="463" spans="1:34" ht="45" customHeight="1">
      <c r="A463" s="293">
        <f t="shared" si="16"/>
        <v>456</v>
      </c>
      <c r="B463" s="5" t="s">
        <v>1634</v>
      </c>
      <c r="C463" s="5" t="s">
        <v>328</v>
      </c>
      <c r="D463" s="56">
        <f>IF(F463="","",SUBTOTAL(3,$F$6:F463))</f>
        <v>457</v>
      </c>
      <c r="E463" s="36" t="s">
        <v>159</v>
      </c>
      <c r="F463" s="112" t="s">
        <v>1793</v>
      </c>
      <c r="G463" s="40" t="s">
        <v>700</v>
      </c>
      <c r="H463" s="83">
        <f>IF($G463&lt;&gt;"",VLOOKUP($G463,'WPS '!C$5:M$209,3,FALSE),"")</f>
        <v>136</v>
      </c>
      <c r="I463" s="22" t="s">
        <v>1250</v>
      </c>
      <c r="J463" s="22" t="s">
        <v>242</v>
      </c>
      <c r="K463" s="69" t="s">
        <v>884</v>
      </c>
      <c r="L463" s="22" t="str">
        <f>IF($G463&lt;&gt;"",VLOOKUP($G463,'WPS '!C$5:M$209,8,FALSE),"")</f>
        <v>E81T1-W2C</v>
      </c>
      <c r="M463" s="76" t="s">
        <v>160</v>
      </c>
      <c r="N463" s="21">
        <v>45735</v>
      </c>
      <c r="O463" s="21">
        <v>45737</v>
      </c>
      <c r="P463" s="21">
        <f t="shared" si="15"/>
        <v>46102</v>
      </c>
      <c r="Q463" s="164" t="s">
        <v>1811</v>
      </c>
      <c r="R463" s="147" t="str">
        <f>IF($G463&lt;&gt;"",VLOOKUP($G463,'WPS '!$C$5:$M$209,2,FALSE),"")</f>
        <v>OSR-WPS-ISO-PF-045</v>
      </c>
      <c r="S463" s="30"/>
      <c r="T463" s="30"/>
      <c r="U463" s="30"/>
      <c r="V463" s="30"/>
      <c r="W463" s="30"/>
      <c r="X463" s="30" t="s">
        <v>95</v>
      </c>
      <c r="Y463" s="30"/>
      <c r="Z463" s="30"/>
      <c r="AA463" s="30"/>
      <c r="AB463" s="30"/>
      <c r="AC463" s="30"/>
      <c r="AD463" s="30"/>
      <c r="AE463" s="54"/>
      <c r="AF463" s="54"/>
      <c r="AG463" s="66">
        <v>2</v>
      </c>
      <c r="AH463" s="115"/>
    </row>
    <row r="464" spans="1:34" ht="45" customHeight="1">
      <c r="A464" s="293">
        <f t="shared" si="16"/>
        <v>457</v>
      </c>
      <c r="B464" s="5" t="s">
        <v>1634</v>
      </c>
      <c r="C464" s="5" t="s">
        <v>328</v>
      </c>
      <c r="D464" s="56">
        <f>IF(F464="","",SUBTOTAL(3,$F$6:F464))</f>
        <v>458</v>
      </c>
      <c r="E464" s="36" t="s">
        <v>161</v>
      </c>
      <c r="F464" s="106" t="s">
        <v>1711</v>
      </c>
      <c r="G464" s="40" t="s">
        <v>661</v>
      </c>
      <c r="H464" s="83">
        <f>IF($G464&lt;&gt;"",VLOOKUP($G464,'WPS '!C$5:M$209,3,FALSE),"")</f>
        <v>136</v>
      </c>
      <c r="I464" s="22" t="s">
        <v>1250</v>
      </c>
      <c r="J464" s="22" t="s">
        <v>242</v>
      </c>
      <c r="K464" s="69" t="s">
        <v>884</v>
      </c>
      <c r="L464" s="22" t="str">
        <f>IF($G464&lt;&gt;"",VLOOKUP($G464,'WPS '!C$5:M$209,8,FALSE),"")</f>
        <v>E71T-1C</v>
      </c>
      <c r="M464" s="76" t="s">
        <v>162</v>
      </c>
      <c r="N464" s="21">
        <v>45735</v>
      </c>
      <c r="O464" s="21">
        <v>45737</v>
      </c>
      <c r="P464" s="21">
        <f t="shared" si="15"/>
        <v>46102</v>
      </c>
      <c r="Q464" s="164" t="s">
        <v>1811</v>
      </c>
      <c r="R464" s="147" t="str">
        <f>IF($G464&lt;&gt;"",VLOOKUP($G464,'WPS '!$C$5:$M$209,2,FALSE),"")</f>
        <v>OSR-WPS-ISO-PC+PF-005</v>
      </c>
      <c r="S464" s="30"/>
      <c r="T464" s="30"/>
      <c r="U464" s="30"/>
      <c r="V464" s="30"/>
      <c r="W464" s="30"/>
      <c r="X464" s="30" t="s">
        <v>95</v>
      </c>
      <c r="Y464" s="30"/>
      <c r="Z464" s="30"/>
      <c r="AA464" s="30"/>
      <c r="AB464" s="30"/>
      <c r="AC464" s="30"/>
      <c r="AD464" s="30"/>
      <c r="AE464" s="54"/>
      <c r="AF464" s="54"/>
      <c r="AG464" s="66">
        <v>2</v>
      </c>
      <c r="AH464" s="115"/>
    </row>
    <row r="465" spans="1:34" ht="45" customHeight="1">
      <c r="A465" s="293">
        <f t="shared" si="16"/>
        <v>458</v>
      </c>
      <c r="B465" s="5" t="s">
        <v>1634</v>
      </c>
      <c r="C465" s="5" t="s">
        <v>328</v>
      </c>
      <c r="D465" s="56">
        <f>IF(F465="","",SUBTOTAL(3,$F$6:F465))</f>
        <v>459</v>
      </c>
      <c r="E465" s="36" t="s">
        <v>163</v>
      </c>
      <c r="F465" s="106" t="s">
        <v>1755</v>
      </c>
      <c r="G465" s="40" t="s">
        <v>661</v>
      </c>
      <c r="H465" s="83">
        <f>IF($G465&lt;&gt;"",VLOOKUP($G465,'WPS '!C$5:M$209,3,FALSE),"")</f>
        <v>136</v>
      </c>
      <c r="I465" s="22" t="s">
        <v>1250</v>
      </c>
      <c r="J465" s="22" t="s">
        <v>242</v>
      </c>
      <c r="K465" s="69" t="s">
        <v>884</v>
      </c>
      <c r="L465" s="22" t="str">
        <f>IF($G465&lt;&gt;"",VLOOKUP($G465,'WPS '!C$5:M$209,8,FALSE),"")</f>
        <v>E71T-1C</v>
      </c>
      <c r="M465" s="76" t="s">
        <v>164</v>
      </c>
      <c r="N465" s="21">
        <v>45735</v>
      </c>
      <c r="O465" s="21">
        <v>45737</v>
      </c>
      <c r="P465" s="21">
        <f t="shared" si="15"/>
        <v>46102</v>
      </c>
      <c r="Q465" s="164" t="s">
        <v>1811</v>
      </c>
      <c r="R465" s="147" t="str">
        <f>IF($G465&lt;&gt;"",VLOOKUP($G465,'WPS '!$C$5:$M$209,2,FALSE),"")</f>
        <v>OSR-WPS-ISO-PC+PF-005</v>
      </c>
      <c r="S465" s="30"/>
      <c r="T465" s="30"/>
      <c r="U465" s="30"/>
      <c r="V465" s="30"/>
      <c r="W465" s="30"/>
      <c r="X465" s="30" t="s">
        <v>95</v>
      </c>
      <c r="Y465" s="30"/>
      <c r="Z465" s="30"/>
      <c r="AA465" s="30"/>
      <c r="AB465" s="30"/>
      <c r="AC465" s="30"/>
      <c r="AD465" s="30"/>
      <c r="AE465" s="54"/>
      <c r="AF465" s="54"/>
      <c r="AG465" s="66">
        <v>2</v>
      </c>
      <c r="AH465" s="115"/>
    </row>
    <row r="466" spans="1:34" ht="45" customHeight="1">
      <c r="A466" s="293">
        <f t="shared" si="16"/>
        <v>459</v>
      </c>
      <c r="B466" s="5" t="s">
        <v>1634</v>
      </c>
      <c r="C466" s="5" t="s">
        <v>328</v>
      </c>
      <c r="D466" s="56">
        <f>IF(F466="","",SUBTOTAL(3,$F$6:F466))</f>
        <v>460</v>
      </c>
      <c r="E466" s="36" t="s">
        <v>163</v>
      </c>
      <c r="F466" s="106" t="s">
        <v>1755</v>
      </c>
      <c r="G466" s="40" t="s">
        <v>700</v>
      </c>
      <c r="H466" s="83">
        <f>IF($G466&lt;&gt;"",VLOOKUP($G466,'WPS '!C$5:M$209,3,FALSE),"")</f>
        <v>136</v>
      </c>
      <c r="I466" s="22" t="s">
        <v>1250</v>
      </c>
      <c r="J466" s="22" t="s">
        <v>242</v>
      </c>
      <c r="K466" s="69" t="s">
        <v>884</v>
      </c>
      <c r="L466" s="22" t="str">
        <f>IF($G466&lt;&gt;"",VLOOKUP($G466,'WPS '!C$5:M$209,8,FALSE),"")</f>
        <v>E81T1-W2C</v>
      </c>
      <c r="M466" s="76" t="s">
        <v>165</v>
      </c>
      <c r="N466" s="21">
        <v>45735</v>
      </c>
      <c r="O466" s="21">
        <v>45737</v>
      </c>
      <c r="P466" s="21">
        <f t="shared" si="15"/>
        <v>46102</v>
      </c>
      <c r="Q466" s="164" t="s">
        <v>1811</v>
      </c>
      <c r="R466" s="147" t="str">
        <f>IF($G466&lt;&gt;"",VLOOKUP($G466,'WPS '!$C$5:$M$209,2,FALSE),"")</f>
        <v>OSR-WPS-ISO-PF-045</v>
      </c>
      <c r="S466" s="30"/>
      <c r="T466" s="30"/>
      <c r="U466" s="30"/>
      <c r="V466" s="30"/>
      <c r="W466" s="30"/>
      <c r="X466" s="30" t="s">
        <v>95</v>
      </c>
      <c r="Y466" s="30"/>
      <c r="Z466" s="30"/>
      <c r="AA466" s="30"/>
      <c r="AB466" s="30"/>
      <c r="AC466" s="30"/>
      <c r="AD466" s="30"/>
      <c r="AE466" s="54"/>
      <c r="AF466" s="54"/>
      <c r="AG466" s="66">
        <v>2</v>
      </c>
      <c r="AH466" s="115"/>
    </row>
    <row r="467" spans="1:34" ht="45" customHeight="1">
      <c r="A467" s="293">
        <f t="shared" si="16"/>
        <v>460</v>
      </c>
      <c r="B467" s="5" t="s">
        <v>1634</v>
      </c>
      <c r="C467" s="5" t="s">
        <v>328</v>
      </c>
      <c r="D467" s="56">
        <f>IF(F467="","",SUBTOTAL(3,$F$6:F467))</f>
        <v>461</v>
      </c>
      <c r="E467" s="36" t="s">
        <v>166</v>
      </c>
      <c r="F467" s="106" t="s">
        <v>1769</v>
      </c>
      <c r="G467" s="40" t="s">
        <v>661</v>
      </c>
      <c r="H467" s="83">
        <f>IF($G467&lt;&gt;"",VLOOKUP($G467,'WPS '!C$5:M$209,3,FALSE),"")</f>
        <v>136</v>
      </c>
      <c r="I467" s="22" t="s">
        <v>1250</v>
      </c>
      <c r="J467" s="22" t="s">
        <v>242</v>
      </c>
      <c r="K467" s="69" t="s">
        <v>884</v>
      </c>
      <c r="L467" s="22" t="str">
        <f>IF($G467&lt;&gt;"",VLOOKUP($G467,'WPS '!C$5:M$209,8,FALSE),"")</f>
        <v>E71T-1C</v>
      </c>
      <c r="M467" s="76" t="s">
        <v>167</v>
      </c>
      <c r="N467" s="21">
        <v>45735</v>
      </c>
      <c r="O467" s="21">
        <v>45737</v>
      </c>
      <c r="P467" s="21">
        <f t="shared" si="15"/>
        <v>46102</v>
      </c>
      <c r="Q467" s="164" t="s">
        <v>1811</v>
      </c>
      <c r="R467" s="147" t="str">
        <f>IF($G467&lt;&gt;"",VLOOKUP($G467,'WPS '!$C$5:$M$209,2,FALSE),"")</f>
        <v>OSR-WPS-ISO-PC+PF-005</v>
      </c>
      <c r="S467" s="30"/>
      <c r="T467" s="30"/>
      <c r="U467" s="30"/>
      <c r="V467" s="30"/>
      <c r="W467" s="30"/>
      <c r="X467" s="30" t="s">
        <v>95</v>
      </c>
      <c r="Y467" s="30"/>
      <c r="Z467" s="30"/>
      <c r="AA467" s="30"/>
      <c r="AB467" s="30"/>
      <c r="AC467" s="30"/>
      <c r="AD467" s="30"/>
      <c r="AE467" s="54"/>
      <c r="AF467" s="54"/>
      <c r="AG467" s="66">
        <v>2</v>
      </c>
      <c r="AH467" s="115"/>
    </row>
    <row r="468" spans="1:34" ht="45" customHeight="1" thickBot="1">
      <c r="A468" s="293">
        <f t="shared" si="16"/>
        <v>461</v>
      </c>
      <c r="B468" s="5" t="s">
        <v>1634</v>
      </c>
      <c r="C468" s="5" t="s">
        <v>328</v>
      </c>
      <c r="D468" s="71">
        <f>IF(F468="","",SUBTOTAL(3,$F$6:F468))</f>
        <v>462</v>
      </c>
      <c r="E468" s="121" t="s">
        <v>166</v>
      </c>
      <c r="F468" s="113" t="s">
        <v>1769</v>
      </c>
      <c r="G468" s="41" t="s">
        <v>700</v>
      </c>
      <c r="H468" s="84">
        <f>IF($G468&lt;&gt;"",VLOOKUP($G468,'WPS '!C$5:M$209,3,FALSE),"")</f>
        <v>136</v>
      </c>
      <c r="I468" s="72" t="s">
        <v>1250</v>
      </c>
      <c r="J468" s="72" t="s">
        <v>242</v>
      </c>
      <c r="K468" s="73" t="s">
        <v>884</v>
      </c>
      <c r="L468" s="72" t="str">
        <f>IF($G468&lt;&gt;"",VLOOKUP($G468,'WPS '!C$5:M$209,8,FALSE),"")</f>
        <v>E81T1-W2C</v>
      </c>
      <c r="M468" s="79" t="s">
        <v>168</v>
      </c>
      <c r="N468" s="74">
        <v>45735</v>
      </c>
      <c r="O468" s="74">
        <v>45737</v>
      </c>
      <c r="P468" s="74">
        <f t="shared" si="15"/>
        <v>46102</v>
      </c>
      <c r="Q468" s="166" t="s">
        <v>1811</v>
      </c>
      <c r="R468" s="151" t="str">
        <f>IF($G468&lt;&gt;"",VLOOKUP($G468,'WPS '!$C$5:$M$209,2,FALSE),"")</f>
        <v>OSR-WPS-ISO-PF-045</v>
      </c>
      <c r="S468" s="33"/>
      <c r="T468" s="33"/>
      <c r="U468" s="33"/>
      <c r="V468" s="33"/>
      <c r="W468" s="33"/>
      <c r="X468" s="33" t="s">
        <v>95</v>
      </c>
      <c r="Y468" s="33"/>
      <c r="Z468" s="33"/>
      <c r="AA468" s="33"/>
      <c r="AB468" s="33"/>
      <c r="AC468" s="33"/>
      <c r="AD468" s="33"/>
      <c r="AE468" s="55"/>
      <c r="AF468" s="55"/>
      <c r="AG468" s="66">
        <v>2</v>
      </c>
      <c r="AH468" s="115"/>
    </row>
    <row r="469" spans="1:34" s="10" customFormat="1" ht="17.25" customHeight="1" thickTop="1">
      <c r="A469" s="64"/>
      <c r="B469" s="5" t="s">
        <v>1629</v>
      </c>
      <c r="C469" s="5" t="s">
        <v>1629</v>
      </c>
      <c r="D469" s="87"/>
      <c r="E469" s="89"/>
      <c r="F469" s="88"/>
      <c r="G469" s="90"/>
      <c r="H469" s="91"/>
      <c r="I469" s="92"/>
      <c r="J469" s="93"/>
      <c r="K469" s="93"/>
      <c r="L469" s="93"/>
      <c r="M469" s="94"/>
      <c r="N469" s="131"/>
      <c r="O469" s="131"/>
      <c r="P469" s="131"/>
      <c r="Q469" s="94"/>
      <c r="R469" s="95"/>
      <c r="S469" s="96" t="s">
        <v>1151</v>
      </c>
      <c r="T469" s="96"/>
      <c r="U469" s="96"/>
      <c r="V469" s="96"/>
      <c r="W469" s="29" t="s">
        <v>1151</v>
      </c>
      <c r="X469" s="96" t="s">
        <v>1151</v>
      </c>
      <c r="Y469" s="96" t="s">
        <v>1151</v>
      </c>
      <c r="Z469" s="96" t="s">
        <v>1151</v>
      </c>
      <c r="AA469" s="96" t="s">
        <v>1151</v>
      </c>
      <c r="AB469" s="29" t="s">
        <v>1151</v>
      </c>
      <c r="AC469" s="29" t="s">
        <v>1151</v>
      </c>
      <c r="AD469" s="29" t="s">
        <v>1151</v>
      </c>
      <c r="AE469" s="29" t="s">
        <v>1151</v>
      </c>
      <c r="AF469" s="29" t="s">
        <v>1151</v>
      </c>
      <c r="AG469" s="155"/>
      <c r="AH469" s="116" t="s">
        <v>1151</v>
      </c>
    </row>
    <row r="470" spans="1:34" s="10" customFormat="1" ht="30" customHeight="1">
      <c r="A470" s="64"/>
      <c r="B470" s="5" t="s">
        <v>1629</v>
      </c>
      <c r="C470" s="5" t="s">
        <v>1629</v>
      </c>
      <c r="D470" s="8"/>
      <c r="E470" s="38"/>
      <c r="F470" s="9"/>
      <c r="G470" s="42"/>
      <c r="H470" s="85"/>
      <c r="I470" s="26"/>
      <c r="J470" s="25"/>
      <c r="K470" s="25"/>
      <c r="L470" s="25"/>
      <c r="M470" s="27"/>
      <c r="N470" s="80"/>
      <c r="O470" s="81"/>
      <c r="P470" s="81"/>
      <c r="Q470" s="27"/>
      <c r="R470" s="152"/>
      <c r="S470" s="61" t="s">
        <v>1151</v>
      </c>
      <c r="T470" s="47"/>
      <c r="U470" s="47"/>
      <c r="V470" s="47"/>
      <c r="W470" s="48" t="s">
        <v>1151</v>
      </c>
      <c r="X470" s="47" t="s">
        <v>1151</v>
      </c>
      <c r="Y470" s="47" t="s">
        <v>1151</v>
      </c>
      <c r="Z470" s="47" t="s">
        <v>1151</v>
      </c>
      <c r="AA470" s="47" t="s">
        <v>1151</v>
      </c>
      <c r="AB470" s="48" t="s">
        <v>1151</v>
      </c>
      <c r="AC470" s="48" t="s">
        <v>1151</v>
      </c>
      <c r="AD470" s="48" t="s">
        <v>1151</v>
      </c>
      <c r="AE470" s="48" t="s">
        <v>1151</v>
      </c>
      <c r="AF470" s="48" t="s">
        <v>1151</v>
      </c>
      <c r="AG470" s="155"/>
      <c r="AH470" s="116" t="s">
        <v>1151</v>
      </c>
    </row>
  </sheetData>
  <autoFilter ref="A6:AH470" xr:uid="{96749A3E-9D58-4018-AA46-81A8B966ADA3}"/>
  <mergeCells count="18">
    <mergeCell ref="X2:AF2"/>
    <mergeCell ref="I4:L4"/>
    <mergeCell ref="X1:AF1"/>
    <mergeCell ref="F4:F5"/>
    <mergeCell ref="N4:P4"/>
    <mergeCell ref="G4:G5"/>
    <mergeCell ref="H4:H5"/>
    <mergeCell ref="R4:R5"/>
    <mergeCell ref="S4:AF4"/>
    <mergeCell ref="F1:Q3"/>
    <mergeCell ref="A4:A5"/>
    <mergeCell ref="AG4:AG5"/>
    <mergeCell ref="C4:C5"/>
    <mergeCell ref="B4:B5"/>
    <mergeCell ref="M4:M5"/>
    <mergeCell ref="Q4:Q5"/>
    <mergeCell ref="D4:D5"/>
    <mergeCell ref="E4:E5"/>
  </mergeCells>
  <conditionalFormatting sqref="F150">
    <cfRule type="dataBar" priority="2393">
      <dataBar>
        <cfvo type="min"/>
        <cfvo type="max"/>
        <color theme="0" tint="-0.499984740745262"/>
      </dataBar>
    </cfRule>
    <cfRule type="dataBar" priority="2394">
      <dataBar>
        <cfvo type="min"/>
        <cfvo type="max"/>
        <color theme="0" tint="-0.499984740745262"/>
      </dataBar>
    </cfRule>
    <cfRule type="dataBar" priority="2395">
      <dataBar>
        <cfvo type="min"/>
        <cfvo type="max"/>
        <color theme="0" tint="-0.499984740745262"/>
      </dataBar>
    </cfRule>
  </conditionalFormatting>
  <conditionalFormatting sqref="F151">
    <cfRule type="dataBar" priority="2453">
      <dataBar>
        <cfvo type="min"/>
        <cfvo type="max"/>
        <color theme="0" tint="-0.499984740745262"/>
      </dataBar>
    </cfRule>
    <cfRule type="dataBar" priority="2454">
      <dataBar>
        <cfvo type="min"/>
        <cfvo type="max"/>
        <color theme="0" tint="-0.499984740745262"/>
      </dataBar>
    </cfRule>
    <cfRule type="dataBar" priority="2455">
      <dataBar>
        <cfvo type="min"/>
        <cfvo type="max"/>
        <color theme="0" tint="-0.499984740745262"/>
      </dataBar>
    </cfRule>
  </conditionalFormatting>
  <conditionalFormatting sqref="F247">
    <cfRule type="dataBar" priority="2339">
      <dataBar>
        <cfvo type="min"/>
        <cfvo type="max"/>
        <color theme="0" tint="-0.499984740745262"/>
      </dataBar>
    </cfRule>
    <cfRule type="dataBar" priority="2340">
      <dataBar>
        <cfvo type="min"/>
        <cfvo type="max"/>
        <color theme="0" tint="-0.499984740745262"/>
      </dataBar>
    </cfRule>
    <cfRule type="dataBar" priority="2341">
      <dataBar>
        <cfvo type="min"/>
        <cfvo type="max"/>
        <color theme="0" tint="-0.499984740745262"/>
      </dataBar>
    </cfRule>
  </conditionalFormatting>
  <conditionalFormatting sqref="F250">
    <cfRule type="dataBar" priority="2396">
      <dataBar>
        <cfvo type="min"/>
        <cfvo type="max"/>
        <color theme="0" tint="-0.499984740745262"/>
      </dataBar>
    </cfRule>
    <cfRule type="dataBar" priority="2397">
      <dataBar>
        <cfvo type="min"/>
        <cfvo type="max"/>
        <color theme="0" tint="-0.499984740745262"/>
      </dataBar>
    </cfRule>
    <cfRule type="dataBar" priority="2398">
      <dataBar>
        <cfvo type="min"/>
        <cfvo type="max"/>
        <color theme="0" tint="-0.499984740745262"/>
      </dataBar>
    </cfRule>
  </conditionalFormatting>
  <conditionalFormatting sqref="F256">
    <cfRule type="dataBar" priority="2342">
      <dataBar>
        <cfvo type="min"/>
        <cfvo type="max"/>
        <color theme="0" tint="-0.499984740745262"/>
      </dataBar>
    </cfRule>
    <cfRule type="dataBar" priority="2343">
      <dataBar>
        <cfvo type="min"/>
        <cfvo type="max"/>
        <color theme="0" tint="-0.499984740745262"/>
      </dataBar>
    </cfRule>
    <cfRule type="dataBar" priority="2344">
      <dataBar>
        <cfvo type="min"/>
        <cfvo type="max"/>
        <color theme="0" tint="-0.499984740745262"/>
      </dataBar>
    </cfRule>
  </conditionalFormatting>
  <conditionalFormatting sqref="F257">
    <cfRule type="dataBar" priority="2459">
      <dataBar>
        <cfvo type="min"/>
        <cfvo type="max"/>
        <color theme="0" tint="-0.499984740745262"/>
      </dataBar>
    </cfRule>
    <cfRule type="dataBar" priority="2460">
      <dataBar>
        <cfvo type="min"/>
        <cfvo type="max"/>
        <color theme="0" tint="-0.499984740745262"/>
      </dataBar>
    </cfRule>
    <cfRule type="dataBar" priority="2461">
      <dataBar>
        <cfvo type="min"/>
        <cfvo type="max"/>
        <color theme="0" tint="-0.499984740745262"/>
      </dataBar>
    </cfRule>
  </conditionalFormatting>
  <conditionalFormatting sqref="F258">
    <cfRule type="dataBar" priority="2345">
      <dataBar>
        <cfvo type="min"/>
        <cfvo type="max"/>
        <color theme="0" tint="-0.499984740745262"/>
      </dataBar>
    </cfRule>
    <cfRule type="dataBar" priority="2346">
      <dataBar>
        <cfvo type="min"/>
        <cfvo type="max"/>
        <color theme="0" tint="-0.499984740745262"/>
      </dataBar>
    </cfRule>
    <cfRule type="dataBar" priority="2347">
      <dataBar>
        <cfvo type="min"/>
        <cfvo type="max"/>
        <color theme="0" tint="-0.499984740745262"/>
      </dataBar>
    </cfRule>
  </conditionalFormatting>
  <conditionalFormatting sqref="F259">
    <cfRule type="dataBar" priority="2462">
      <dataBar>
        <cfvo type="min"/>
        <cfvo type="max"/>
        <color theme="0" tint="-0.499984740745262"/>
      </dataBar>
    </cfRule>
    <cfRule type="dataBar" priority="2463">
      <dataBar>
        <cfvo type="min"/>
        <cfvo type="max"/>
        <color theme="0" tint="-0.499984740745262"/>
      </dataBar>
    </cfRule>
    <cfRule type="dataBar" priority="2464">
      <dataBar>
        <cfvo type="min"/>
        <cfvo type="max"/>
        <color theme="0" tint="-0.499984740745262"/>
      </dataBar>
    </cfRule>
  </conditionalFormatting>
  <conditionalFormatting sqref="F260">
    <cfRule type="dataBar" priority="2348">
      <dataBar>
        <cfvo type="min"/>
        <cfvo type="max"/>
        <color theme="0" tint="-0.499984740745262"/>
      </dataBar>
    </cfRule>
    <cfRule type="dataBar" priority="2349">
      <dataBar>
        <cfvo type="min"/>
        <cfvo type="max"/>
        <color theme="0" tint="-0.499984740745262"/>
      </dataBar>
    </cfRule>
    <cfRule type="dataBar" priority="2350">
      <dataBar>
        <cfvo type="min"/>
        <cfvo type="max"/>
        <color theme="0" tint="-0.499984740745262"/>
      </dataBar>
    </cfRule>
  </conditionalFormatting>
  <conditionalFormatting sqref="F261">
    <cfRule type="dataBar" priority="2351">
      <dataBar>
        <cfvo type="min"/>
        <cfvo type="max"/>
        <color theme="0" tint="-0.499984740745262"/>
      </dataBar>
    </cfRule>
    <cfRule type="dataBar" priority="2352">
      <dataBar>
        <cfvo type="min"/>
        <cfvo type="max"/>
        <color theme="0" tint="-0.499984740745262"/>
      </dataBar>
    </cfRule>
    <cfRule type="dataBar" priority="2353">
      <dataBar>
        <cfvo type="min"/>
        <cfvo type="max"/>
        <color theme="0" tint="-0.499984740745262"/>
      </dataBar>
    </cfRule>
  </conditionalFormatting>
  <conditionalFormatting sqref="F262">
    <cfRule type="dataBar" priority="2435">
      <dataBar>
        <cfvo type="min"/>
        <cfvo type="max"/>
        <color theme="0" tint="-0.499984740745262"/>
      </dataBar>
    </cfRule>
    <cfRule type="dataBar" priority="2436">
      <dataBar>
        <cfvo type="min"/>
        <cfvo type="max"/>
        <color theme="0" tint="-0.499984740745262"/>
      </dataBar>
    </cfRule>
    <cfRule type="dataBar" priority="2437">
      <dataBar>
        <cfvo type="min"/>
        <cfvo type="max"/>
        <color theme="0" tint="-0.499984740745262"/>
      </dataBar>
    </cfRule>
  </conditionalFormatting>
  <conditionalFormatting sqref="F263">
    <cfRule type="dataBar" priority="2438">
      <dataBar>
        <cfvo type="min"/>
        <cfvo type="max"/>
        <color theme="0" tint="-0.499984740745262"/>
      </dataBar>
    </cfRule>
    <cfRule type="dataBar" priority="2439">
      <dataBar>
        <cfvo type="min"/>
        <cfvo type="max"/>
        <color theme="0" tint="-0.499984740745262"/>
      </dataBar>
    </cfRule>
    <cfRule type="dataBar" priority="2440">
      <dataBar>
        <cfvo type="min"/>
        <cfvo type="max"/>
        <color theme="0" tint="-0.499984740745262"/>
      </dataBar>
    </cfRule>
  </conditionalFormatting>
  <conditionalFormatting sqref="F266:F268 F264">
    <cfRule type="dataBar" priority="2507">
      <dataBar>
        <cfvo type="min"/>
        <cfvo type="max"/>
        <color theme="0" tint="-0.499984740745262"/>
      </dataBar>
    </cfRule>
    <cfRule type="dataBar" priority="2508">
      <dataBar>
        <cfvo type="min"/>
        <cfvo type="max"/>
        <color theme="0" tint="-0.499984740745262"/>
      </dataBar>
    </cfRule>
    <cfRule type="dataBar" priority="2509">
      <dataBar>
        <cfvo type="min"/>
        <cfvo type="max"/>
        <color theme="0" tint="-0.499984740745262"/>
      </dataBar>
    </cfRule>
  </conditionalFormatting>
  <conditionalFormatting sqref="F269:F272">
    <cfRule type="dataBar" priority="2354">
      <dataBar>
        <cfvo type="min"/>
        <cfvo type="max"/>
        <color theme="0" tint="-0.499984740745262"/>
      </dataBar>
    </cfRule>
    <cfRule type="dataBar" priority="2355">
      <dataBar>
        <cfvo type="min"/>
        <cfvo type="max"/>
        <color theme="0" tint="-0.499984740745262"/>
      </dataBar>
    </cfRule>
    <cfRule type="dataBar" priority="2356">
      <dataBar>
        <cfvo type="min"/>
        <cfvo type="max"/>
        <color theme="0" tint="-0.499984740745262"/>
      </dataBar>
    </cfRule>
  </conditionalFormatting>
  <conditionalFormatting sqref="F273:F274 F294 F297:F299">
    <cfRule type="dataBar" priority="2357">
      <dataBar>
        <cfvo type="min"/>
        <cfvo type="max"/>
        <color theme="0" tint="-0.499984740745262"/>
      </dataBar>
    </cfRule>
    <cfRule type="dataBar" priority="2358">
      <dataBar>
        <cfvo type="min"/>
        <cfvo type="max"/>
        <color theme="0" tint="-0.499984740745262"/>
      </dataBar>
    </cfRule>
    <cfRule type="dataBar" priority="2359">
      <dataBar>
        <cfvo type="min"/>
        <cfvo type="max"/>
        <color theme="0" tint="-0.499984740745262"/>
      </dataBar>
    </cfRule>
  </conditionalFormatting>
  <conditionalFormatting sqref="F275">
    <cfRule type="dataBar" priority="2429">
      <dataBar>
        <cfvo type="min"/>
        <cfvo type="max"/>
        <color theme="0" tint="-0.499984740745262"/>
      </dataBar>
    </cfRule>
    <cfRule type="dataBar" priority="2430">
      <dataBar>
        <cfvo type="min"/>
        <cfvo type="max"/>
        <color theme="0" tint="-0.499984740745262"/>
      </dataBar>
    </cfRule>
    <cfRule type="dataBar" priority="2431">
      <dataBar>
        <cfvo type="min"/>
        <cfvo type="max"/>
        <color theme="0" tint="-0.499984740745262"/>
      </dataBar>
    </cfRule>
  </conditionalFormatting>
  <conditionalFormatting sqref="F276">
    <cfRule type="dataBar" priority="2426">
      <dataBar>
        <cfvo type="min"/>
        <cfvo type="max"/>
        <color theme="0" tint="-0.499984740745262"/>
      </dataBar>
    </cfRule>
    <cfRule type="dataBar" priority="2427">
      <dataBar>
        <cfvo type="min"/>
        <cfvo type="max"/>
        <color theme="0" tint="-0.499984740745262"/>
      </dataBar>
    </cfRule>
    <cfRule type="dataBar" priority="2428">
      <dataBar>
        <cfvo type="min"/>
        <cfvo type="max"/>
        <color theme="0" tint="-0.499984740745262"/>
      </dataBar>
    </cfRule>
  </conditionalFormatting>
  <conditionalFormatting sqref="F277">
    <cfRule type="dataBar" priority="2414">
      <dataBar>
        <cfvo type="min"/>
        <cfvo type="max"/>
        <color theme="0" tint="-0.499984740745262"/>
      </dataBar>
    </cfRule>
    <cfRule type="dataBar" priority="2415">
      <dataBar>
        <cfvo type="min"/>
        <cfvo type="max"/>
        <color theme="0" tint="-0.499984740745262"/>
      </dataBar>
    </cfRule>
    <cfRule type="dataBar" priority="2416">
      <dataBar>
        <cfvo type="min"/>
        <cfvo type="max"/>
        <color theme="0" tint="-0.499984740745262"/>
      </dataBar>
    </cfRule>
  </conditionalFormatting>
  <conditionalFormatting sqref="F293">
    <cfRule type="dataBar" priority="2387">
      <dataBar>
        <cfvo type="min"/>
        <cfvo type="max"/>
        <color theme="0" tint="-0.499984740745262"/>
      </dataBar>
    </cfRule>
    <cfRule type="dataBar" priority="2388">
      <dataBar>
        <cfvo type="min"/>
        <cfvo type="max"/>
        <color theme="0" tint="-0.499984740745262"/>
      </dataBar>
    </cfRule>
    <cfRule type="dataBar" priority="2389">
      <dataBar>
        <cfvo type="min"/>
        <cfvo type="max"/>
        <color theme="0" tint="-0.499984740745262"/>
      </dataBar>
    </cfRule>
  </conditionalFormatting>
  <conditionalFormatting sqref="F295">
    <cfRule type="dataBar" priority="2450">
      <dataBar>
        <cfvo type="min"/>
        <cfvo type="max"/>
        <color theme="0" tint="-0.499984740745262"/>
      </dataBar>
    </cfRule>
    <cfRule type="dataBar" priority="2451">
      <dataBar>
        <cfvo type="min"/>
        <cfvo type="max"/>
        <color theme="0" tint="-0.499984740745262"/>
      </dataBar>
    </cfRule>
    <cfRule type="dataBar" priority="2452">
      <dataBar>
        <cfvo type="min"/>
        <cfvo type="max"/>
        <color theme="0" tint="-0.499984740745262"/>
      </dataBar>
    </cfRule>
  </conditionalFormatting>
  <conditionalFormatting sqref="F296">
    <cfRule type="dataBar" priority="2513">
      <dataBar>
        <cfvo type="min"/>
        <cfvo type="max"/>
        <color theme="0" tint="-0.499984740745262"/>
      </dataBar>
    </cfRule>
    <cfRule type="dataBar" priority="2514">
      <dataBar>
        <cfvo type="min"/>
        <cfvo type="max"/>
        <color theme="0" tint="-0.499984740745262"/>
      </dataBar>
    </cfRule>
    <cfRule type="dataBar" priority="2515">
      <dataBar>
        <cfvo type="min"/>
        <cfvo type="max"/>
        <color theme="0" tint="-0.499984740745262"/>
      </dataBar>
    </cfRule>
  </conditionalFormatting>
  <conditionalFormatting sqref="F300 F305">
    <cfRule type="dataBar" priority="2366">
      <dataBar>
        <cfvo type="min"/>
        <cfvo type="max"/>
        <color theme="0" tint="-0.499984740745262"/>
      </dataBar>
    </cfRule>
    <cfRule type="dataBar" priority="2367">
      <dataBar>
        <cfvo type="min"/>
        <cfvo type="max"/>
        <color theme="0" tint="-0.499984740745262"/>
      </dataBar>
    </cfRule>
    <cfRule type="dataBar" priority="2368">
      <dataBar>
        <cfvo type="min"/>
        <cfvo type="max"/>
        <color theme="0" tint="-0.499984740745262"/>
      </dataBar>
    </cfRule>
  </conditionalFormatting>
  <conditionalFormatting sqref="F301">
    <cfRule type="dataBar" priority="2432">
      <dataBar>
        <cfvo type="min"/>
        <cfvo type="max"/>
        <color theme="0" tint="-0.499984740745262"/>
      </dataBar>
    </cfRule>
    <cfRule type="dataBar" priority="2433">
      <dataBar>
        <cfvo type="min"/>
        <cfvo type="max"/>
        <color theme="0" tint="-0.499984740745262"/>
      </dataBar>
    </cfRule>
    <cfRule type="dataBar" priority="2434">
      <dataBar>
        <cfvo type="min"/>
        <cfvo type="max"/>
        <color theme="0" tint="-0.499984740745262"/>
      </dataBar>
    </cfRule>
  </conditionalFormatting>
  <conditionalFormatting sqref="F302">
    <cfRule type="dataBar" priority="2447">
      <dataBar>
        <cfvo type="min"/>
        <cfvo type="max"/>
        <color theme="0" tint="-0.499984740745262"/>
      </dataBar>
    </cfRule>
    <cfRule type="dataBar" priority="2448">
      <dataBar>
        <cfvo type="min"/>
        <cfvo type="max"/>
        <color theme="0" tint="-0.499984740745262"/>
      </dataBar>
    </cfRule>
    <cfRule type="dataBar" priority="2449">
      <dataBar>
        <cfvo type="min"/>
        <cfvo type="max"/>
        <color theme="0" tint="-0.499984740745262"/>
      </dataBar>
    </cfRule>
  </conditionalFormatting>
  <conditionalFormatting sqref="F303:F304">
    <cfRule type="dataBar" priority="2468">
      <dataBar>
        <cfvo type="min"/>
        <cfvo type="max"/>
        <color theme="0" tint="-0.499984740745262"/>
      </dataBar>
    </cfRule>
    <cfRule type="dataBar" priority="2469">
      <dataBar>
        <cfvo type="min"/>
        <cfvo type="max"/>
        <color theme="0" tint="-0.499984740745262"/>
      </dataBar>
    </cfRule>
    <cfRule type="dataBar" priority="2470">
      <dataBar>
        <cfvo type="min"/>
        <cfvo type="max"/>
        <color theme="0" tint="-0.499984740745262"/>
      </dataBar>
    </cfRule>
  </conditionalFormatting>
  <conditionalFormatting sqref="F307">
    <cfRule type="dataBar" priority="2516">
      <dataBar>
        <cfvo type="min"/>
        <cfvo type="max"/>
        <color theme="0" tint="-0.499984740745262"/>
      </dataBar>
    </cfRule>
    <cfRule type="dataBar" priority="2517">
      <dataBar>
        <cfvo type="min"/>
        <cfvo type="max"/>
        <color theme="0" tint="-0.499984740745262"/>
      </dataBar>
    </cfRule>
    <cfRule type="dataBar" priority="2518">
      <dataBar>
        <cfvo type="min"/>
        <cfvo type="max"/>
        <color theme="0" tint="-0.499984740745262"/>
      </dataBar>
    </cfRule>
  </conditionalFormatting>
  <conditionalFormatting sqref="F317">
    <cfRule type="dataBar" priority="2420">
      <dataBar>
        <cfvo type="min"/>
        <cfvo type="max"/>
        <color theme="0" tint="-0.499984740745262"/>
      </dataBar>
    </cfRule>
    <cfRule type="dataBar" priority="2421">
      <dataBar>
        <cfvo type="min"/>
        <cfvo type="max"/>
        <color theme="0" tint="-0.499984740745262"/>
      </dataBar>
    </cfRule>
    <cfRule type="dataBar" priority="2422">
      <dataBar>
        <cfvo type="min"/>
        <cfvo type="max"/>
        <color theme="0" tint="-0.499984740745262"/>
      </dataBar>
    </cfRule>
  </conditionalFormatting>
  <conditionalFormatting sqref="F318">
    <cfRule type="dataBar" priority="2423">
      <dataBar>
        <cfvo type="min"/>
        <cfvo type="max"/>
        <color theme="0" tint="-0.499984740745262"/>
      </dataBar>
    </cfRule>
    <cfRule type="dataBar" priority="2424">
      <dataBar>
        <cfvo type="min"/>
        <cfvo type="max"/>
        <color theme="0" tint="-0.499984740745262"/>
      </dataBar>
    </cfRule>
    <cfRule type="dataBar" priority="2425">
      <dataBar>
        <cfvo type="min"/>
        <cfvo type="max"/>
        <color theme="0" tint="-0.499984740745262"/>
      </dataBar>
    </cfRule>
  </conditionalFormatting>
  <conditionalFormatting sqref="F335">
    <cfRule type="dataBar" priority="2402">
      <dataBar>
        <cfvo type="min"/>
        <cfvo type="max"/>
        <color theme="0" tint="-0.499984740745262"/>
      </dataBar>
    </cfRule>
    <cfRule type="dataBar" priority="2403">
      <dataBar>
        <cfvo type="min"/>
        <cfvo type="max"/>
        <color theme="0" tint="-0.499984740745262"/>
      </dataBar>
    </cfRule>
    <cfRule type="dataBar" priority="2404">
      <dataBar>
        <cfvo type="min"/>
        <cfvo type="max"/>
        <color theme="0" tint="-0.499984740745262"/>
      </dataBar>
    </cfRule>
  </conditionalFormatting>
  <conditionalFormatting sqref="F336">
    <cfRule type="dataBar" priority="2399">
      <dataBar>
        <cfvo type="min"/>
        <cfvo type="max"/>
        <color theme="0" tint="-0.499984740745262"/>
      </dataBar>
    </cfRule>
    <cfRule type="dataBar" priority="2400">
      <dataBar>
        <cfvo type="min"/>
        <cfvo type="max"/>
        <color theme="0" tint="-0.499984740745262"/>
      </dataBar>
    </cfRule>
    <cfRule type="dataBar" priority="2401">
      <dataBar>
        <cfvo type="min"/>
        <cfvo type="max"/>
        <color theme="0" tint="-0.499984740745262"/>
      </dataBar>
    </cfRule>
  </conditionalFormatting>
  <conditionalFormatting sqref="F337">
    <cfRule type="dataBar" priority="2441">
      <dataBar>
        <cfvo type="min"/>
        <cfvo type="max"/>
        <color theme="0" tint="-0.499984740745262"/>
      </dataBar>
    </cfRule>
    <cfRule type="dataBar" priority="2442">
      <dataBar>
        <cfvo type="min"/>
        <cfvo type="max"/>
        <color theme="0" tint="-0.499984740745262"/>
      </dataBar>
    </cfRule>
    <cfRule type="dataBar" priority="2443">
      <dataBar>
        <cfvo type="min"/>
        <cfvo type="max"/>
        <color theme="0" tint="-0.499984740745262"/>
      </dataBar>
    </cfRule>
  </conditionalFormatting>
  <conditionalFormatting sqref="F306 F338 F312:F316">
    <cfRule type="dataBar" priority="2372">
      <dataBar>
        <cfvo type="min"/>
        <cfvo type="max"/>
        <color theme="0" tint="-0.499984740745262"/>
      </dataBar>
    </cfRule>
    <cfRule type="dataBar" priority="2373">
      <dataBar>
        <cfvo type="min"/>
        <cfvo type="max"/>
        <color theme="0" tint="-0.499984740745262"/>
      </dataBar>
    </cfRule>
    <cfRule type="dataBar" priority="2374">
      <dataBar>
        <cfvo type="min"/>
        <cfvo type="max"/>
        <color theme="0" tint="-0.499984740745262"/>
      </dataBar>
    </cfRule>
  </conditionalFormatting>
  <conditionalFormatting sqref="F339">
    <cfRule type="dataBar" priority="2408">
      <dataBar>
        <cfvo type="min"/>
        <cfvo type="max"/>
        <color theme="0" tint="-0.499984740745262"/>
      </dataBar>
    </cfRule>
    <cfRule type="dataBar" priority="2409">
      <dataBar>
        <cfvo type="min"/>
        <cfvo type="max"/>
        <color theme="0" tint="-0.499984740745262"/>
      </dataBar>
    </cfRule>
    <cfRule type="dataBar" priority="2410">
      <dataBar>
        <cfvo type="min"/>
        <cfvo type="max"/>
        <color theme="0" tint="-0.499984740745262"/>
      </dataBar>
    </cfRule>
  </conditionalFormatting>
  <conditionalFormatting sqref="F341">
    <cfRule type="dataBar" priority="2411">
      <dataBar>
        <cfvo type="min"/>
        <cfvo type="max"/>
        <color theme="0" tint="-0.499984740745262"/>
      </dataBar>
    </cfRule>
    <cfRule type="dataBar" priority="2412">
      <dataBar>
        <cfvo type="min"/>
        <cfvo type="max"/>
        <color theme="0" tint="-0.499984740745262"/>
      </dataBar>
    </cfRule>
    <cfRule type="dataBar" priority="2413">
      <dataBar>
        <cfvo type="min"/>
        <cfvo type="max"/>
        <color theme="0" tint="-0.499984740745262"/>
      </dataBar>
    </cfRule>
  </conditionalFormatting>
  <conditionalFormatting sqref="F359">
    <cfRule type="dataBar" priority="2390">
      <dataBar>
        <cfvo type="min"/>
        <cfvo type="max"/>
        <color theme="0" tint="-0.499984740745262"/>
      </dataBar>
    </cfRule>
    <cfRule type="dataBar" priority="2391">
      <dataBar>
        <cfvo type="min"/>
        <cfvo type="max"/>
        <color theme="0" tint="-0.499984740745262"/>
      </dataBar>
    </cfRule>
    <cfRule type="dataBar" priority="2392">
      <dataBar>
        <cfvo type="min"/>
        <cfvo type="max"/>
        <color theme="0" tint="-0.499984740745262"/>
      </dataBar>
    </cfRule>
  </conditionalFormatting>
  <conditionalFormatting sqref="F360">
    <cfRule type="dataBar" priority="2456">
      <dataBar>
        <cfvo type="min"/>
        <cfvo type="max"/>
        <color theme="0" tint="-0.499984740745262"/>
      </dataBar>
    </cfRule>
    <cfRule type="dataBar" priority="2457">
      <dataBar>
        <cfvo type="min"/>
        <cfvo type="max"/>
        <color theme="0" tint="-0.499984740745262"/>
      </dataBar>
    </cfRule>
    <cfRule type="dataBar" priority="2458">
      <dataBar>
        <cfvo type="min"/>
        <cfvo type="max"/>
        <color theme="0" tint="-0.499984740745262"/>
      </dataBar>
    </cfRule>
  </conditionalFormatting>
  <conditionalFormatting sqref="F429">
    <cfRule type="dataBar" priority="2471">
      <dataBar>
        <cfvo type="min"/>
        <cfvo type="max"/>
        <color theme="0" tint="-0.499984740745262"/>
      </dataBar>
    </cfRule>
    <cfRule type="dataBar" priority="2472">
      <dataBar>
        <cfvo type="min"/>
        <cfvo type="max"/>
        <color theme="0" tint="-0.499984740745262"/>
      </dataBar>
    </cfRule>
    <cfRule type="dataBar" priority="2473">
      <dataBar>
        <cfvo type="min"/>
        <cfvo type="max"/>
        <color theme="0" tint="-0.499984740745262"/>
      </dataBar>
    </cfRule>
  </conditionalFormatting>
  <conditionalFormatting sqref="F430">
    <cfRule type="dataBar" priority="2474">
      <dataBar>
        <cfvo type="min"/>
        <cfvo type="max"/>
        <color theme="0" tint="-0.499984740745262"/>
      </dataBar>
    </cfRule>
    <cfRule type="dataBar" priority="2475">
      <dataBar>
        <cfvo type="min"/>
        <cfvo type="max"/>
        <color theme="0" tint="-0.499984740745262"/>
      </dataBar>
    </cfRule>
    <cfRule type="dataBar" priority="2476">
      <dataBar>
        <cfvo type="min"/>
        <cfvo type="max"/>
        <color theme="0" tint="-0.499984740745262"/>
      </dataBar>
    </cfRule>
  </conditionalFormatting>
  <conditionalFormatting sqref="F431">
    <cfRule type="dataBar" priority="2492">
      <dataBar>
        <cfvo type="min"/>
        <cfvo type="max"/>
        <color theme="0" tint="-0.499984740745262"/>
      </dataBar>
    </cfRule>
    <cfRule type="dataBar" priority="2493">
      <dataBar>
        <cfvo type="min"/>
        <cfvo type="max"/>
        <color theme="0" tint="-0.499984740745262"/>
      </dataBar>
    </cfRule>
    <cfRule type="dataBar" priority="2494">
      <dataBar>
        <cfvo type="min"/>
        <cfvo type="max"/>
        <color theme="0" tint="-0.499984740745262"/>
      </dataBar>
    </cfRule>
  </conditionalFormatting>
  <conditionalFormatting sqref="F432">
    <cfRule type="dataBar" priority="2495">
      <dataBar>
        <cfvo type="min"/>
        <cfvo type="max"/>
        <color theme="0" tint="-0.499984740745262"/>
      </dataBar>
    </cfRule>
    <cfRule type="dataBar" priority="2496">
      <dataBar>
        <cfvo type="min"/>
        <cfvo type="max"/>
        <color theme="0" tint="-0.499984740745262"/>
      </dataBar>
    </cfRule>
    <cfRule type="dataBar" priority="2497">
      <dataBar>
        <cfvo type="min"/>
        <cfvo type="max"/>
        <color theme="0" tint="-0.499984740745262"/>
      </dataBar>
    </cfRule>
  </conditionalFormatting>
  <conditionalFormatting sqref="F433">
    <cfRule type="dataBar" priority="2504">
      <dataBar>
        <cfvo type="min"/>
        <cfvo type="max"/>
        <color theme="0" tint="-0.499984740745262"/>
      </dataBar>
    </cfRule>
    <cfRule type="dataBar" priority="2505">
      <dataBar>
        <cfvo type="min"/>
        <cfvo type="max"/>
        <color theme="0" tint="-0.499984740745262"/>
      </dataBar>
    </cfRule>
    <cfRule type="dataBar" priority="2506">
      <dataBar>
        <cfvo type="min"/>
        <cfvo type="max"/>
        <color theme="0" tint="-0.499984740745262"/>
      </dataBar>
    </cfRule>
  </conditionalFormatting>
  <conditionalFormatting sqref="F443">
    <cfRule type="dataBar" priority="2498">
      <dataBar>
        <cfvo type="min"/>
        <cfvo type="max"/>
        <color theme="0" tint="-0.499984740745262"/>
      </dataBar>
    </cfRule>
    <cfRule type="dataBar" priority="2499">
      <dataBar>
        <cfvo type="min"/>
        <cfvo type="max"/>
        <color theme="0" tint="-0.499984740745262"/>
      </dataBar>
    </cfRule>
    <cfRule type="dataBar" priority="2500">
      <dataBar>
        <cfvo type="min"/>
        <cfvo type="max"/>
        <color theme="0" tint="-0.499984740745262"/>
      </dataBar>
    </cfRule>
  </conditionalFormatting>
  <conditionalFormatting sqref="F453">
    <cfRule type="dataBar" priority="2501">
      <dataBar>
        <cfvo type="min"/>
        <cfvo type="max"/>
        <color theme="0" tint="-0.499984740745262"/>
      </dataBar>
    </cfRule>
    <cfRule type="dataBar" priority="2502">
      <dataBar>
        <cfvo type="min"/>
        <cfvo type="max"/>
        <color theme="0" tint="-0.499984740745262"/>
      </dataBar>
    </cfRule>
    <cfRule type="dataBar" priority="2503">
      <dataBar>
        <cfvo type="min"/>
        <cfvo type="max"/>
        <color theme="0" tint="-0.499984740745262"/>
      </dataBar>
    </cfRule>
  </conditionalFormatting>
  <conditionalFormatting sqref="F460">
    <cfRule type="dataBar" priority="2477">
      <dataBar>
        <cfvo type="min"/>
        <cfvo type="max"/>
        <color theme="0" tint="-0.499984740745262"/>
      </dataBar>
    </cfRule>
    <cfRule type="dataBar" priority="2478">
      <dataBar>
        <cfvo type="min"/>
        <cfvo type="max"/>
        <color theme="0" tint="-0.499984740745262"/>
      </dataBar>
    </cfRule>
    <cfRule type="dataBar" priority="2479">
      <dataBar>
        <cfvo type="min"/>
        <cfvo type="max"/>
        <color theme="0" tint="-0.499984740745262"/>
      </dataBar>
    </cfRule>
  </conditionalFormatting>
  <conditionalFormatting sqref="F461">
    <cfRule type="dataBar" priority="2480">
      <dataBar>
        <cfvo type="min"/>
        <cfvo type="max"/>
        <color theme="0" tint="-0.499984740745262"/>
      </dataBar>
    </cfRule>
    <cfRule type="dataBar" priority="2481">
      <dataBar>
        <cfvo type="min"/>
        <cfvo type="max"/>
        <color theme="0" tint="-0.499984740745262"/>
      </dataBar>
    </cfRule>
    <cfRule type="dataBar" priority="2482">
      <dataBar>
        <cfvo type="min"/>
        <cfvo type="max"/>
        <color theme="0" tint="-0.499984740745262"/>
      </dataBar>
    </cfRule>
  </conditionalFormatting>
  <conditionalFormatting sqref="F463">
    <cfRule type="dataBar" priority="2483">
      <dataBar>
        <cfvo type="min"/>
        <cfvo type="max"/>
        <color theme="0" tint="-0.499984740745262"/>
      </dataBar>
    </cfRule>
    <cfRule type="dataBar" priority="2484">
      <dataBar>
        <cfvo type="min"/>
        <cfvo type="max"/>
        <color theme="0" tint="-0.499984740745262"/>
      </dataBar>
    </cfRule>
    <cfRule type="dataBar" priority="2485">
      <dataBar>
        <cfvo type="min"/>
        <cfvo type="max"/>
        <color theme="0" tint="-0.499984740745262"/>
      </dataBar>
    </cfRule>
  </conditionalFormatting>
  <conditionalFormatting sqref="F464">
    <cfRule type="dataBar" priority="2489">
      <dataBar>
        <cfvo type="min"/>
        <cfvo type="max"/>
        <color theme="0" tint="-0.499984740745262"/>
      </dataBar>
    </cfRule>
    <cfRule type="dataBar" priority="2490">
      <dataBar>
        <cfvo type="min"/>
        <cfvo type="max"/>
        <color theme="0" tint="-0.499984740745262"/>
      </dataBar>
    </cfRule>
    <cfRule type="dataBar" priority="2491">
      <dataBar>
        <cfvo type="min"/>
        <cfvo type="max"/>
        <color theme="0" tint="-0.499984740745262"/>
      </dataBar>
    </cfRule>
  </conditionalFormatting>
  <conditionalFormatting sqref="F465">
    <cfRule type="dataBar" priority="2486">
      <dataBar>
        <cfvo type="min"/>
        <cfvo type="max"/>
        <color theme="0" tint="-0.499984740745262"/>
      </dataBar>
    </cfRule>
    <cfRule type="dataBar" priority="2487">
      <dataBar>
        <cfvo type="min"/>
        <cfvo type="max"/>
        <color theme="0" tint="-0.499984740745262"/>
      </dataBar>
    </cfRule>
    <cfRule type="dataBar" priority="2488">
      <dataBar>
        <cfvo type="min"/>
        <cfvo type="max"/>
        <color theme="0" tint="-0.499984740745262"/>
      </dataBar>
    </cfRule>
  </conditionalFormatting>
  <conditionalFormatting sqref="M4 Q4 M6">
    <cfRule type="expression" dxfId="229" priority="2519" stopIfTrue="1">
      <formula>AND(COUNTIF($M$4:$M$4, M4)+COUNTIF($Q$4:$Q$4, M4)+COUNTIF($M$6:$M$6, M4)&gt;1,NOT(ISBLANK(M4)))</formula>
    </cfRule>
  </conditionalFormatting>
  <conditionalFormatting sqref="M7:M8">
    <cfRule type="duplicateValues" dxfId="228" priority="450"/>
  </conditionalFormatting>
  <conditionalFormatting sqref="M9">
    <cfRule type="duplicateValues" dxfId="227" priority="345"/>
  </conditionalFormatting>
  <conditionalFormatting sqref="M10">
    <cfRule type="duplicateValues" dxfId="226" priority="354"/>
  </conditionalFormatting>
  <conditionalFormatting sqref="M11">
    <cfRule type="duplicateValues" dxfId="225" priority="451"/>
  </conditionalFormatting>
  <conditionalFormatting sqref="M13">
    <cfRule type="duplicateValues" dxfId="224" priority="552"/>
  </conditionalFormatting>
  <conditionalFormatting sqref="M17">
    <cfRule type="duplicateValues" dxfId="223" priority="553"/>
  </conditionalFormatting>
  <conditionalFormatting sqref="M21">
    <cfRule type="duplicateValues" dxfId="222" priority="402"/>
  </conditionalFormatting>
  <conditionalFormatting sqref="M25">
    <cfRule type="duplicateValues" dxfId="221" priority="381"/>
  </conditionalFormatting>
  <conditionalFormatting sqref="M26">
    <cfRule type="duplicateValues" dxfId="220" priority="449"/>
  </conditionalFormatting>
  <conditionalFormatting sqref="M32">
    <cfRule type="duplicateValues" dxfId="219" priority="489"/>
  </conditionalFormatting>
  <conditionalFormatting sqref="M34">
    <cfRule type="duplicateValues" dxfId="218" priority="412"/>
  </conditionalFormatting>
  <conditionalFormatting sqref="M37">
    <cfRule type="duplicateValues" dxfId="217" priority="22"/>
  </conditionalFormatting>
  <conditionalFormatting sqref="M38">
    <cfRule type="duplicateValues" dxfId="216" priority="388"/>
  </conditionalFormatting>
  <conditionalFormatting sqref="M46">
    <cfRule type="duplicateValues" dxfId="215" priority="477"/>
  </conditionalFormatting>
  <conditionalFormatting sqref="M69">
    <cfRule type="duplicateValues" dxfId="214" priority="528"/>
  </conditionalFormatting>
  <conditionalFormatting sqref="M70">
    <cfRule type="duplicateValues" dxfId="213" priority="529"/>
  </conditionalFormatting>
  <conditionalFormatting sqref="M72">
    <cfRule type="duplicateValues" dxfId="212" priority="527"/>
  </conditionalFormatting>
  <conditionalFormatting sqref="M80">
    <cfRule type="duplicateValues" dxfId="211" priority="480"/>
  </conditionalFormatting>
  <conditionalFormatting sqref="M81">
    <cfRule type="duplicateValues" dxfId="210" priority="479"/>
  </conditionalFormatting>
  <conditionalFormatting sqref="M82">
    <cfRule type="duplicateValues" dxfId="209" priority="478"/>
  </conditionalFormatting>
  <conditionalFormatting sqref="M88">
    <cfRule type="duplicateValues" dxfId="208" priority="459"/>
  </conditionalFormatting>
  <conditionalFormatting sqref="M90">
    <cfRule type="duplicateValues" dxfId="207" priority="16"/>
  </conditionalFormatting>
  <conditionalFormatting sqref="M91">
    <cfRule type="duplicateValues" dxfId="206" priority="18"/>
  </conditionalFormatting>
  <conditionalFormatting sqref="M92">
    <cfRule type="duplicateValues" dxfId="205" priority="191"/>
  </conditionalFormatting>
  <conditionalFormatting sqref="M98">
    <cfRule type="duplicateValues" dxfId="204" priority="490"/>
  </conditionalFormatting>
  <conditionalFormatting sqref="M100">
    <cfRule type="duplicateValues" dxfId="203" priority="208"/>
  </conditionalFormatting>
  <conditionalFormatting sqref="M107">
    <cfRule type="duplicateValues" dxfId="202" priority="400"/>
  </conditionalFormatting>
  <conditionalFormatting sqref="M114">
    <cfRule type="duplicateValues" dxfId="201" priority="499"/>
  </conditionalFormatting>
  <conditionalFormatting sqref="M115">
    <cfRule type="duplicateValues" dxfId="200" priority="498"/>
  </conditionalFormatting>
  <conditionalFormatting sqref="M116">
    <cfRule type="duplicateValues" dxfId="199" priority="497"/>
  </conditionalFormatting>
  <conditionalFormatting sqref="M120">
    <cfRule type="duplicateValues" dxfId="198" priority="525"/>
  </conditionalFormatting>
  <conditionalFormatting sqref="M121">
    <cfRule type="duplicateValues" dxfId="197" priority="526"/>
  </conditionalFormatting>
  <conditionalFormatting sqref="M122">
    <cfRule type="duplicateValues" dxfId="196" priority="350"/>
  </conditionalFormatting>
  <conditionalFormatting sqref="M124">
    <cfRule type="duplicateValues" dxfId="195" priority="541"/>
  </conditionalFormatting>
  <conditionalFormatting sqref="M137">
    <cfRule type="duplicateValues" dxfId="194" priority="452"/>
  </conditionalFormatting>
  <conditionalFormatting sqref="M138">
    <cfRule type="duplicateValues" dxfId="193" priority="352"/>
  </conditionalFormatting>
  <conditionalFormatting sqref="M139">
    <cfRule type="duplicateValues" dxfId="192" priority="193"/>
  </conditionalFormatting>
  <conditionalFormatting sqref="M142">
    <cfRule type="duplicateValues" dxfId="191" priority="398"/>
  </conditionalFormatting>
  <conditionalFormatting sqref="M145">
    <cfRule type="duplicateValues" dxfId="190" priority="516"/>
  </conditionalFormatting>
  <conditionalFormatting sqref="M146">
    <cfRule type="duplicateValues" dxfId="189" priority="515"/>
  </conditionalFormatting>
  <conditionalFormatting sqref="M151">
    <cfRule type="duplicateValues" dxfId="188" priority="374"/>
  </conditionalFormatting>
  <conditionalFormatting sqref="M153">
    <cfRule type="duplicateValues" dxfId="187" priority="519"/>
  </conditionalFormatting>
  <conditionalFormatting sqref="M156">
    <cfRule type="duplicateValues" dxfId="186" priority="517"/>
  </conditionalFormatting>
  <conditionalFormatting sqref="M157">
    <cfRule type="duplicateValues" dxfId="185" priority="518"/>
  </conditionalFormatting>
  <conditionalFormatting sqref="M159">
    <cfRule type="duplicateValues" dxfId="184" priority="396"/>
  </conditionalFormatting>
  <conditionalFormatting sqref="M172">
    <cfRule type="duplicateValues" dxfId="183" priority="220"/>
  </conditionalFormatting>
  <conditionalFormatting sqref="M176">
    <cfRule type="duplicateValues" dxfId="182" priority="10"/>
  </conditionalFormatting>
  <conditionalFormatting sqref="M179">
    <cfRule type="duplicateValues" dxfId="181" priority="500"/>
  </conditionalFormatting>
  <conditionalFormatting sqref="M180 M63">
    <cfRule type="expression" dxfId="180" priority="2568" stopIfTrue="1">
      <formula>AND(COUNTIF($M$180:$M$180, M63)+COUNTIF($M$63:$M$63, M63)&gt;1,NOT(ISBLANK(M63)))</formula>
    </cfRule>
  </conditionalFormatting>
  <conditionalFormatting sqref="M181">
    <cfRule type="duplicateValues" dxfId="179" priority="407"/>
  </conditionalFormatting>
  <conditionalFormatting sqref="M182">
    <cfRule type="duplicateValues" dxfId="178" priority="206"/>
  </conditionalFormatting>
  <conditionalFormatting sqref="M186">
    <cfRule type="duplicateValues" dxfId="177" priority="390"/>
  </conditionalFormatting>
  <conditionalFormatting sqref="M197">
    <cfRule type="duplicateValues" dxfId="176" priority="210"/>
  </conditionalFormatting>
  <conditionalFormatting sqref="M199">
    <cfRule type="duplicateValues" dxfId="175" priority="343"/>
  </conditionalFormatting>
  <conditionalFormatting sqref="M200">
    <cfRule type="duplicateValues" dxfId="174" priority="204"/>
  </conditionalFormatting>
  <conditionalFormatting sqref="M201">
    <cfRule type="duplicateValues" dxfId="173" priority="202"/>
  </conditionalFormatting>
  <conditionalFormatting sqref="M202">
    <cfRule type="duplicateValues" dxfId="172" priority="182"/>
  </conditionalFormatting>
  <conditionalFormatting sqref="M210">
    <cfRule type="duplicateValues" dxfId="171" priority="445"/>
  </conditionalFormatting>
  <conditionalFormatting sqref="M212">
    <cfRule type="duplicateValues" dxfId="170" priority="405"/>
  </conditionalFormatting>
  <conditionalFormatting sqref="M226">
    <cfRule type="duplicateValues" dxfId="169" priority="14"/>
  </conditionalFormatting>
  <conditionalFormatting sqref="M230">
    <cfRule type="duplicateValues" dxfId="168" priority="24"/>
  </conditionalFormatting>
  <conditionalFormatting sqref="M234">
    <cfRule type="duplicateValues" dxfId="167" priority="496"/>
  </conditionalFormatting>
  <conditionalFormatting sqref="M235">
    <cfRule type="duplicateValues" dxfId="166" priority="495"/>
  </conditionalFormatting>
  <conditionalFormatting sqref="M246">
    <cfRule type="duplicateValues" dxfId="165" priority="514"/>
  </conditionalFormatting>
  <conditionalFormatting sqref="M250">
    <cfRule type="duplicateValues" dxfId="164" priority="548"/>
  </conditionalFormatting>
  <conditionalFormatting sqref="M257">
    <cfRule type="duplicateValues" dxfId="163" priority="364"/>
  </conditionalFormatting>
  <conditionalFormatting sqref="M259">
    <cfRule type="duplicateValues" dxfId="162" priority="359"/>
  </conditionalFormatting>
  <conditionalFormatting sqref="M262">
    <cfRule type="duplicateValues" dxfId="161" priority="465"/>
  </conditionalFormatting>
  <conditionalFormatting sqref="M263">
    <cfRule type="duplicateValues" dxfId="160" priority="461"/>
  </conditionalFormatting>
  <conditionalFormatting sqref="M275">
    <cfRule type="duplicateValues" dxfId="159" priority="481"/>
  </conditionalFormatting>
  <conditionalFormatting sqref="M276">
    <cfRule type="duplicateValues" dxfId="158" priority="485"/>
  </conditionalFormatting>
  <conditionalFormatting sqref="M277">
    <cfRule type="duplicateValues" dxfId="157" priority="520"/>
  </conditionalFormatting>
  <conditionalFormatting sqref="M280">
    <cfRule type="duplicateValues" dxfId="156" priority="384"/>
  </conditionalFormatting>
  <conditionalFormatting sqref="M290">
    <cfRule type="duplicateValues" dxfId="155" priority="218"/>
  </conditionalFormatting>
  <conditionalFormatting sqref="M295">
    <cfRule type="duplicateValues" dxfId="154" priority="379"/>
  </conditionalFormatting>
  <conditionalFormatting sqref="M296">
    <cfRule type="duplicateValues" dxfId="153" priority="198"/>
  </conditionalFormatting>
  <conditionalFormatting sqref="M301">
    <cfRule type="duplicateValues" dxfId="152" priority="473"/>
  </conditionalFormatting>
  <conditionalFormatting sqref="M303">
    <cfRule type="duplicateValues" dxfId="151" priority="341"/>
  </conditionalFormatting>
  <conditionalFormatting sqref="M304">
    <cfRule type="duplicateValues" dxfId="150" priority="200"/>
  </conditionalFormatting>
  <conditionalFormatting sqref="M307">
    <cfRule type="duplicateValues" dxfId="149" priority="187"/>
  </conditionalFormatting>
  <conditionalFormatting sqref="M317">
    <cfRule type="duplicateValues" dxfId="148" priority="505"/>
  </conditionalFormatting>
  <conditionalFormatting sqref="M318">
    <cfRule type="duplicateValues" dxfId="147" priority="501"/>
  </conditionalFormatting>
  <conditionalFormatting sqref="M337">
    <cfRule type="duplicateValues" dxfId="146" priority="453"/>
  </conditionalFormatting>
  <conditionalFormatting sqref="M339">
    <cfRule type="duplicateValues" dxfId="145" priority="537"/>
  </conditionalFormatting>
  <conditionalFormatting sqref="M341">
    <cfRule type="duplicateValues" dxfId="144" priority="533"/>
  </conditionalFormatting>
  <conditionalFormatting sqref="M352">
    <cfRule type="duplicateValues" dxfId="143" priority="216"/>
  </conditionalFormatting>
  <conditionalFormatting sqref="M355">
    <cfRule type="duplicateValues" dxfId="142" priority="448"/>
  </conditionalFormatting>
  <conditionalFormatting sqref="M360">
    <cfRule type="duplicateValues" dxfId="141" priority="369"/>
  </conditionalFormatting>
  <conditionalFormatting sqref="M383">
    <cfRule type="duplicateValues" dxfId="140" priority="472"/>
  </conditionalFormatting>
  <conditionalFormatting sqref="M384">
    <cfRule type="duplicateValues" dxfId="139" priority="471"/>
  </conditionalFormatting>
  <conditionalFormatting sqref="M438 M211 M302 M366">
    <cfRule type="expression" dxfId="138" priority="2610" stopIfTrue="1">
      <formula>AND(COUNTIF($M$438:$M$438, M211)+COUNTIF($M$211:$M$211, M211)+COUNTIF($M$302:$M$302, M211)+COUNTIF($M$366:$M$366, M211)&gt;1,NOT(ISBLANK(M211)))</formula>
    </cfRule>
  </conditionalFormatting>
  <conditionalFormatting sqref="M387">
    <cfRule type="duplicateValues" dxfId="137" priority="389"/>
  </conditionalFormatting>
  <conditionalFormatting sqref="M394">
    <cfRule type="duplicateValues" dxfId="136" priority="212"/>
  </conditionalFormatting>
  <conditionalFormatting sqref="M397">
    <cfRule type="duplicateValues" dxfId="135" priority="20"/>
  </conditionalFormatting>
  <conditionalFormatting sqref="M398">
    <cfRule type="duplicateValues" dxfId="134" priority="214"/>
  </conditionalFormatting>
  <conditionalFormatting sqref="M405">
    <cfRule type="duplicateValues" dxfId="133" priority="513"/>
  </conditionalFormatting>
  <conditionalFormatting sqref="M416">
    <cfRule type="duplicateValues" dxfId="132" priority="189"/>
  </conditionalFormatting>
  <conditionalFormatting sqref="M421">
    <cfRule type="duplicateValues" dxfId="131" priority="494"/>
  </conditionalFormatting>
  <conditionalFormatting sqref="M422">
    <cfRule type="duplicateValues" dxfId="130" priority="493"/>
  </conditionalFormatting>
  <conditionalFormatting sqref="M423">
    <cfRule type="duplicateValues" dxfId="129" priority="524"/>
  </conditionalFormatting>
  <conditionalFormatting sqref="M435">
    <cfRule type="duplicateValues" dxfId="128" priority="458"/>
  </conditionalFormatting>
  <conditionalFormatting sqref="M436">
    <cfRule type="duplicateValues" dxfId="127" priority="457"/>
  </conditionalFormatting>
  <conditionalFormatting sqref="M439">
    <cfRule type="duplicateValues" dxfId="126" priority="447"/>
  </conditionalFormatting>
  <conditionalFormatting sqref="M440">
    <cfRule type="duplicateValues" dxfId="125" priority="460"/>
  </conditionalFormatting>
  <conditionalFormatting sqref="M451">
    <cfRule type="duplicateValues" dxfId="124" priority="469"/>
  </conditionalFormatting>
  <conditionalFormatting sqref="M454">
    <cfRule type="duplicateValues" dxfId="123" priority="383"/>
  </conditionalFormatting>
  <conditionalFormatting sqref="M458">
    <cfRule type="duplicateValues" dxfId="122" priority="492"/>
  </conditionalFormatting>
  <conditionalFormatting sqref="M459 M123 M335:M336 M256 M18:M20 M14:M16 M340 M342 M71 M73 M424 M278:M279 M154:M155 M158 M247 M406 M125 M99 M33 M83 M47 M305:M306 M385:M386 M452 M264 M441:M442 M89 M437 M236 M213 M338 M140:M141 M12 M27:M31 M356:M359 M183:M185 M64 M367:M368 M35:M36 M173:M175 M198 M399:M404 M44:M45 M291:M294 M450 M455:M457 M297:M300 M152 M361:M365 M258 M260:M261 M203:M209 M54:M62 M68 M78:M79 M87 M108:M111 M150 M228:M229 M244:M245 M266:M274 M312:M316 M353:M354 M374:M382 M417:M420 M434 M444:M447 M466:M467 M22:M24 M143:M144 M93:M97 M231:M233 M177:M178 M113">
    <cfRule type="expression" dxfId="121" priority="2627" stopIfTrue="1">
      <formula>#VALUE!</formula>
    </cfRule>
  </conditionalFormatting>
  <conditionalFormatting sqref="M460:M461 M443 M453 M425:M433 M407:M415 M388:M393 M369:M373 M319:M334 M117:M119 M308:M311 M281:M289 M265 M248:M249 M237:M243 M214:M225 M187:M196 M160:M171 M126:M136 M147:M149 M101:M106 M84:M86 M74:M77 M65:M67 M48:M53 M39:M43 M395:M396 M251:M255 M343:M351 M227 M463:M465">
    <cfRule type="expression" dxfId="120" priority="2628" stopIfTrue="1">
      <formula>AND(COUNTIF($M$460:$M$461, M39)+COUNTIF($M$443:$M$443, M39)+COUNTIF($M$453:$M$453, M39)+COUNTIF($M$425:$M$433, M39)+COUNTIF($M$407:$M$415, M39)+COUNTIF($M$388:$M$393, M39)+COUNTIF($M$369:$M$373, M39)+COUNTIF($M$319:$M$334, M39)+COUNTIF($M$117:$M$119, M39)+COUNTIF($M$308:$M$311, M39)+COUNTIF($M$281:$M$289, M39)+COUNTIF($M$265:$M$265, M39)+COUNTIF($M$248:$M$249, M39)+COUNTIF($M$237:$M$243, M39)+COUNTIF($M$214:$M$225, M39)+COUNTIF($M$187:$M$196, M39)+COUNTIF($M$160:$M$171, M39)+COUNTIF($M$126:$M$136, M39)+COUNTIF($M$147:$M$149, M39)+COUNTIF($M$101:$M$106, M39)+COUNTIF($M$84:$M$86, M39)+COUNTIF($M$74:$M$77, M39)+COUNTIF($M$65:$M$67, M39)+COUNTIF($M$48:$M$53, M39)+COUNTIF($M$39:$M$43, M39)+COUNTIF($M$395:$M$396, M39)+COUNTIF($M$251:$M$255, M39)+COUNTIF($M$343:$M$351, M39)+COUNTIF($M$227:$M$227, M39)+COUNTIF($M$463:$M$465, M39)&gt;1,NOT(ISBLANK(M39)))</formula>
    </cfRule>
  </conditionalFormatting>
  <conditionalFormatting sqref="M468">
    <cfRule type="duplicateValues" dxfId="119" priority="404"/>
  </conditionalFormatting>
  <conditionalFormatting sqref="P114:P468 P7:P111">
    <cfRule type="cellIs" dxfId="118" priority="11" operator="lessThanOrEqual">
      <formula>TODAY()</formula>
    </cfRule>
  </conditionalFormatting>
  <conditionalFormatting sqref="M112">
    <cfRule type="duplicateValues" dxfId="117" priority="9"/>
  </conditionalFormatting>
  <conditionalFormatting sqref="P112:P113">
    <cfRule type="cellIs" dxfId="116" priority="8" operator="lessThanOrEqual">
      <formula>TODAY()</formula>
    </cfRule>
  </conditionalFormatting>
  <conditionalFormatting sqref="F462">
    <cfRule type="dataBar" priority="5">
      <dataBar>
        <cfvo type="min"/>
        <cfvo type="max"/>
        <color theme="0" tint="-0.499984740745262"/>
      </dataBar>
    </cfRule>
    <cfRule type="dataBar" priority="6">
      <dataBar>
        <cfvo type="min"/>
        <cfvo type="max"/>
        <color theme="0" tint="-0.499984740745262"/>
      </dataBar>
    </cfRule>
    <cfRule type="dataBar" priority="7">
      <dataBar>
        <cfvo type="min"/>
        <cfvo type="max"/>
        <color theme="0" tint="-0.499984740745262"/>
      </dataBar>
    </cfRule>
  </conditionalFormatting>
  <conditionalFormatting sqref="M462">
    <cfRule type="duplicateValues" dxfId="115" priority="2"/>
  </conditionalFormatting>
  <printOptions horizontalCentered="1"/>
  <pageMargins left="0.3" right="0.2" top="0.1" bottom="0.25" header="0.511811023622047" footer="0.196850393700787"/>
  <pageSetup scale="70"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99CDC-1595-4DA5-B120-BB9DD45435BA}">
  <sheetPr codeName="Sheet5">
    <tabColor rgb="FFFF0000"/>
  </sheetPr>
  <dimension ref="A1:AA472"/>
  <sheetViews>
    <sheetView tabSelected="1" view="pageBreakPreview" zoomScaleNormal="130" zoomScaleSheetLayoutView="100" workbookViewId="0">
      <pane xSplit="4" ySplit="9" topLeftCell="E10" activePane="bottomRight" state="frozen"/>
      <selection pane="topRight" activeCell="C1" sqref="C1"/>
      <selection pane="bottomLeft" activeCell="A7" sqref="A7"/>
      <selection pane="bottomRight" activeCell="F4" sqref="F4"/>
    </sheetView>
  </sheetViews>
  <sheetFormatPr defaultColWidth="5.7109375" defaultRowHeight="12.75"/>
  <cols>
    <col min="1" max="1" width="4.42578125" style="300" hidden="1" customWidth="1"/>
    <col min="2" max="2" width="10.42578125" style="197" hidden="1" customWidth="1"/>
    <col min="3" max="3" width="6.42578125" style="197" hidden="1" customWidth="1"/>
    <col min="4" max="4" width="10.28515625" style="368" customWidth="1"/>
    <col min="5" max="5" width="11.7109375" style="360" customWidth="1"/>
    <col min="6" max="6" width="16.42578125" style="361" customWidth="1"/>
    <col min="7" max="7" width="16" style="369" customWidth="1"/>
    <col min="8" max="8" width="14.42578125" style="359" customWidth="1"/>
    <col min="9" max="9" width="29.42578125" style="369" customWidth="1"/>
    <col min="10" max="10" width="14.5703125" style="369" customWidth="1"/>
    <col min="11" max="11" width="21" style="370" customWidth="1"/>
    <col min="12" max="14" width="10.28515625" style="205" customWidth="1"/>
    <col min="15" max="15" width="14.7109375" style="371" customWidth="1"/>
    <col min="16" max="16" width="22" style="370" customWidth="1"/>
    <col min="17" max="18" width="0" style="206" hidden="1" customWidth="1"/>
    <col min="19" max="19" width="25.28515625" style="206" bestFit="1" customWidth="1"/>
    <col min="20" max="20" width="27.85546875" style="206" customWidth="1"/>
    <col min="21" max="30" width="5.7109375" style="206"/>
    <col min="31" max="31" width="12.5703125" style="206" customWidth="1"/>
    <col min="32" max="33" width="5.7109375" style="206"/>
    <col min="34" max="34" width="5.7109375" style="206" customWidth="1"/>
    <col min="35" max="16384" width="5.7109375" style="206"/>
  </cols>
  <sheetData>
    <row r="1" spans="1:27" ht="20.100000000000001" customHeight="1">
      <c r="D1" s="422" t="s">
        <v>1923</v>
      </c>
      <c r="E1" s="422"/>
      <c r="F1" s="422"/>
      <c r="G1" s="422"/>
      <c r="H1" s="422"/>
      <c r="I1" s="422"/>
      <c r="J1" s="372"/>
      <c r="K1" s="372"/>
      <c r="L1" s="372"/>
      <c r="M1" s="372"/>
      <c r="N1" s="372"/>
      <c r="O1" s="372"/>
    </row>
    <row r="2" spans="1:27" ht="20.100000000000001" customHeight="1">
      <c r="D2" s="422"/>
      <c r="E2" s="422"/>
      <c r="F2" s="422"/>
      <c r="G2" s="422"/>
      <c r="H2" s="422"/>
      <c r="I2" s="422"/>
      <c r="J2" s="372"/>
      <c r="K2" s="372"/>
      <c r="L2" s="372"/>
      <c r="M2" s="372"/>
      <c r="N2" s="372"/>
      <c r="O2" s="372"/>
    </row>
    <row r="3" spans="1:27" ht="20.100000000000001" customHeight="1">
      <c r="D3" s="422"/>
      <c r="E3" s="422"/>
      <c r="F3" s="422"/>
      <c r="G3" s="422"/>
      <c r="H3" s="422"/>
      <c r="I3" s="422"/>
      <c r="J3" s="372"/>
      <c r="K3" s="372"/>
      <c r="L3" s="372"/>
      <c r="M3" s="372"/>
      <c r="N3" s="372"/>
      <c r="O3" s="372"/>
      <c r="P3" s="302"/>
    </row>
    <row r="4" spans="1:27" ht="39.950000000000003" customHeight="1">
      <c r="D4" s="301"/>
      <c r="E4" s="301"/>
      <c r="F4" s="372"/>
      <c r="G4" s="376" t="s">
        <v>1925</v>
      </c>
      <c r="H4" s="374" t="s">
        <v>1928</v>
      </c>
      <c r="I4" s="375"/>
      <c r="J4" s="375"/>
      <c r="K4" s="375"/>
      <c r="L4" s="372"/>
      <c r="M4" s="372"/>
      <c r="N4" s="372"/>
      <c r="O4" s="372"/>
      <c r="P4" s="302"/>
    </row>
    <row r="5" spans="1:27" ht="39.950000000000003" customHeight="1">
      <c r="G5" s="376" t="s">
        <v>1926</v>
      </c>
      <c r="H5" s="379" t="s">
        <v>1929</v>
      </c>
    </row>
    <row r="6" spans="1:27" ht="20.100000000000001" customHeight="1" thickBot="1">
      <c r="D6" s="301"/>
      <c r="E6" s="301"/>
      <c r="F6" s="373"/>
      <c r="G6" s="373"/>
      <c r="H6" s="373"/>
      <c r="I6" s="373"/>
      <c r="J6" s="373"/>
      <c r="K6" s="373"/>
      <c r="L6" s="373"/>
      <c r="M6" s="373"/>
      <c r="N6" s="373"/>
      <c r="O6" s="373"/>
      <c r="P6" s="302"/>
    </row>
    <row r="7" spans="1:27" ht="15.75" thickTop="1">
      <c r="A7" s="438"/>
      <c r="B7" s="439"/>
      <c r="C7" s="439"/>
      <c r="D7" s="440" t="s">
        <v>840</v>
      </c>
      <c r="E7" s="442" t="s">
        <v>857</v>
      </c>
      <c r="F7" s="428" t="s">
        <v>844</v>
      </c>
      <c r="G7" s="430" t="s">
        <v>975</v>
      </c>
      <c r="H7" s="431"/>
      <c r="I7" s="431"/>
      <c r="J7" s="432"/>
      <c r="K7" s="428" t="s">
        <v>841</v>
      </c>
      <c r="L7" s="433" t="s">
        <v>1423</v>
      </c>
      <c r="M7" s="434"/>
      <c r="N7" s="435"/>
      <c r="O7" s="436" t="s">
        <v>842</v>
      </c>
      <c r="P7" s="426" t="s">
        <v>1602</v>
      </c>
      <c r="S7"/>
      <c r="T7"/>
      <c r="U7"/>
      <c r="V7"/>
      <c r="W7"/>
      <c r="X7"/>
      <c r="Y7"/>
      <c r="Z7"/>
    </row>
    <row r="8" spans="1:27" s="205" customFormat="1" ht="51">
      <c r="A8" s="438"/>
      <c r="B8" s="439"/>
      <c r="C8" s="439"/>
      <c r="D8" s="441"/>
      <c r="E8" s="443"/>
      <c r="F8" s="429"/>
      <c r="G8" s="304" t="s">
        <v>976</v>
      </c>
      <c r="H8" s="304" t="s">
        <v>1924</v>
      </c>
      <c r="I8" s="304" t="s">
        <v>845</v>
      </c>
      <c r="J8" s="304" t="s">
        <v>846</v>
      </c>
      <c r="K8" s="429"/>
      <c r="L8" s="305" t="s">
        <v>843</v>
      </c>
      <c r="M8" s="306" t="s">
        <v>1272</v>
      </c>
      <c r="N8" s="306" t="s">
        <v>1273</v>
      </c>
      <c r="O8" s="437"/>
      <c r="P8" s="427"/>
      <c r="S8" s="378" t="s">
        <v>1927</v>
      </c>
      <c r="T8"/>
      <c r="U8"/>
      <c r="V8"/>
      <c r="W8"/>
      <c r="X8"/>
      <c r="Y8"/>
      <c r="Z8"/>
    </row>
    <row r="9" spans="1:27" s="205" customFormat="1" ht="15.75">
      <c r="A9" s="307"/>
      <c r="B9" s="308"/>
      <c r="C9" s="303"/>
      <c r="D9" s="309"/>
      <c r="E9" s="310"/>
      <c r="F9" s="311"/>
      <c r="G9" s="310"/>
      <c r="H9" s="310"/>
      <c r="I9" s="310"/>
      <c r="J9" s="310"/>
      <c r="K9" s="310"/>
      <c r="L9" s="313"/>
      <c r="M9" s="312"/>
      <c r="N9" s="312"/>
      <c r="O9" s="314"/>
      <c r="P9" s="315"/>
      <c r="S9" t="s">
        <v>1928</v>
      </c>
      <c r="T9"/>
      <c r="U9"/>
      <c r="V9"/>
      <c r="W9"/>
      <c r="X9"/>
      <c r="Y9"/>
      <c r="Z9"/>
      <c r="AA9" s="380" t="str">
        <f>"https://github.com/OSRvn/ID-Welder/blob/main/" &amp; S9 &amp;".pdf"</f>
        <v>https://github.com/OSRvn/ID-Welder/blob/main/W-251225.pdf</v>
      </c>
    </row>
    <row r="10" spans="1:27" s="205" customFormat="1" ht="38.25">
      <c r="A10" s="316"/>
      <c r="B10" s="317"/>
      <c r="C10" s="318"/>
      <c r="D10" s="319">
        <v>1</v>
      </c>
      <c r="E10" s="320" t="s">
        <v>718</v>
      </c>
      <c r="F10" s="321" t="s">
        <v>103</v>
      </c>
      <c r="G10" s="322" t="s">
        <v>851</v>
      </c>
      <c r="H10" s="322" t="s">
        <v>1215</v>
      </c>
      <c r="I10" s="323" t="s">
        <v>964</v>
      </c>
      <c r="J10" s="322" t="s">
        <v>1</v>
      </c>
      <c r="K10" s="324" t="s">
        <v>1930</v>
      </c>
      <c r="L10" s="325">
        <v>45852</v>
      </c>
      <c r="M10" s="325">
        <v>45857</v>
      </c>
      <c r="N10" s="325">
        <v>46222</v>
      </c>
      <c r="O10" s="187" t="s">
        <v>444</v>
      </c>
      <c r="P10" s="326" t="s">
        <v>106</v>
      </c>
      <c r="S10"/>
      <c r="T10"/>
      <c r="U10"/>
      <c r="V10"/>
      <c r="W10"/>
      <c r="X10"/>
      <c r="Y10"/>
      <c r="Z10"/>
      <c r="AA10" s="380" t="str">
        <f t="shared" ref="AA10:AA73" si="0">"https://github.com/OSRvn/ID-Welder/blob/main/" &amp; S10 &amp;".pdf"</f>
        <v>https://github.com/OSRvn/ID-Welder/blob/main/.pdf</v>
      </c>
    </row>
    <row r="11" spans="1:27" s="205" customFormat="1" ht="15.75">
      <c r="A11" s="316"/>
      <c r="B11" s="317"/>
      <c r="C11" s="318"/>
      <c r="D11" s="319"/>
      <c r="E11" s="180"/>
      <c r="F11" s="188"/>
      <c r="G11" s="183"/>
      <c r="H11" s="183"/>
      <c r="I11" s="184"/>
      <c r="J11" s="183"/>
      <c r="K11" s="185"/>
      <c r="L11" s="186"/>
      <c r="M11" s="186"/>
      <c r="N11" s="186"/>
      <c r="O11" s="187"/>
      <c r="P11" s="202"/>
      <c r="S11"/>
      <c r="T11"/>
      <c r="U11"/>
      <c r="V11"/>
      <c r="W11"/>
      <c r="X11"/>
      <c r="Y11"/>
      <c r="Z11"/>
      <c r="AA11" s="380" t="str">
        <f t="shared" si="0"/>
        <v>https://github.com/OSRvn/ID-Welder/blob/main/.pdf</v>
      </c>
    </row>
    <row r="12" spans="1:27" s="205" customFormat="1" ht="15.75">
      <c r="A12" s="316"/>
      <c r="B12" s="197"/>
      <c r="C12" s="299"/>
      <c r="D12" s="319"/>
      <c r="E12" s="327"/>
      <c r="F12" s="328"/>
      <c r="G12" s="183"/>
      <c r="H12" s="183"/>
      <c r="I12" s="184"/>
      <c r="J12" s="183"/>
      <c r="K12" s="185"/>
      <c r="L12" s="186"/>
      <c r="M12" s="186"/>
      <c r="N12" s="186"/>
      <c r="O12" s="187"/>
      <c r="P12" s="202"/>
      <c r="S12"/>
      <c r="T12"/>
      <c r="U12"/>
      <c r="V12"/>
      <c r="W12"/>
      <c r="X12"/>
      <c r="Y12"/>
      <c r="Z12"/>
      <c r="AA12" s="380" t="str">
        <f t="shared" si="0"/>
        <v>https://github.com/OSRvn/ID-Welder/blob/main/.pdf</v>
      </c>
    </row>
    <row r="13" spans="1:27" s="205" customFormat="1" ht="15.75">
      <c r="A13" s="316"/>
      <c r="B13" s="197"/>
      <c r="C13" s="299"/>
      <c r="D13" s="319"/>
      <c r="E13" s="180"/>
      <c r="F13" s="188"/>
      <c r="G13" s="183"/>
      <c r="H13" s="183"/>
      <c r="I13" s="184"/>
      <c r="J13" s="183"/>
      <c r="K13" s="185"/>
      <c r="L13" s="186"/>
      <c r="M13" s="186"/>
      <c r="N13" s="186"/>
      <c r="O13" s="187"/>
      <c r="P13" s="202"/>
      <c r="S13"/>
      <c r="T13"/>
      <c r="U13"/>
      <c r="V13"/>
      <c r="W13"/>
      <c r="X13"/>
      <c r="Y13"/>
      <c r="Z13"/>
      <c r="AA13" s="380" t="str">
        <f t="shared" si="0"/>
        <v>https://github.com/OSRvn/ID-Welder/blob/main/.pdf</v>
      </c>
    </row>
    <row r="14" spans="1:27" s="205" customFormat="1" ht="15.75">
      <c r="A14" s="316"/>
      <c r="B14" s="197"/>
      <c r="C14" s="299"/>
      <c r="D14" s="198"/>
      <c r="E14" s="180"/>
      <c r="F14" s="188"/>
      <c r="G14" s="183"/>
      <c r="H14" s="183"/>
      <c r="I14" s="184"/>
      <c r="J14" s="183"/>
      <c r="K14" s="185"/>
      <c r="L14" s="186"/>
      <c r="M14" s="186"/>
      <c r="N14" s="186"/>
      <c r="O14" s="187"/>
      <c r="P14" s="202"/>
      <c r="S14"/>
      <c r="T14"/>
      <c r="U14"/>
      <c r="V14"/>
      <c r="W14"/>
      <c r="X14"/>
      <c r="Y14"/>
      <c r="Z14"/>
      <c r="AA14" s="380" t="str">
        <f t="shared" si="0"/>
        <v>https://github.com/OSRvn/ID-Welder/blob/main/.pdf</v>
      </c>
    </row>
    <row r="15" spans="1:27" s="205" customFormat="1" ht="15.75">
      <c r="A15" s="316"/>
      <c r="B15" s="197"/>
      <c r="C15" s="299"/>
      <c r="D15" s="198"/>
      <c r="E15" s="180"/>
      <c r="F15" s="188"/>
      <c r="G15" s="183"/>
      <c r="H15" s="183"/>
      <c r="I15" s="184"/>
      <c r="J15" s="183"/>
      <c r="K15" s="185"/>
      <c r="L15" s="186"/>
      <c r="M15" s="186"/>
      <c r="N15" s="186"/>
      <c r="O15" s="187"/>
      <c r="P15" s="202"/>
      <c r="S15"/>
      <c r="T15"/>
      <c r="U15"/>
      <c r="V15"/>
      <c r="W15"/>
      <c r="X15"/>
      <c r="Y15"/>
      <c r="Z15"/>
      <c r="AA15" s="380" t="str">
        <f t="shared" si="0"/>
        <v>https://github.com/OSRvn/ID-Welder/blob/main/.pdf</v>
      </c>
    </row>
    <row r="16" spans="1:27" s="205" customFormat="1" ht="15.75">
      <c r="A16" s="316"/>
      <c r="B16" s="197"/>
      <c r="C16" s="299"/>
      <c r="D16" s="198"/>
      <c r="E16" s="180"/>
      <c r="F16" s="188"/>
      <c r="G16" s="183"/>
      <c r="H16" s="183"/>
      <c r="I16" s="184"/>
      <c r="J16" s="183"/>
      <c r="K16" s="185"/>
      <c r="L16" s="186"/>
      <c r="M16" s="186"/>
      <c r="N16" s="186"/>
      <c r="O16" s="187"/>
      <c r="P16" s="202"/>
      <c r="S16"/>
      <c r="T16"/>
      <c r="U16"/>
      <c r="V16"/>
      <c r="W16"/>
      <c r="X16"/>
      <c r="Y16"/>
      <c r="Z16"/>
      <c r="AA16" s="380" t="str">
        <f t="shared" si="0"/>
        <v>https://github.com/OSRvn/ID-Welder/blob/main/.pdf</v>
      </c>
    </row>
    <row r="17" spans="1:27" s="205" customFormat="1" ht="15.75">
      <c r="A17" s="316"/>
      <c r="B17" s="197"/>
      <c r="C17" s="299"/>
      <c r="D17" s="198"/>
      <c r="E17" s="180"/>
      <c r="F17" s="188"/>
      <c r="G17" s="183"/>
      <c r="H17" s="183"/>
      <c r="I17" s="184"/>
      <c r="J17" s="183"/>
      <c r="K17" s="185"/>
      <c r="L17" s="186"/>
      <c r="M17" s="186"/>
      <c r="N17" s="186"/>
      <c r="O17" s="187"/>
      <c r="P17" s="202"/>
      <c r="S17"/>
      <c r="T17"/>
      <c r="U17"/>
      <c r="V17"/>
      <c r="W17"/>
      <c r="X17"/>
      <c r="Y17"/>
      <c r="Z17"/>
      <c r="AA17" s="380" t="str">
        <f t="shared" si="0"/>
        <v>https://github.com/OSRvn/ID-Welder/blob/main/.pdf</v>
      </c>
    </row>
    <row r="18" spans="1:27" s="205" customFormat="1" ht="15.75">
      <c r="A18" s="316"/>
      <c r="B18" s="197"/>
      <c r="C18" s="299"/>
      <c r="D18" s="198"/>
      <c r="E18" s="180"/>
      <c r="F18" s="188"/>
      <c r="G18" s="183"/>
      <c r="H18" s="183"/>
      <c r="I18" s="184"/>
      <c r="J18" s="183"/>
      <c r="K18" s="185"/>
      <c r="L18" s="186"/>
      <c r="M18" s="186"/>
      <c r="N18" s="186"/>
      <c r="O18" s="187"/>
      <c r="P18" s="202"/>
      <c r="S18"/>
      <c r="T18"/>
      <c r="U18"/>
      <c r="V18"/>
      <c r="W18"/>
      <c r="X18"/>
      <c r="Y18"/>
      <c r="Z18"/>
      <c r="AA18" s="380" t="str">
        <f t="shared" si="0"/>
        <v>https://github.com/OSRvn/ID-Welder/blob/main/.pdf</v>
      </c>
    </row>
    <row r="19" spans="1:27" s="205" customFormat="1" ht="15.75">
      <c r="A19" s="316"/>
      <c r="B19" s="317"/>
      <c r="C19" s="318"/>
      <c r="D19" s="198"/>
      <c r="E19" s="180"/>
      <c r="F19" s="188"/>
      <c r="G19" s="183"/>
      <c r="H19" s="183"/>
      <c r="I19" s="184"/>
      <c r="J19" s="183"/>
      <c r="K19" s="185"/>
      <c r="L19" s="186"/>
      <c r="M19" s="186"/>
      <c r="N19" s="186"/>
      <c r="O19" s="187"/>
      <c r="P19" s="202"/>
      <c r="S19"/>
      <c r="T19"/>
      <c r="U19"/>
      <c r="V19"/>
      <c r="W19"/>
      <c r="X19"/>
      <c r="Y19"/>
      <c r="Z19"/>
      <c r="AA19" s="380" t="str">
        <f t="shared" si="0"/>
        <v>https://github.com/OSRvn/ID-Welder/blob/main/.pdf</v>
      </c>
    </row>
    <row r="20" spans="1:27" s="205" customFormat="1" ht="15.75">
      <c r="A20" s="316"/>
      <c r="B20" s="317"/>
      <c r="C20" s="318"/>
      <c r="D20" s="198"/>
      <c r="E20" s="180"/>
      <c r="F20" s="188"/>
      <c r="G20" s="183"/>
      <c r="H20" s="183"/>
      <c r="I20" s="184"/>
      <c r="J20" s="183"/>
      <c r="K20" s="185"/>
      <c r="L20" s="186"/>
      <c r="M20" s="186"/>
      <c r="N20" s="186"/>
      <c r="O20" s="187"/>
      <c r="P20" s="202"/>
      <c r="S20"/>
      <c r="T20"/>
      <c r="U20"/>
      <c r="V20"/>
      <c r="W20"/>
      <c r="X20"/>
      <c r="Y20"/>
      <c r="Z20"/>
      <c r="AA20" s="380" t="str">
        <f t="shared" si="0"/>
        <v>https://github.com/OSRvn/ID-Welder/blob/main/.pdf</v>
      </c>
    </row>
    <row r="21" spans="1:27" ht="15.75">
      <c r="A21" s="316"/>
      <c r="B21" s="317"/>
      <c r="C21" s="299"/>
      <c r="D21" s="198"/>
      <c r="E21" s="327"/>
      <c r="F21" s="328"/>
      <c r="G21" s="183"/>
      <c r="H21" s="201"/>
      <c r="I21" s="184"/>
      <c r="J21" s="183"/>
      <c r="K21" s="185"/>
      <c r="L21" s="186"/>
      <c r="M21" s="186"/>
      <c r="N21" s="186"/>
      <c r="O21" s="187"/>
      <c r="P21" s="202"/>
      <c r="S21"/>
      <c r="T21"/>
      <c r="U21"/>
      <c r="V21"/>
      <c r="W21"/>
      <c r="X21"/>
      <c r="Y21"/>
      <c r="Z21"/>
      <c r="AA21" s="380" t="str">
        <f t="shared" si="0"/>
        <v>https://github.com/OSRvn/ID-Welder/blob/main/.pdf</v>
      </c>
    </row>
    <row r="22" spans="1:27" ht="15.75">
      <c r="A22" s="316"/>
      <c r="B22" s="317"/>
      <c r="C22" s="299"/>
      <c r="D22" s="198"/>
      <c r="E22" s="180"/>
      <c r="F22" s="188"/>
      <c r="G22" s="183"/>
      <c r="H22" s="201"/>
      <c r="I22" s="184"/>
      <c r="J22" s="183"/>
      <c r="K22" s="185"/>
      <c r="L22" s="186"/>
      <c r="M22" s="186"/>
      <c r="N22" s="186"/>
      <c r="O22" s="187"/>
      <c r="P22" s="202"/>
      <c r="S22"/>
      <c r="T22"/>
      <c r="U22"/>
      <c r="V22"/>
      <c r="W22"/>
      <c r="X22"/>
      <c r="Y22"/>
      <c r="Z22"/>
      <c r="AA22" s="380" t="str">
        <f t="shared" si="0"/>
        <v>https://github.com/OSRvn/ID-Welder/blob/main/.pdf</v>
      </c>
    </row>
    <row r="23" spans="1:27" ht="15.75">
      <c r="A23" s="316"/>
      <c r="B23" s="317"/>
      <c r="C23" s="299"/>
      <c r="D23" s="198"/>
      <c r="E23" s="180"/>
      <c r="F23" s="188"/>
      <c r="G23" s="183"/>
      <c r="H23" s="201"/>
      <c r="I23" s="184"/>
      <c r="J23" s="183"/>
      <c r="K23" s="185"/>
      <c r="L23" s="186"/>
      <c r="M23" s="186"/>
      <c r="N23" s="186"/>
      <c r="O23" s="187"/>
      <c r="P23" s="202"/>
      <c r="S23"/>
      <c r="T23"/>
      <c r="U23"/>
      <c r="V23"/>
      <c r="W23"/>
      <c r="X23"/>
      <c r="Y23"/>
      <c r="Z23"/>
      <c r="AA23" s="380" t="str">
        <f t="shared" si="0"/>
        <v>https://github.com/OSRvn/ID-Welder/blob/main/.pdf</v>
      </c>
    </row>
    <row r="24" spans="1:27" ht="15.75">
      <c r="A24" s="316"/>
      <c r="B24" s="317"/>
      <c r="C24" s="299"/>
      <c r="D24" s="198"/>
      <c r="E24" s="327"/>
      <c r="F24" s="328"/>
      <c r="G24" s="183"/>
      <c r="H24" s="201"/>
      <c r="I24" s="184"/>
      <c r="J24" s="183"/>
      <c r="K24" s="185"/>
      <c r="L24" s="186"/>
      <c r="M24" s="186"/>
      <c r="N24" s="186"/>
      <c r="O24" s="187"/>
      <c r="P24" s="202"/>
      <c r="S24"/>
      <c r="T24"/>
      <c r="U24"/>
      <c r="V24"/>
      <c r="W24"/>
      <c r="X24"/>
      <c r="Y24"/>
      <c r="Z24"/>
      <c r="AA24" s="380" t="str">
        <f t="shared" si="0"/>
        <v>https://github.com/OSRvn/ID-Welder/blob/main/.pdf</v>
      </c>
    </row>
    <row r="25" spans="1:27" s="205" customFormat="1" ht="15.75">
      <c r="A25" s="316"/>
      <c r="B25" s="317"/>
      <c r="C25" s="299"/>
      <c r="D25" s="198"/>
      <c r="E25" s="180"/>
      <c r="F25" s="188"/>
      <c r="G25" s="183"/>
      <c r="H25" s="201"/>
      <c r="I25" s="184"/>
      <c r="J25" s="183"/>
      <c r="K25" s="185"/>
      <c r="L25" s="329"/>
      <c r="M25" s="186"/>
      <c r="N25" s="186"/>
      <c r="O25" s="187"/>
      <c r="P25" s="202"/>
      <c r="S25"/>
      <c r="T25"/>
      <c r="U25"/>
      <c r="V25"/>
      <c r="W25"/>
      <c r="X25"/>
      <c r="Y25"/>
      <c r="Z25"/>
      <c r="AA25" s="380" t="str">
        <f t="shared" si="0"/>
        <v>https://github.com/OSRvn/ID-Welder/blob/main/.pdf</v>
      </c>
    </row>
    <row r="26" spans="1:27" s="205" customFormat="1" ht="15.75">
      <c r="A26" s="316"/>
      <c r="B26" s="317"/>
      <c r="C26" s="299"/>
      <c r="D26" s="198"/>
      <c r="E26" s="180"/>
      <c r="F26" s="188"/>
      <c r="G26" s="183"/>
      <c r="H26" s="201"/>
      <c r="I26" s="184"/>
      <c r="J26" s="183"/>
      <c r="K26" s="185"/>
      <c r="L26" s="186"/>
      <c r="M26" s="186"/>
      <c r="N26" s="186"/>
      <c r="O26" s="187"/>
      <c r="P26" s="202"/>
      <c r="S26"/>
      <c r="T26"/>
      <c r="U26"/>
      <c r="V26"/>
      <c r="W26"/>
      <c r="X26"/>
      <c r="Y26"/>
      <c r="Z26"/>
      <c r="AA26" s="380" t="str">
        <f t="shared" si="0"/>
        <v>https://github.com/OSRvn/ID-Welder/blob/main/.pdf</v>
      </c>
    </row>
    <row r="27" spans="1:27" s="205" customFormat="1" ht="15.75">
      <c r="A27" s="316"/>
      <c r="B27" s="317"/>
      <c r="C27" s="299"/>
      <c r="D27" s="198"/>
      <c r="E27" s="327"/>
      <c r="F27" s="335"/>
      <c r="G27" s="183"/>
      <c r="H27" s="201"/>
      <c r="I27" s="184"/>
      <c r="J27" s="183"/>
      <c r="K27" s="185"/>
      <c r="L27" s="186"/>
      <c r="M27" s="186"/>
      <c r="N27" s="186"/>
      <c r="O27" s="187"/>
      <c r="P27" s="202"/>
      <c r="S27"/>
      <c r="T27"/>
      <c r="U27"/>
      <c r="V27"/>
      <c r="W27"/>
      <c r="X27"/>
      <c r="Y27"/>
      <c r="Z27"/>
      <c r="AA27" s="380" t="str">
        <f t="shared" si="0"/>
        <v>https://github.com/OSRvn/ID-Welder/blob/main/.pdf</v>
      </c>
    </row>
    <row r="28" spans="1:27" s="205" customFormat="1" ht="15.75">
      <c r="A28" s="316"/>
      <c r="B28" s="317"/>
      <c r="C28" s="299"/>
      <c r="D28" s="198"/>
      <c r="E28" s="327"/>
      <c r="F28" s="335"/>
      <c r="G28" s="183"/>
      <c r="H28" s="201"/>
      <c r="I28" s="184"/>
      <c r="J28" s="183"/>
      <c r="K28" s="185"/>
      <c r="L28" s="186"/>
      <c r="M28" s="186"/>
      <c r="N28" s="186"/>
      <c r="O28" s="187"/>
      <c r="P28" s="202"/>
      <c r="S28"/>
      <c r="T28"/>
      <c r="U28"/>
      <c r="V28"/>
      <c r="W28"/>
      <c r="X28"/>
      <c r="Y28"/>
      <c r="Z28"/>
      <c r="AA28" s="380" t="str">
        <f t="shared" si="0"/>
        <v>https://github.com/OSRvn/ID-Welder/blob/main/.pdf</v>
      </c>
    </row>
    <row r="29" spans="1:27" s="205" customFormat="1" ht="15.75">
      <c r="A29" s="316"/>
      <c r="B29" s="317"/>
      <c r="C29" s="299"/>
      <c r="D29" s="198"/>
      <c r="E29" s="327"/>
      <c r="F29" s="328"/>
      <c r="G29" s="183"/>
      <c r="H29" s="201"/>
      <c r="I29" s="184"/>
      <c r="J29" s="183"/>
      <c r="K29" s="185"/>
      <c r="L29" s="186"/>
      <c r="M29" s="186"/>
      <c r="N29" s="186"/>
      <c r="O29" s="187"/>
      <c r="P29" s="202"/>
      <c r="S29"/>
      <c r="T29"/>
      <c r="U29"/>
      <c r="V29"/>
      <c r="W29"/>
      <c r="X29"/>
      <c r="Y29"/>
      <c r="Z29"/>
      <c r="AA29" s="380" t="str">
        <f t="shared" si="0"/>
        <v>https://github.com/OSRvn/ID-Welder/blob/main/.pdf</v>
      </c>
    </row>
    <row r="30" spans="1:27" s="205" customFormat="1" ht="15.75">
      <c r="A30" s="316"/>
      <c r="B30" s="317"/>
      <c r="C30" s="299"/>
      <c r="D30" s="198"/>
      <c r="E30" s="327"/>
      <c r="F30" s="328"/>
      <c r="G30" s="183"/>
      <c r="H30" s="201"/>
      <c r="I30" s="184"/>
      <c r="J30" s="183"/>
      <c r="K30" s="185"/>
      <c r="L30" s="186"/>
      <c r="M30" s="186"/>
      <c r="N30" s="186"/>
      <c r="O30" s="187"/>
      <c r="P30" s="202"/>
      <c r="S30"/>
      <c r="T30"/>
      <c r="U30"/>
      <c r="V30"/>
      <c r="W30"/>
      <c r="X30"/>
      <c r="Y30"/>
      <c r="Z30"/>
      <c r="AA30" s="380" t="str">
        <f t="shared" si="0"/>
        <v>https://github.com/OSRvn/ID-Welder/blob/main/.pdf</v>
      </c>
    </row>
    <row r="31" spans="1:27" s="205" customFormat="1" ht="15.75">
      <c r="A31" s="316"/>
      <c r="B31" s="317"/>
      <c r="C31" s="299"/>
      <c r="D31" s="198"/>
      <c r="E31" s="327"/>
      <c r="F31" s="328"/>
      <c r="G31" s="183"/>
      <c r="H31" s="201"/>
      <c r="I31" s="184"/>
      <c r="J31" s="183"/>
      <c r="K31" s="185"/>
      <c r="L31" s="186"/>
      <c r="M31" s="186"/>
      <c r="N31" s="186"/>
      <c r="O31" s="187"/>
      <c r="P31" s="202"/>
      <c r="S31"/>
      <c r="T31"/>
      <c r="U31"/>
      <c r="V31"/>
      <c r="W31"/>
      <c r="X31"/>
      <c r="Y31"/>
      <c r="Z31"/>
      <c r="AA31" s="380" t="str">
        <f t="shared" si="0"/>
        <v>https://github.com/OSRvn/ID-Welder/blob/main/.pdf</v>
      </c>
    </row>
    <row r="32" spans="1:27" s="205" customFormat="1" ht="15.75">
      <c r="A32" s="316"/>
      <c r="B32" s="197"/>
      <c r="C32" s="299"/>
      <c r="D32" s="198"/>
      <c r="E32" s="180"/>
      <c r="F32" s="188"/>
      <c r="G32" s="183"/>
      <c r="H32" s="183"/>
      <c r="I32" s="184"/>
      <c r="J32" s="183"/>
      <c r="K32" s="185"/>
      <c r="L32" s="186"/>
      <c r="M32" s="186"/>
      <c r="N32" s="186"/>
      <c r="O32" s="187"/>
      <c r="P32" s="202"/>
      <c r="S32"/>
      <c r="T32"/>
      <c r="U32"/>
      <c r="V32"/>
      <c r="W32"/>
      <c r="X32"/>
      <c r="Y32"/>
      <c r="Z32"/>
      <c r="AA32" s="380" t="str">
        <f t="shared" si="0"/>
        <v>https://github.com/OSRvn/ID-Welder/blob/main/.pdf</v>
      </c>
    </row>
    <row r="33" spans="1:27" s="205" customFormat="1" ht="15.75">
      <c r="A33" s="316"/>
      <c r="B33" s="197"/>
      <c r="C33" s="299"/>
      <c r="D33" s="198"/>
      <c r="E33" s="180"/>
      <c r="F33" s="188"/>
      <c r="G33" s="183"/>
      <c r="H33" s="183"/>
      <c r="I33" s="184"/>
      <c r="J33" s="183"/>
      <c r="K33" s="185"/>
      <c r="L33" s="186"/>
      <c r="M33" s="186"/>
      <c r="N33" s="186"/>
      <c r="O33" s="187"/>
      <c r="P33" s="202"/>
      <c r="S33"/>
      <c r="T33"/>
      <c r="U33"/>
      <c r="V33"/>
      <c r="W33"/>
      <c r="X33"/>
      <c r="Y33"/>
      <c r="Z33"/>
      <c r="AA33" s="380" t="str">
        <f t="shared" si="0"/>
        <v>https://github.com/OSRvn/ID-Welder/blob/main/.pdf</v>
      </c>
    </row>
    <row r="34" spans="1:27" s="205" customFormat="1" ht="15.75">
      <c r="A34" s="316"/>
      <c r="B34" s="197"/>
      <c r="C34" s="299"/>
      <c r="D34" s="198"/>
      <c r="E34" s="180"/>
      <c r="F34" s="188"/>
      <c r="G34" s="183"/>
      <c r="H34" s="183"/>
      <c r="I34" s="184"/>
      <c r="J34" s="183"/>
      <c r="K34" s="185"/>
      <c r="L34" s="186"/>
      <c r="M34" s="186"/>
      <c r="N34" s="186"/>
      <c r="O34" s="187"/>
      <c r="P34" s="202"/>
      <c r="S34"/>
      <c r="T34"/>
      <c r="U34"/>
      <c r="V34"/>
      <c r="W34"/>
      <c r="X34"/>
      <c r="Y34"/>
      <c r="Z34"/>
      <c r="AA34" s="380" t="str">
        <f t="shared" si="0"/>
        <v>https://github.com/OSRvn/ID-Welder/blob/main/.pdf</v>
      </c>
    </row>
    <row r="35" spans="1:27" s="205" customFormat="1" ht="15.75">
      <c r="A35" s="316"/>
      <c r="B35" s="197"/>
      <c r="C35" s="299"/>
      <c r="D35" s="198"/>
      <c r="E35" s="180"/>
      <c r="F35" s="188"/>
      <c r="G35" s="183"/>
      <c r="H35" s="183"/>
      <c r="I35" s="184"/>
      <c r="J35" s="183"/>
      <c r="K35" s="185"/>
      <c r="L35" s="186"/>
      <c r="M35" s="186"/>
      <c r="N35" s="186"/>
      <c r="O35" s="187"/>
      <c r="P35" s="202"/>
      <c r="S35"/>
      <c r="T35"/>
      <c r="U35"/>
      <c r="V35"/>
      <c r="W35"/>
      <c r="X35"/>
      <c r="Y35"/>
      <c r="Z35"/>
      <c r="AA35" s="380" t="str">
        <f t="shared" si="0"/>
        <v>https://github.com/OSRvn/ID-Welder/blob/main/.pdf</v>
      </c>
    </row>
    <row r="36" spans="1:27" s="205" customFormat="1" ht="15.75">
      <c r="A36" s="316"/>
      <c r="B36" s="197"/>
      <c r="C36" s="299"/>
      <c r="D36" s="198"/>
      <c r="E36" s="180"/>
      <c r="F36" s="188"/>
      <c r="G36" s="183"/>
      <c r="H36" s="183"/>
      <c r="I36" s="184"/>
      <c r="J36" s="183"/>
      <c r="K36" s="185"/>
      <c r="L36" s="186"/>
      <c r="M36" s="186"/>
      <c r="N36" s="186"/>
      <c r="O36" s="187"/>
      <c r="P36" s="202"/>
      <c r="S36"/>
      <c r="T36"/>
      <c r="U36"/>
      <c r="V36"/>
      <c r="W36"/>
      <c r="X36"/>
      <c r="Y36"/>
      <c r="Z36"/>
      <c r="AA36" s="380" t="str">
        <f t="shared" si="0"/>
        <v>https://github.com/OSRvn/ID-Welder/blob/main/.pdf</v>
      </c>
    </row>
    <row r="37" spans="1:27" s="205" customFormat="1" ht="15.75">
      <c r="A37" s="316"/>
      <c r="B37" s="197"/>
      <c r="C37" s="299"/>
      <c r="D37" s="198"/>
      <c r="E37" s="180"/>
      <c r="F37" s="188"/>
      <c r="G37" s="183"/>
      <c r="H37" s="183"/>
      <c r="I37" s="184"/>
      <c r="J37" s="183"/>
      <c r="K37" s="185"/>
      <c r="L37" s="186"/>
      <c r="M37" s="186"/>
      <c r="N37" s="186"/>
      <c r="O37" s="187"/>
      <c r="P37" s="202"/>
      <c r="S37"/>
      <c r="T37"/>
      <c r="U37"/>
      <c r="V37"/>
      <c r="W37"/>
      <c r="X37"/>
      <c r="Y37"/>
      <c r="Z37"/>
      <c r="AA37" s="380" t="str">
        <f t="shared" si="0"/>
        <v>https://github.com/OSRvn/ID-Welder/blob/main/.pdf</v>
      </c>
    </row>
    <row r="38" spans="1:27" s="205" customFormat="1" ht="15.75">
      <c r="A38" s="316"/>
      <c r="B38" s="197"/>
      <c r="C38" s="299"/>
      <c r="D38" s="198"/>
      <c r="E38" s="180"/>
      <c r="F38" s="188"/>
      <c r="G38" s="183"/>
      <c r="H38" s="183"/>
      <c r="I38" s="184"/>
      <c r="J38" s="183"/>
      <c r="K38" s="185"/>
      <c r="L38" s="186"/>
      <c r="M38" s="186"/>
      <c r="N38" s="186"/>
      <c r="O38" s="187"/>
      <c r="P38" s="202"/>
      <c r="S38"/>
      <c r="T38"/>
      <c r="U38"/>
      <c r="V38"/>
      <c r="W38"/>
      <c r="X38"/>
      <c r="Y38"/>
      <c r="Z38"/>
      <c r="AA38" s="380" t="str">
        <f t="shared" si="0"/>
        <v>https://github.com/OSRvn/ID-Welder/blob/main/.pdf</v>
      </c>
    </row>
    <row r="39" spans="1:27" ht="15.75">
      <c r="A39" s="316"/>
      <c r="C39" s="299"/>
      <c r="D39" s="198"/>
      <c r="E39" s="180"/>
      <c r="F39" s="188"/>
      <c r="G39" s="183"/>
      <c r="H39" s="183"/>
      <c r="I39" s="184"/>
      <c r="J39" s="183"/>
      <c r="K39" s="185"/>
      <c r="L39" s="186"/>
      <c r="M39" s="186"/>
      <c r="N39" s="186"/>
      <c r="O39" s="187"/>
      <c r="P39" s="202"/>
      <c r="S39"/>
      <c r="T39"/>
      <c r="U39"/>
      <c r="V39"/>
      <c r="W39"/>
      <c r="X39"/>
      <c r="Y39"/>
      <c r="Z39"/>
      <c r="AA39" s="380" t="str">
        <f t="shared" si="0"/>
        <v>https://github.com/OSRvn/ID-Welder/blob/main/.pdf</v>
      </c>
    </row>
    <row r="40" spans="1:27" s="205" customFormat="1" ht="15.75">
      <c r="A40" s="316"/>
      <c r="B40" s="317"/>
      <c r="C40" s="318"/>
      <c r="D40" s="198"/>
      <c r="E40" s="180"/>
      <c r="F40" s="188"/>
      <c r="G40" s="183"/>
      <c r="H40" s="183"/>
      <c r="I40" s="184"/>
      <c r="J40" s="183"/>
      <c r="K40" s="185"/>
      <c r="L40" s="186"/>
      <c r="M40" s="186"/>
      <c r="N40" s="186"/>
      <c r="O40" s="187"/>
      <c r="P40" s="202"/>
      <c r="S40"/>
      <c r="T40"/>
      <c r="U40"/>
      <c r="V40"/>
      <c r="W40"/>
      <c r="X40"/>
      <c r="Y40"/>
      <c r="Z40"/>
      <c r="AA40" s="380" t="str">
        <f t="shared" si="0"/>
        <v>https://github.com/OSRvn/ID-Welder/blob/main/.pdf</v>
      </c>
    </row>
    <row r="41" spans="1:27" s="205" customFormat="1" ht="15.75">
      <c r="A41" s="316"/>
      <c r="B41" s="317"/>
      <c r="C41" s="299"/>
      <c r="D41" s="198"/>
      <c r="E41" s="180"/>
      <c r="F41" s="188"/>
      <c r="G41" s="183"/>
      <c r="H41" s="201"/>
      <c r="I41" s="184"/>
      <c r="J41" s="183"/>
      <c r="K41" s="185"/>
      <c r="L41" s="186"/>
      <c r="M41" s="186"/>
      <c r="N41" s="186"/>
      <c r="O41" s="187"/>
      <c r="P41" s="202"/>
      <c r="S41"/>
      <c r="T41"/>
      <c r="U41"/>
      <c r="V41"/>
      <c r="W41"/>
      <c r="X41"/>
      <c r="Y41"/>
      <c r="Z41"/>
      <c r="AA41" s="380" t="str">
        <f t="shared" si="0"/>
        <v>https://github.com/OSRvn/ID-Welder/blob/main/.pdf</v>
      </c>
    </row>
    <row r="42" spans="1:27" s="205" customFormat="1" ht="15.75">
      <c r="A42" s="316"/>
      <c r="B42" s="317"/>
      <c r="C42" s="299"/>
      <c r="D42" s="198"/>
      <c r="E42" s="330"/>
      <c r="F42" s="328"/>
      <c r="G42" s="183"/>
      <c r="H42" s="201"/>
      <c r="I42" s="184"/>
      <c r="J42" s="183"/>
      <c r="K42" s="185"/>
      <c r="L42" s="186"/>
      <c r="M42" s="186"/>
      <c r="N42" s="186"/>
      <c r="O42" s="187"/>
      <c r="P42" s="202"/>
      <c r="S42"/>
      <c r="T42"/>
      <c r="U42"/>
      <c r="V42"/>
      <c r="W42"/>
      <c r="X42"/>
      <c r="Y42"/>
      <c r="Z42"/>
      <c r="AA42" s="380" t="str">
        <f t="shared" si="0"/>
        <v>https://github.com/OSRvn/ID-Welder/blob/main/.pdf</v>
      </c>
    </row>
    <row r="43" spans="1:27" s="205" customFormat="1" ht="15.75">
      <c r="A43" s="316"/>
      <c r="B43" s="317"/>
      <c r="C43" s="299"/>
      <c r="D43" s="198"/>
      <c r="E43" s="180"/>
      <c r="F43" s="179"/>
      <c r="G43" s="183"/>
      <c r="H43" s="201"/>
      <c r="I43" s="184"/>
      <c r="J43" s="183"/>
      <c r="K43" s="185"/>
      <c r="L43" s="186"/>
      <c r="M43" s="186"/>
      <c r="N43" s="186"/>
      <c r="O43" s="187"/>
      <c r="P43" s="202"/>
      <c r="S43"/>
      <c r="T43"/>
      <c r="U43"/>
      <c r="V43"/>
      <c r="W43"/>
      <c r="X43"/>
      <c r="Y43"/>
      <c r="Z43"/>
      <c r="AA43" s="380" t="str">
        <f t="shared" si="0"/>
        <v>https://github.com/OSRvn/ID-Welder/blob/main/.pdf</v>
      </c>
    </row>
    <row r="44" spans="1:27" s="205" customFormat="1" ht="15.75">
      <c r="A44" s="316"/>
      <c r="B44" s="197"/>
      <c r="C44" s="197"/>
      <c r="D44" s="198"/>
      <c r="E44" s="200"/>
      <c r="F44" s="199"/>
      <c r="G44" s="183"/>
      <c r="H44" s="183"/>
      <c r="I44" s="331"/>
      <c r="J44" s="183"/>
      <c r="K44" s="185"/>
      <c r="L44" s="332"/>
      <c r="M44" s="332"/>
      <c r="N44" s="186"/>
      <c r="O44" s="187"/>
      <c r="P44" s="202"/>
      <c r="S44"/>
      <c r="T44"/>
      <c r="U44"/>
      <c r="V44"/>
      <c r="W44"/>
      <c r="X44"/>
      <c r="Y44"/>
      <c r="Z44"/>
      <c r="AA44" s="380" t="str">
        <f t="shared" si="0"/>
        <v>https://github.com/OSRvn/ID-Welder/blob/main/.pdf</v>
      </c>
    </row>
    <row r="45" spans="1:27" s="205" customFormat="1" ht="15.75">
      <c r="A45" s="316"/>
      <c r="B45" s="317"/>
      <c r="C45" s="317"/>
      <c r="D45" s="198"/>
      <c r="E45" s="180"/>
      <c r="F45" s="188"/>
      <c r="G45" s="183"/>
      <c r="H45" s="183"/>
      <c r="I45" s="184"/>
      <c r="J45" s="183"/>
      <c r="K45" s="185"/>
      <c r="L45" s="186"/>
      <c r="M45" s="186"/>
      <c r="N45" s="186"/>
      <c r="O45" s="187"/>
      <c r="P45" s="202"/>
      <c r="S45"/>
      <c r="T45"/>
      <c r="U45"/>
      <c r="V45"/>
      <c r="W45"/>
      <c r="X45"/>
      <c r="Y45"/>
      <c r="Z45"/>
      <c r="AA45" s="380" t="str">
        <f t="shared" si="0"/>
        <v>https://github.com/OSRvn/ID-Welder/blob/main/.pdf</v>
      </c>
    </row>
    <row r="46" spans="1:27" s="205" customFormat="1" ht="15.75">
      <c r="A46" s="316"/>
      <c r="B46" s="197"/>
      <c r="C46" s="299"/>
      <c r="D46" s="198"/>
      <c r="E46" s="180"/>
      <c r="F46" s="179"/>
      <c r="G46" s="183"/>
      <c r="H46" s="183"/>
      <c r="I46" s="184"/>
      <c r="J46" s="183"/>
      <c r="K46" s="185"/>
      <c r="L46" s="186"/>
      <c r="M46" s="186"/>
      <c r="N46" s="186"/>
      <c r="O46" s="187"/>
      <c r="P46" s="202"/>
      <c r="S46"/>
      <c r="T46"/>
      <c r="U46"/>
      <c r="V46"/>
      <c r="W46"/>
      <c r="X46"/>
      <c r="Y46"/>
      <c r="Z46"/>
      <c r="AA46" s="380" t="str">
        <f t="shared" si="0"/>
        <v>https://github.com/OSRvn/ID-Welder/blob/main/.pdf</v>
      </c>
    </row>
    <row r="47" spans="1:27" s="205" customFormat="1" ht="15.75">
      <c r="A47" s="316"/>
      <c r="B47" s="197"/>
      <c r="C47" s="299"/>
      <c r="D47" s="198"/>
      <c r="E47" s="180"/>
      <c r="F47" s="179"/>
      <c r="G47" s="183"/>
      <c r="H47" s="183"/>
      <c r="I47" s="184"/>
      <c r="J47" s="183"/>
      <c r="K47" s="185"/>
      <c r="L47" s="186"/>
      <c r="M47" s="186"/>
      <c r="N47" s="186"/>
      <c r="O47" s="187"/>
      <c r="P47" s="202"/>
      <c r="S47"/>
      <c r="T47"/>
      <c r="U47"/>
      <c r="V47"/>
      <c r="W47"/>
      <c r="X47"/>
      <c r="Y47"/>
      <c r="Z47"/>
      <c r="AA47" s="380" t="str">
        <f t="shared" si="0"/>
        <v>https://github.com/OSRvn/ID-Welder/blob/main/.pdf</v>
      </c>
    </row>
    <row r="48" spans="1:27" s="205" customFormat="1" ht="15.75">
      <c r="A48" s="316"/>
      <c r="B48" s="197"/>
      <c r="C48" s="299"/>
      <c r="D48" s="198"/>
      <c r="E48" s="180"/>
      <c r="F48" s="179"/>
      <c r="G48" s="183"/>
      <c r="H48" s="183"/>
      <c r="I48" s="184"/>
      <c r="J48" s="183"/>
      <c r="K48" s="185"/>
      <c r="L48" s="186"/>
      <c r="M48" s="186"/>
      <c r="N48" s="186"/>
      <c r="O48" s="187"/>
      <c r="P48" s="202"/>
      <c r="S48"/>
      <c r="T48"/>
      <c r="U48"/>
      <c r="V48"/>
      <c r="W48"/>
      <c r="X48"/>
      <c r="Y48"/>
      <c r="Z48"/>
      <c r="AA48" s="380" t="str">
        <f t="shared" si="0"/>
        <v>https://github.com/OSRvn/ID-Welder/blob/main/.pdf</v>
      </c>
    </row>
    <row r="49" spans="1:27" s="205" customFormat="1" ht="15.75">
      <c r="A49" s="316"/>
      <c r="B49" s="197"/>
      <c r="C49" s="299"/>
      <c r="D49" s="198"/>
      <c r="E49" s="180"/>
      <c r="F49" s="179"/>
      <c r="G49" s="183"/>
      <c r="H49" s="183"/>
      <c r="I49" s="184"/>
      <c r="J49" s="183"/>
      <c r="K49" s="185"/>
      <c r="L49" s="186"/>
      <c r="M49" s="186"/>
      <c r="N49" s="186"/>
      <c r="O49" s="187"/>
      <c r="P49" s="202"/>
      <c r="S49"/>
      <c r="T49"/>
      <c r="U49"/>
      <c r="V49"/>
      <c r="W49"/>
      <c r="X49"/>
      <c r="Y49"/>
      <c r="Z49"/>
      <c r="AA49" s="380" t="str">
        <f t="shared" si="0"/>
        <v>https://github.com/OSRvn/ID-Welder/blob/main/.pdf</v>
      </c>
    </row>
    <row r="50" spans="1:27" s="205" customFormat="1" ht="15.75">
      <c r="A50" s="316"/>
      <c r="B50" s="317"/>
      <c r="C50" s="318"/>
      <c r="D50" s="198"/>
      <c r="E50" s="180"/>
      <c r="F50" s="188"/>
      <c r="G50" s="183"/>
      <c r="H50" s="183"/>
      <c r="I50" s="184"/>
      <c r="J50" s="183"/>
      <c r="K50" s="185"/>
      <c r="L50" s="186"/>
      <c r="M50" s="186"/>
      <c r="N50" s="186"/>
      <c r="O50" s="187"/>
      <c r="P50" s="202"/>
      <c r="S50"/>
      <c r="T50"/>
      <c r="U50"/>
      <c r="V50"/>
      <c r="W50"/>
      <c r="X50"/>
      <c r="Y50"/>
      <c r="Z50"/>
      <c r="AA50" s="380" t="str">
        <f t="shared" si="0"/>
        <v>https://github.com/OSRvn/ID-Welder/blob/main/.pdf</v>
      </c>
    </row>
    <row r="51" spans="1:27" s="205" customFormat="1" ht="15.75">
      <c r="A51" s="316"/>
      <c r="B51" s="317"/>
      <c r="C51" s="299"/>
      <c r="D51" s="198"/>
      <c r="E51" s="330"/>
      <c r="F51" s="328"/>
      <c r="G51" s="183"/>
      <c r="H51" s="201"/>
      <c r="I51" s="184"/>
      <c r="J51" s="183"/>
      <c r="K51" s="185"/>
      <c r="L51" s="186"/>
      <c r="M51" s="186"/>
      <c r="N51" s="186"/>
      <c r="O51" s="187"/>
      <c r="P51" s="202"/>
      <c r="S51"/>
      <c r="T51"/>
      <c r="U51"/>
      <c r="V51"/>
      <c r="W51"/>
      <c r="X51"/>
      <c r="Y51"/>
      <c r="Z51"/>
      <c r="AA51" s="380" t="str">
        <f t="shared" si="0"/>
        <v>https://github.com/OSRvn/ID-Welder/blob/main/.pdf</v>
      </c>
    </row>
    <row r="52" spans="1:27" s="205" customFormat="1" ht="15.75">
      <c r="A52" s="316"/>
      <c r="B52" s="317"/>
      <c r="C52" s="299"/>
      <c r="D52" s="198"/>
      <c r="E52" s="330"/>
      <c r="F52" s="328"/>
      <c r="G52" s="183"/>
      <c r="H52" s="201"/>
      <c r="I52" s="184"/>
      <c r="J52" s="183"/>
      <c r="K52" s="185"/>
      <c r="L52" s="186"/>
      <c r="M52" s="186"/>
      <c r="N52" s="186"/>
      <c r="O52" s="187"/>
      <c r="P52" s="202"/>
      <c r="S52"/>
      <c r="T52"/>
      <c r="U52"/>
      <c r="V52"/>
      <c r="W52"/>
      <c r="X52"/>
      <c r="Y52"/>
      <c r="Z52"/>
      <c r="AA52" s="380" t="str">
        <f t="shared" si="0"/>
        <v>https://github.com/OSRvn/ID-Welder/blob/main/.pdf</v>
      </c>
    </row>
    <row r="53" spans="1:27" ht="15.75">
      <c r="A53" s="316"/>
      <c r="B53" s="317"/>
      <c r="C53" s="299"/>
      <c r="D53" s="198"/>
      <c r="E53" s="330"/>
      <c r="F53" s="328"/>
      <c r="G53" s="183"/>
      <c r="H53" s="201"/>
      <c r="I53" s="184"/>
      <c r="J53" s="183"/>
      <c r="K53" s="185"/>
      <c r="L53" s="186"/>
      <c r="M53" s="186"/>
      <c r="N53" s="186"/>
      <c r="O53" s="187"/>
      <c r="P53" s="202"/>
      <c r="S53"/>
      <c r="T53"/>
      <c r="U53"/>
      <c r="V53"/>
      <c r="W53"/>
      <c r="X53"/>
      <c r="Y53"/>
      <c r="Z53"/>
      <c r="AA53" s="380" t="str">
        <f t="shared" si="0"/>
        <v>https://github.com/OSRvn/ID-Welder/blob/main/.pdf</v>
      </c>
    </row>
    <row r="54" spans="1:27" ht="15.75">
      <c r="A54" s="316"/>
      <c r="B54" s="317"/>
      <c r="C54" s="299"/>
      <c r="D54" s="198"/>
      <c r="E54" s="330"/>
      <c r="F54" s="328"/>
      <c r="G54" s="183"/>
      <c r="H54" s="201"/>
      <c r="I54" s="184"/>
      <c r="J54" s="183"/>
      <c r="K54" s="185"/>
      <c r="L54" s="186"/>
      <c r="M54" s="186"/>
      <c r="N54" s="186"/>
      <c r="O54" s="187"/>
      <c r="P54" s="202"/>
      <c r="S54"/>
      <c r="T54"/>
      <c r="U54"/>
      <c r="V54"/>
      <c r="W54"/>
      <c r="X54"/>
      <c r="Y54"/>
      <c r="Z54"/>
      <c r="AA54" s="380" t="str">
        <f t="shared" si="0"/>
        <v>https://github.com/OSRvn/ID-Welder/blob/main/.pdf</v>
      </c>
    </row>
    <row r="55" spans="1:27" ht="15.75">
      <c r="A55" s="316"/>
      <c r="C55" s="299"/>
      <c r="D55" s="198"/>
      <c r="E55" s="180"/>
      <c r="F55" s="188"/>
      <c r="G55" s="183"/>
      <c r="H55" s="183"/>
      <c r="I55" s="184"/>
      <c r="J55" s="183"/>
      <c r="K55" s="185"/>
      <c r="L55" s="186"/>
      <c r="M55" s="186"/>
      <c r="N55" s="186"/>
      <c r="O55" s="187"/>
      <c r="P55" s="202"/>
      <c r="S55"/>
      <c r="T55"/>
      <c r="U55"/>
      <c r="V55"/>
      <c r="W55"/>
      <c r="X55"/>
      <c r="Y55"/>
      <c r="Z55"/>
      <c r="AA55" s="380" t="str">
        <f t="shared" si="0"/>
        <v>https://github.com/OSRvn/ID-Welder/blob/main/.pdf</v>
      </c>
    </row>
    <row r="56" spans="1:27" s="205" customFormat="1" ht="15.75">
      <c r="A56" s="316"/>
      <c r="B56" s="197"/>
      <c r="C56" s="299"/>
      <c r="D56" s="198"/>
      <c r="E56" s="180"/>
      <c r="F56" s="188"/>
      <c r="G56" s="183"/>
      <c r="H56" s="183"/>
      <c r="I56" s="184"/>
      <c r="J56" s="183"/>
      <c r="K56" s="185"/>
      <c r="L56" s="186"/>
      <c r="M56" s="186"/>
      <c r="N56" s="186"/>
      <c r="O56" s="187"/>
      <c r="P56" s="202"/>
      <c r="S56"/>
      <c r="T56"/>
      <c r="U56"/>
      <c r="V56"/>
      <c r="W56"/>
      <c r="X56"/>
      <c r="Y56"/>
      <c r="Z56"/>
      <c r="AA56" s="380" t="str">
        <f t="shared" si="0"/>
        <v>https://github.com/OSRvn/ID-Welder/blob/main/.pdf</v>
      </c>
    </row>
    <row r="57" spans="1:27" s="205" customFormat="1" ht="15.75">
      <c r="A57" s="316"/>
      <c r="B57" s="197"/>
      <c r="C57" s="299"/>
      <c r="D57" s="198"/>
      <c r="E57" s="180"/>
      <c r="F57" s="188"/>
      <c r="G57" s="183"/>
      <c r="H57" s="183"/>
      <c r="I57" s="184"/>
      <c r="J57" s="183"/>
      <c r="K57" s="185"/>
      <c r="L57" s="186"/>
      <c r="M57" s="186"/>
      <c r="N57" s="186"/>
      <c r="O57" s="187"/>
      <c r="P57" s="202"/>
      <c r="S57"/>
      <c r="T57"/>
      <c r="U57"/>
      <c r="V57"/>
      <c r="W57"/>
      <c r="X57"/>
      <c r="Y57"/>
      <c r="Z57"/>
      <c r="AA57" s="380" t="str">
        <f t="shared" si="0"/>
        <v>https://github.com/OSRvn/ID-Welder/blob/main/.pdf</v>
      </c>
    </row>
    <row r="58" spans="1:27" s="205" customFormat="1" ht="15.75">
      <c r="A58" s="316"/>
      <c r="B58" s="197"/>
      <c r="C58" s="299"/>
      <c r="D58" s="198"/>
      <c r="E58" s="180"/>
      <c r="F58" s="188"/>
      <c r="G58" s="183"/>
      <c r="H58" s="183"/>
      <c r="I58" s="184"/>
      <c r="J58" s="183"/>
      <c r="K58" s="185"/>
      <c r="L58" s="186"/>
      <c r="M58" s="186"/>
      <c r="N58" s="186"/>
      <c r="O58" s="187"/>
      <c r="P58" s="202"/>
      <c r="S58"/>
      <c r="T58"/>
      <c r="U58"/>
      <c r="V58"/>
      <c r="W58"/>
      <c r="X58"/>
      <c r="Y58"/>
      <c r="Z58"/>
      <c r="AA58" s="380" t="str">
        <f t="shared" si="0"/>
        <v>https://github.com/OSRvn/ID-Welder/blob/main/.pdf</v>
      </c>
    </row>
    <row r="59" spans="1:27" s="205" customFormat="1" ht="15.75">
      <c r="A59" s="316"/>
      <c r="B59" s="197"/>
      <c r="C59" s="299"/>
      <c r="D59" s="198"/>
      <c r="E59" s="180"/>
      <c r="F59" s="188"/>
      <c r="G59" s="183"/>
      <c r="H59" s="183"/>
      <c r="I59" s="184"/>
      <c r="J59" s="183"/>
      <c r="K59" s="185"/>
      <c r="L59" s="186"/>
      <c r="M59" s="186"/>
      <c r="N59" s="186"/>
      <c r="O59" s="187"/>
      <c r="P59" s="202"/>
      <c r="S59"/>
      <c r="T59"/>
      <c r="U59"/>
      <c r="V59"/>
      <c r="W59"/>
      <c r="X59"/>
      <c r="Y59"/>
      <c r="Z59"/>
      <c r="AA59" s="380" t="str">
        <f t="shared" si="0"/>
        <v>https://github.com/OSRvn/ID-Welder/blob/main/.pdf</v>
      </c>
    </row>
    <row r="60" spans="1:27" s="205" customFormat="1" ht="15.75">
      <c r="A60" s="316"/>
      <c r="B60" s="197"/>
      <c r="C60" s="299"/>
      <c r="D60" s="198"/>
      <c r="E60" s="180"/>
      <c r="F60" s="188"/>
      <c r="G60" s="183"/>
      <c r="H60" s="183"/>
      <c r="I60" s="184"/>
      <c r="J60" s="183"/>
      <c r="K60" s="185"/>
      <c r="L60" s="186"/>
      <c r="M60" s="186"/>
      <c r="N60" s="186"/>
      <c r="O60" s="187"/>
      <c r="P60" s="202"/>
      <c r="S60"/>
      <c r="T60"/>
      <c r="U60"/>
      <c r="V60"/>
      <c r="W60"/>
      <c r="X60"/>
      <c r="Y60"/>
      <c r="Z60"/>
      <c r="AA60" s="380" t="str">
        <f t="shared" si="0"/>
        <v>https://github.com/OSRvn/ID-Welder/blob/main/.pdf</v>
      </c>
    </row>
    <row r="61" spans="1:27" s="205" customFormat="1" ht="15.75">
      <c r="A61" s="316"/>
      <c r="B61" s="197"/>
      <c r="C61" s="299"/>
      <c r="D61" s="198"/>
      <c r="E61" s="180"/>
      <c r="F61" s="188"/>
      <c r="G61" s="183"/>
      <c r="H61" s="183"/>
      <c r="I61" s="184"/>
      <c r="J61" s="183"/>
      <c r="K61" s="185"/>
      <c r="L61" s="186"/>
      <c r="M61" s="186"/>
      <c r="N61" s="186"/>
      <c r="O61" s="187"/>
      <c r="P61" s="202"/>
      <c r="S61"/>
      <c r="T61"/>
      <c r="U61"/>
      <c r="V61"/>
      <c r="W61"/>
      <c r="X61"/>
      <c r="Y61"/>
      <c r="Z61"/>
      <c r="AA61" s="380" t="str">
        <f t="shared" si="0"/>
        <v>https://github.com/OSRvn/ID-Welder/blob/main/.pdf</v>
      </c>
    </row>
    <row r="62" spans="1:27" s="205" customFormat="1" ht="15.75">
      <c r="A62" s="316"/>
      <c r="B62" s="197"/>
      <c r="C62" s="299"/>
      <c r="D62" s="198"/>
      <c r="E62" s="180"/>
      <c r="F62" s="188"/>
      <c r="G62" s="183"/>
      <c r="H62" s="183"/>
      <c r="I62" s="184"/>
      <c r="J62" s="183"/>
      <c r="K62" s="185"/>
      <c r="L62" s="186"/>
      <c r="M62" s="186"/>
      <c r="N62" s="186"/>
      <c r="O62" s="187"/>
      <c r="P62" s="202"/>
      <c r="S62"/>
      <c r="T62"/>
      <c r="U62"/>
      <c r="V62"/>
      <c r="W62"/>
      <c r="X62"/>
      <c r="Y62"/>
      <c r="Z62"/>
      <c r="AA62" s="380" t="str">
        <f t="shared" si="0"/>
        <v>https://github.com/OSRvn/ID-Welder/blob/main/.pdf</v>
      </c>
    </row>
    <row r="63" spans="1:27" s="205" customFormat="1" ht="15.75">
      <c r="A63" s="316"/>
      <c r="B63" s="197"/>
      <c r="C63" s="299"/>
      <c r="D63" s="198"/>
      <c r="E63" s="180"/>
      <c r="F63" s="188"/>
      <c r="G63" s="183"/>
      <c r="H63" s="183"/>
      <c r="I63" s="184"/>
      <c r="J63" s="183"/>
      <c r="K63" s="185"/>
      <c r="L63" s="186"/>
      <c r="M63" s="186"/>
      <c r="N63" s="186"/>
      <c r="O63" s="187"/>
      <c r="P63" s="202"/>
      <c r="S63"/>
      <c r="T63"/>
      <c r="U63"/>
      <c r="V63"/>
      <c r="W63"/>
      <c r="X63"/>
      <c r="Y63"/>
      <c r="Z63"/>
      <c r="AA63" s="380" t="str">
        <f t="shared" si="0"/>
        <v>https://github.com/OSRvn/ID-Welder/blob/main/.pdf</v>
      </c>
    </row>
    <row r="64" spans="1:27" ht="15.75">
      <c r="A64" s="316"/>
      <c r="C64" s="299"/>
      <c r="D64" s="198"/>
      <c r="E64" s="180"/>
      <c r="F64" s="188"/>
      <c r="G64" s="183"/>
      <c r="H64" s="201"/>
      <c r="I64" s="184"/>
      <c r="J64" s="183"/>
      <c r="K64" s="185"/>
      <c r="L64" s="186"/>
      <c r="M64" s="186"/>
      <c r="N64" s="186"/>
      <c r="O64" s="187"/>
      <c r="P64" s="202"/>
      <c r="S64"/>
      <c r="T64"/>
      <c r="U64"/>
      <c r="V64"/>
      <c r="W64"/>
      <c r="X64"/>
      <c r="Y64"/>
      <c r="Z64"/>
      <c r="AA64" s="380" t="str">
        <f t="shared" si="0"/>
        <v>https://github.com/OSRvn/ID-Welder/blob/main/.pdf</v>
      </c>
    </row>
    <row r="65" spans="1:27" ht="15.75">
      <c r="A65" s="316"/>
      <c r="C65" s="299"/>
      <c r="D65" s="198"/>
      <c r="E65" s="180"/>
      <c r="F65" s="188"/>
      <c r="G65" s="183"/>
      <c r="H65" s="201"/>
      <c r="I65" s="184"/>
      <c r="J65" s="183"/>
      <c r="K65" s="185"/>
      <c r="L65" s="186"/>
      <c r="M65" s="186"/>
      <c r="N65" s="186"/>
      <c r="O65" s="187"/>
      <c r="P65" s="202"/>
      <c r="S65"/>
      <c r="T65"/>
      <c r="U65"/>
      <c r="V65"/>
      <c r="W65"/>
      <c r="X65"/>
      <c r="Y65"/>
      <c r="Z65"/>
      <c r="AA65" s="380" t="str">
        <f t="shared" si="0"/>
        <v>https://github.com/OSRvn/ID-Welder/blob/main/.pdf</v>
      </c>
    </row>
    <row r="66" spans="1:27" s="333" customFormat="1" ht="15.75">
      <c r="A66" s="316"/>
      <c r="B66" s="197"/>
      <c r="C66" s="299"/>
      <c r="D66" s="198"/>
      <c r="E66" s="180"/>
      <c r="F66" s="188"/>
      <c r="G66" s="183"/>
      <c r="H66" s="201"/>
      <c r="I66" s="184"/>
      <c r="J66" s="183"/>
      <c r="K66" s="185"/>
      <c r="L66" s="186"/>
      <c r="M66" s="186"/>
      <c r="N66" s="186"/>
      <c r="O66" s="187"/>
      <c r="P66" s="202"/>
      <c r="S66"/>
      <c r="T66"/>
      <c r="U66"/>
      <c r="V66"/>
      <c r="W66"/>
      <c r="X66"/>
      <c r="Y66"/>
      <c r="Z66"/>
      <c r="AA66" s="380" t="str">
        <f t="shared" si="0"/>
        <v>https://github.com/OSRvn/ID-Welder/blob/main/.pdf</v>
      </c>
    </row>
    <row r="67" spans="1:27" ht="15.75">
      <c r="A67" s="316"/>
      <c r="C67" s="299"/>
      <c r="D67" s="198"/>
      <c r="E67" s="180"/>
      <c r="F67" s="188"/>
      <c r="G67" s="183"/>
      <c r="H67" s="201"/>
      <c r="I67" s="184"/>
      <c r="J67" s="183"/>
      <c r="K67" s="185"/>
      <c r="L67" s="186"/>
      <c r="M67" s="186"/>
      <c r="N67" s="186"/>
      <c r="O67" s="187"/>
      <c r="P67" s="202"/>
      <c r="S67"/>
      <c r="T67"/>
      <c r="U67"/>
      <c r="V67"/>
      <c r="W67"/>
      <c r="X67"/>
      <c r="Y67"/>
      <c r="Z67"/>
      <c r="AA67" s="380" t="str">
        <f t="shared" si="0"/>
        <v>https://github.com/OSRvn/ID-Welder/blob/main/.pdf</v>
      </c>
    </row>
    <row r="68" spans="1:27" ht="15.75">
      <c r="A68" s="316"/>
      <c r="C68" s="299"/>
      <c r="D68" s="198"/>
      <c r="E68" s="180"/>
      <c r="F68" s="188"/>
      <c r="G68" s="183"/>
      <c r="H68" s="201"/>
      <c r="I68" s="184"/>
      <c r="J68" s="183"/>
      <c r="K68" s="185"/>
      <c r="L68" s="186"/>
      <c r="M68" s="186"/>
      <c r="N68" s="186"/>
      <c r="O68" s="187"/>
      <c r="P68" s="202"/>
      <c r="S68"/>
      <c r="T68"/>
      <c r="U68"/>
      <c r="V68"/>
      <c r="W68"/>
      <c r="X68"/>
      <c r="Y68"/>
      <c r="Z68"/>
      <c r="AA68" s="380" t="str">
        <f t="shared" si="0"/>
        <v>https://github.com/OSRvn/ID-Welder/blob/main/.pdf</v>
      </c>
    </row>
    <row r="69" spans="1:27" s="205" customFormat="1" ht="15.75">
      <c r="A69" s="316"/>
      <c r="B69" s="197"/>
      <c r="C69" s="299"/>
      <c r="D69" s="198"/>
      <c r="E69" s="180"/>
      <c r="F69" s="188"/>
      <c r="G69" s="183"/>
      <c r="H69" s="201"/>
      <c r="I69" s="184"/>
      <c r="J69" s="183"/>
      <c r="K69" s="185"/>
      <c r="L69" s="186"/>
      <c r="M69" s="186"/>
      <c r="N69" s="186"/>
      <c r="O69" s="187"/>
      <c r="P69" s="202"/>
      <c r="S69"/>
      <c r="T69"/>
      <c r="U69"/>
      <c r="V69"/>
      <c r="W69"/>
      <c r="X69"/>
      <c r="Y69"/>
      <c r="Z69"/>
      <c r="AA69" s="380" t="str">
        <f t="shared" si="0"/>
        <v>https://github.com/OSRvn/ID-Welder/blob/main/.pdf</v>
      </c>
    </row>
    <row r="70" spans="1:27" ht="15.75">
      <c r="A70" s="316"/>
      <c r="C70" s="299"/>
      <c r="D70" s="198"/>
      <c r="E70" s="180"/>
      <c r="F70" s="188"/>
      <c r="G70" s="183"/>
      <c r="H70" s="201"/>
      <c r="I70" s="184"/>
      <c r="J70" s="183"/>
      <c r="K70" s="185"/>
      <c r="L70" s="186"/>
      <c r="M70" s="186"/>
      <c r="N70" s="186"/>
      <c r="O70" s="187"/>
      <c r="P70" s="202"/>
      <c r="S70"/>
      <c r="T70"/>
      <c r="U70"/>
      <c r="V70"/>
      <c r="W70"/>
      <c r="X70"/>
      <c r="Y70"/>
      <c r="Z70"/>
      <c r="AA70" s="380" t="str">
        <f t="shared" si="0"/>
        <v>https://github.com/OSRvn/ID-Welder/blob/main/.pdf</v>
      </c>
    </row>
    <row r="71" spans="1:27" ht="15.75">
      <c r="A71" s="316"/>
      <c r="C71" s="299"/>
      <c r="D71" s="198"/>
      <c r="E71" s="180"/>
      <c r="F71" s="188"/>
      <c r="G71" s="183"/>
      <c r="H71" s="183"/>
      <c r="I71" s="184"/>
      <c r="J71" s="183"/>
      <c r="K71" s="185"/>
      <c r="L71" s="186"/>
      <c r="M71" s="186"/>
      <c r="N71" s="186"/>
      <c r="O71" s="187"/>
      <c r="P71" s="202"/>
      <c r="S71"/>
      <c r="T71"/>
      <c r="U71"/>
      <c r="V71"/>
      <c r="W71"/>
      <c r="X71"/>
      <c r="Y71"/>
      <c r="Z71"/>
      <c r="AA71" s="380" t="str">
        <f t="shared" si="0"/>
        <v>https://github.com/OSRvn/ID-Welder/blob/main/.pdf</v>
      </c>
    </row>
    <row r="72" spans="1:27" ht="15.75">
      <c r="A72" s="316"/>
      <c r="D72" s="198"/>
      <c r="E72" s="180"/>
      <c r="F72" s="188"/>
      <c r="G72" s="183"/>
      <c r="H72" s="183"/>
      <c r="I72" s="184"/>
      <c r="J72" s="183"/>
      <c r="K72" s="185"/>
      <c r="L72" s="186"/>
      <c r="M72" s="186"/>
      <c r="N72" s="186"/>
      <c r="O72" s="187"/>
      <c r="P72" s="202"/>
      <c r="S72"/>
      <c r="T72"/>
      <c r="U72"/>
      <c r="V72"/>
      <c r="W72"/>
      <c r="X72"/>
      <c r="Y72"/>
      <c r="Z72"/>
      <c r="AA72" s="380" t="str">
        <f t="shared" si="0"/>
        <v>https://github.com/OSRvn/ID-Welder/blob/main/.pdf</v>
      </c>
    </row>
    <row r="73" spans="1:27" ht="15.75">
      <c r="A73" s="316"/>
      <c r="B73" s="317"/>
      <c r="C73" s="318"/>
      <c r="D73" s="198"/>
      <c r="E73" s="180"/>
      <c r="F73" s="188"/>
      <c r="G73" s="183"/>
      <c r="H73" s="183"/>
      <c r="I73" s="184"/>
      <c r="J73" s="183"/>
      <c r="K73" s="185"/>
      <c r="L73" s="186"/>
      <c r="M73" s="186"/>
      <c r="N73" s="186"/>
      <c r="O73" s="187"/>
      <c r="P73" s="202"/>
      <c r="S73"/>
      <c r="T73"/>
      <c r="U73"/>
      <c r="V73"/>
      <c r="W73"/>
      <c r="X73"/>
      <c r="Y73"/>
      <c r="Z73"/>
      <c r="AA73" s="380" t="str">
        <f t="shared" si="0"/>
        <v>https://github.com/OSRvn/ID-Welder/blob/main/.pdf</v>
      </c>
    </row>
    <row r="74" spans="1:27" ht="15.75">
      <c r="A74" s="316"/>
      <c r="B74" s="317"/>
      <c r="C74" s="318"/>
      <c r="D74" s="198"/>
      <c r="E74" s="180"/>
      <c r="F74" s="188"/>
      <c r="G74" s="183"/>
      <c r="H74" s="183"/>
      <c r="I74" s="184"/>
      <c r="J74" s="183"/>
      <c r="K74" s="185"/>
      <c r="L74" s="186"/>
      <c r="M74" s="186"/>
      <c r="N74" s="186"/>
      <c r="O74" s="187"/>
      <c r="P74" s="202"/>
      <c r="S74"/>
      <c r="T74"/>
      <c r="U74"/>
      <c r="V74"/>
      <c r="W74"/>
      <c r="X74"/>
      <c r="Y74"/>
      <c r="Z74"/>
      <c r="AA74" s="380" t="str">
        <f t="shared" ref="AA74:AA101" si="1">"https://github.com/OSRvn/ID-Welder/blob/main/" &amp; S74 &amp;".pdf"</f>
        <v>https://github.com/OSRvn/ID-Welder/blob/main/.pdf</v>
      </c>
    </row>
    <row r="75" spans="1:27" ht="15.75">
      <c r="A75" s="316"/>
      <c r="B75" s="317"/>
      <c r="C75" s="318"/>
      <c r="D75" s="198"/>
      <c r="E75" s="180"/>
      <c r="F75" s="188"/>
      <c r="G75" s="183"/>
      <c r="H75" s="183"/>
      <c r="I75" s="184"/>
      <c r="J75" s="183"/>
      <c r="K75" s="185"/>
      <c r="L75" s="186"/>
      <c r="M75" s="186"/>
      <c r="N75" s="186"/>
      <c r="O75" s="187"/>
      <c r="P75" s="202"/>
      <c r="S75"/>
      <c r="T75"/>
      <c r="U75"/>
      <c r="V75"/>
      <c r="W75"/>
      <c r="X75"/>
      <c r="Y75"/>
      <c r="Z75"/>
      <c r="AA75" s="380" t="str">
        <f t="shared" si="1"/>
        <v>https://github.com/OSRvn/ID-Welder/blob/main/.pdf</v>
      </c>
    </row>
    <row r="76" spans="1:27" s="205" customFormat="1" ht="15.75">
      <c r="A76" s="316"/>
      <c r="B76" s="317"/>
      <c r="C76" s="318"/>
      <c r="D76" s="198"/>
      <c r="E76" s="180"/>
      <c r="F76" s="188"/>
      <c r="G76" s="183"/>
      <c r="H76" s="183"/>
      <c r="I76" s="184"/>
      <c r="J76" s="183"/>
      <c r="K76" s="185"/>
      <c r="L76" s="186"/>
      <c r="M76" s="186"/>
      <c r="N76" s="186"/>
      <c r="O76" s="187"/>
      <c r="P76" s="202"/>
      <c r="S76"/>
      <c r="T76"/>
      <c r="U76"/>
      <c r="V76"/>
      <c r="W76"/>
      <c r="X76"/>
      <c r="Y76"/>
      <c r="Z76"/>
      <c r="AA76" s="380" t="str">
        <f t="shared" si="1"/>
        <v>https://github.com/OSRvn/ID-Welder/blob/main/.pdf</v>
      </c>
    </row>
    <row r="77" spans="1:27" s="205" customFormat="1" ht="15.75">
      <c r="A77" s="316"/>
      <c r="B77" s="317"/>
      <c r="C77" s="318"/>
      <c r="D77" s="198"/>
      <c r="E77" s="180"/>
      <c r="F77" s="188"/>
      <c r="G77" s="183"/>
      <c r="H77" s="183"/>
      <c r="I77" s="184"/>
      <c r="J77" s="183"/>
      <c r="K77" s="185"/>
      <c r="L77" s="186"/>
      <c r="M77" s="186"/>
      <c r="N77" s="186"/>
      <c r="O77" s="187"/>
      <c r="P77" s="202"/>
      <c r="S77"/>
      <c r="T77"/>
      <c r="U77"/>
      <c r="V77"/>
      <c r="W77"/>
      <c r="X77"/>
      <c r="Y77"/>
      <c r="Z77"/>
      <c r="AA77" s="380" t="str">
        <f t="shared" si="1"/>
        <v>https://github.com/OSRvn/ID-Welder/blob/main/.pdf</v>
      </c>
    </row>
    <row r="78" spans="1:27" s="205" customFormat="1" ht="15.75">
      <c r="A78" s="316"/>
      <c r="B78" s="317"/>
      <c r="C78" s="318"/>
      <c r="D78" s="198"/>
      <c r="E78" s="180"/>
      <c r="F78" s="188"/>
      <c r="G78" s="183"/>
      <c r="H78" s="183"/>
      <c r="I78" s="184"/>
      <c r="J78" s="183"/>
      <c r="K78" s="185"/>
      <c r="L78" s="186"/>
      <c r="M78" s="186"/>
      <c r="N78" s="186"/>
      <c r="O78" s="187"/>
      <c r="P78" s="202"/>
      <c r="S78"/>
      <c r="T78"/>
      <c r="U78"/>
      <c r="V78"/>
      <c r="W78"/>
      <c r="X78"/>
      <c r="Y78"/>
      <c r="Z78"/>
      <c r="AA78" s="380" t="str">
        <f t="shared" si="1"/>
        <v>https://github.com/OSRvn/ID-Welder/blob/main/.pdf</v>
      </c>
    </row>
    <row r="79" spans="1:27" s="205" customFormat="1" ht="15.75">
      <c r="A79" s="316"/>
      <c r="B79" s="197"/>
      <c r="C79" s="318"/>
      <c r="D79" s="198"/>
      <c r="E79" s="180"/>
      <c r="F79" s="188"/>
      <c r="G79" s="183"/>
      <c r="H79" s="183"/>
      <c r="I79" s="184"/>
      <c r="J79" s="183"/>
      <c r="K79" s="185"/>
      <c r="L79" s="186"/>
      <c r="M79" s="186"/>
      <c r="N79" s="186"/>
      <c r="O79" s="187"/>
      <c r="P79" s="202"/>
      <c r="S79"/>
      <c r="T79"/>
      <c r="U79"/>
      <c r="V79"/>
      <c r="W79"/>
      <c r="X79"/>
      <c r="Y79"/>
      <c r="Z79"/>
      <c r="AA79" s="380" t="str">
        <f t="shared" si="1"/>
        <v>https://github.com/OSRvn/ID-Welder/blob/main/.pdf</v>
      </c>
    </row>
    <row r="80" spans="1:27" ht="15.75">
      <c r="A80" s="316"/>
      <c r="B80" s="317"/>
      <c r="C80" s="317"/>
      <c r="D80" s="198"/>
      <c r="E80" s="180"/>
      <c r="F80" s="188"/>
      <c r="G80" s="183"/>
      <c r="H80" s="183"/>
      <c r="I80" s="184"/>
      <c r="J80" s="183"/>
      <c r="K80" s="185"/>
      <c r="L80" s="186"/>
      <c r="M80" s="186"/>
      <c r="N80" s="186"/>
      <c r="O80" s="187"/>
      <c r="P80" s="202"/>
      <c r="S80"/>
      <c r="T80"/>
      <c r="U80"/>
      <c r="V80"/>
      <c r="W80"/>
      <c r="X80"/>
      <c r="Y80"/>
      <c r="Z80"/>
      <c r="AA80" s="380" t="str">
        <f t="shared" si="1"/>
        <v>https://github.com/OSRvn/ID-Welder/blob/main/.pdf</v>
      </c>
    </row>
    <row r="81" spans="1:27" ht="15.75">
      <c r="A81" s="316"/>
      <c r="B81" s="317"/>
      <c r="C81" s="318"/>
      <c r="D81" s="198"/>
      <c r="E81" s="180"/>
      <c r="F81" s="188"/>
      <c r="G81" s="183"/>
      <c r="H81" s="183"/>
      <c r="I81" s="184"/>
      <c r="J81" s="183"/>
      <c r="K81" s="185"/>
      <c r="L81" s="186"/>
      <c r="M81" s="186"/>
      <c r="N81" s="186"/>
      <c r="O81" s="187"/>
      <c r="P81" s="202"/>
      <c r="S81"/>
      <c r="T81"/>
      <c r="U81"/>
      <c r="V81"/>
      <c r="W81"/>
      <c r="X81"/>
      <c r="Y81"/>
      <c r="Z81"/>
      <c r="AA81" s="380" t="str">
        <f t="shared" si="1"/>
        <v>https://github.com/OSRvn/ID-Welder/blob/main/.pdf</v>
      </c>
    </row>
    <row r="82" spans="1:27" ht="15.75">
      <c r="A82" s="316"/>
      <c r="B82" s="317"/>
      <c r="C82" s="318"/>
      <c r="D82" s="198"/>
      <c r="E82" s="180"/>
      <c r="F82" s="188"/>
      <c r="G82" s="183"/>
      <c r="H82" s="183"/>
      <c r="I82" s="184"/>
      <c r="J82" s="183"/>
      <c r="K82" s="185"/>
      <c r="L82" s="186"/>
      <c r="M82" s="186"/>
      <c r="N82" s="186"/>
      <c r="O82" s="187"/>
      <c r="P82" s="202"/>
      <c r="S82"/>
      <c r="T82"/>
      <c r="U82"/>
      <c r="V82"/>
      <c r="W82"/>
      <c r="X82"/>
      <c r="Y82"/>
      <c r="Z82"/>
      <c r="AA82" s="380" t="str">
        <f t="shared" si="1"/>
        <v>https://github.com/OSRvn/ID-Welder/blob/main/.pdf</v>
      </c>
    </row>
    <row r="83" spans="1:27" ht="15.75">
      <c r="A83" s="316"/>
      <c r="D83" s="198"/>
      <c r="E83" s="330"/>
      <c r="F83" s="328"/>
      <c r="G83" s="183"/>
      <c r="H83" s="183"/>
      <c r="I83" s="184"/>
      <c r="J83" s="183"/>
      <c r="K83" s="185"/>
      <c r="L83" s="186"/>
      <c r="M83" s="186"/>
      <c r="N83" s="186"/>
      <c r="O83" s="187"/>
      <c r="P83" s="202"/>
      <c r="S83"/>
      <c r="T83"/>
      <c r="U83"/>
      <c r="V83"/>
      <c r="W83"/>
      <c r="X83"/>
      <c r="Y83"/>
      <c r="Z83"/>
      <c r="AA83" s="380" t="str">
        <f t="shared" si="1"/>
        <v>https://github.com/OSRvn/ID-Welder/blob/main/.pdf</v>
      </c>
    </row>
    <row r="84" spans="1:27" ht="15.75">
      <c r="A84" s="316"/>
      <c r="C84" s="299"/>
      <c r="D84" s="198"/>
      <c r="E84" s="180"/>
      <c r="F84" s="188"/>
      <c r="G84" s="183"/>
      <c r="H84" s="183"/>
      <c r="I84" s="184"/>
      <c r="J84" s="183"/>
      <c r="K84" s="185"/>
      <c r="L84" s="186"/>
      <c r="M84" s="186"/>
      <c r="N84" s="186"/>
      <c r="O84" s="187"/>
      <c r="P84" s="202"/>
      <c r="S84"/>
      <c r="T84"/>
      <c r="U84"/>
      <c r="V84"/>
      <c r="W84"/>
      <c r="X84"/>
      <c r="Y84"/>
      <c r="Z84"/>
      <c r="AA84" s="380" t="str">
        <f t="shared" si="1"/>
        <v>https://github.com/OSRvn/ID-Welder/blob/main/.pdf</v>
      </c>
    </row>
    <row r="85" spans="1:27" s="333" customFormat="1" ht="15.75">
      <c r="A85" s="316"/>
      <c r="B85" s="197"/>
      <c r="C85" s="299"/>
      <c r="D85" s="198"/>
      <c r="E85" s="180"/>
      <c r="F85" s="188"/>
      <c r="G85" s="183"/>
      <c r="H85" s="183"/>
      <c r="I85" s="184"/>
      <c r="J85" s="183"/>
      <c r="K85" s="185"/>
      <c r="L85" s="186"/>
      <c r="M85" s="186"/>
      <c r="N85" s="186"/>
      <c r="O85" s="187"/>
      <c r="P85" s="202"/>
      <c r="S85"/>
      <c r="T85"/>
      <c r="U85"/>
      <c r="V85"/>
      <c r="W85"/>
      <c r="X85"/>
      <c r="Y85"/>
      <c r="Z85"/>
      <c r="AA85" s="380" t="str">
        <f t="shared" si="1"/>
        <v>https://github.com/OSRvn/ID-Welder/blob/main/.pdf</v>
      </c>
    </row>
    <row r="86" spans="1:27" s="205" customFormat="1" ht="15.75">
      <c r="A86" s="316"/>
      <c r="B86" s="197"/>
      <c r="C86" s="299"/>
      <c r="D86" s="198"/>
      <c r="E86" s="180"/>
      <c r="F86" s="188"/>
      <c r="G86" s="183"/>
      <c r="H86" s="183"/>
      <c r="I86" s="184"/>
      <c r="J86" s="183"/>
      <c r="K86" s="185"/>
      <c r="L86" s="186"/>
      <c r="M86" s="186"/>
      <c r="N86" s="186"/>
      <c r="O86" s="187"/>
      <c r="P86" s="202"/>
      <c r="S86"/>
      <c r="T86"/>
      <c r="U86"/>
      <c r="V86"/>
      <c r="W86"/>
      <c r="X86"/>
      <c r="Y86"/>
      <c r="Z86"/>
      <c r="AA86" s="380" t="str">
        <f t="shared" si="1"/>
        <v>https://github.com/OSRvn/ID-Welder/blob/main/.pdf</v>
      </c>
    </row>
    <row r="87" spans="1:27" s="205" customFormat="1" ht="15.75">
      <c r="A87" s="316"/>
      <c r="B87" s="197"/>
      <c r="C87" s="299"/>
      <c r="D87" s="198"/>
      <c r="E87" s="180"/>
      <c r="F87" s="188"/>
      <c r="G87" s="183"/>
      <c r="H87" s="183"/>
      <c r="I87" s="184"/>
      <c r="J87" s="183"/>
      <c r="K87" s="185"/>
      <c r="L87" s="186"/>
      <c r="M87" s="186"/>
      <c r="N87" s="186"/>
      <c r="O87" s="187"/>
      <c r="P87" s="202"/>
      <c r="S87"/>
      <c r="T87"/>
      <c r="U87"/>
      <c r="V87"/>
      <c r="W87"/>
      <c r="X87"/>
      <c r="Y87"/>
      <c r="Z87"/>
      <c r="AA87" s="380" t="str">
        <f t="shared" si="1"/>
        <v>https://github.com/OSRvn/ID-Welder/blob/main/.pdf</v>
      </c>
    </row>
    <row r="88" spans="1:27" s="205" customFormat="1" ht="15.75">
      <c r="A88" s="316"/>
      <c r="B88" s="197"/>
      <c r="C88" s="299"/>
      <c r="D88" s="198"/>
      <c r="E88" s="180"/>
      <c r="F88" s="188"/>
      <c r="G88" s="183"/>
      <c r="H88" s="183"/>
      <c r="I88" s="184"/>
      <c r="J88" s="183"/>
      <c r="K88" s="185"/>
      <c r="L88" s="186"/>
      <c r="M88" s="186"/>
      <c r="N88" s="186"/>
      <c r="O88" s="187"/>
      <c r="P88" s="202"/>
      <c r="S88"/>
      <c r="T88"/>
      <c r="U88"/>
      <c r="V88"/>
      <c r="W88"/>
      <c r="X88"/>
      <c r="Y88"/>
      <c r="Z88"/>
      <c r="AA88" s="380" t="str">
        <f t="shared" si="1"/>
        <v>https://github.com/OSRvn/ID-Welder/blob/main/.pdf</v>
      </c>
    </row>
    <row r="89" spans="1:27" s="333" customFormat="1" ht="15.75">
      <c r="A89" s="316"/>
      <c r="B89" s="197"/>
      <c r="C89" s="299"/>
      <c r="D89" s="198"/>
      <c r="E89" s="180"/>
      <c r="F89" s="188"/>
      <c r="G89" s="183"/>
      <c r="H89" s="183"/>
      <c r="I89" s="184"/>
      <c r="J89" s="183"/>
      <c r="K89" s="185"/>
      <c r="L89" s="186"/>
      <c r="M89" s="186"/>
      <c r="N89" s="186"/>
      <c r="O89" s="187"/>
      <c r="P89" s="202"/>
      <c r="S89"/>
      <c r="T89"/>
      <c r="U89"/>
      <c r="V89"/>
      <c r="W89"/>
      <c r="X89"/>
      <c r="Y89"/>
      <c r="Z89"/>
      <c r="AA89" s="380" t="str">
        <f t="shared" si="1"/>
        <v>https://github.com/OSRvn/ID-Welder/blob/main/.pdf</v>
      </c>
    </row>
    <row r="90" spans="1:27" s="333" customFormat="1" ht="15.75">
      <c r="A90" s="316"/>
      <c r="B90" s="197"/>
      <c r="C90" s="299"/>
      <c r="D90" s="198"/>
      <c r="E90" s="180"/>
      <c r="F90" s="188"/>
      <c r="G90" s="183"/>
      <c r="H90" s="183"/>
      <c r="I90" s="184"/>
      <c r="J90" s="183"/>
      <c r="K90" s="185"/>
      <c r="L90" s="186"/>
      <c r="M90" s="186"/>
      <c r="N90" s="186"/>
      <c r="O90" s="187"/>
      <c r="P90" s="202"/>
      <c r="S90"/>
      <c r="T90"/>
      <c r="U90"/>
      <c r="V90"/>
      <c r="W90"/>
      <c r="X90"/>
      <c r="Y90"/>
      <c r="Z90"/>
      <c r="AA90" s="380" t="str">
        <f t="shared" si="1"/>
        <v>https://github.com/OSRvn/ID-Welder/blob/main/.pdf</v>
      </c>
    </row>
    <row r="91" spans="1:27" ht="15.75">
      <c r="A91" s="316"/>
      <c r="C91" s="299"/>
      <c r="D91" s="198"/>
      <c r="E91" s="180"/>
      <c r="F91" s="188"/>
      <c r="G91" s="183"/>
      <c r="H91" s="183"/>
      <c r="I91" s="184"/>
      <c r="J91" s="183"/>
      <c r="K91" s="185"/>
      <c r="L91" s="186"/>
      <c r="M91" s="186"/>
      <c r="N91" s="186"/>
      <c r="O91" s="187"/>
      <c r="P91" s="202"/>
      <c r="S91"/>
      <c r="T91"/>
      <c r="U91"/>
      <c r="V91"/>
      <c r="W91"/>
      <c r="X91"/>
      <c r="Y91"/>
      <c r="Z91"/>
      <c r="AA91" s="380" t="str">
        <f t="shared" si="1"/>
        <v>https://github.com/OSRvn/ID-Welder/blob/main/.pdf</v>
      </c>
    </row>
    <row r="92" spans="1:27" ht="15.75">
      <c r="A92" s="316"/>
      <c r="C92" s="299"/>
      <c r="D92" s="198"/>
      <c r="E92" s="180"/>
      <c r="F92" s="188"/>
      <c r="G92" s="183"/>
      <c r="H92" s="183"/>
      <c r="I92" s="184"/>
      <c r="J92" s="183"/>
      <c r="K92" s="185"/>
      <c r="L92" s="186"/>
      <c r="M92" s="186"/>
      <c r="N92" s="186"/>
      <c r="O92" s="187"/>
      <c r="P92" s="202"/>
      <c r="S92"/>
      <c r="T92"/>
      <c r="U92"/>
      <c r="V92"/>
      <c r="W92"/>
      <c r="X92"/>
      <c r="Y92"/>
      <c r="Z92"/>
      <c r="AA92" s="380" t="str">
        <f t="shared" si="1"/>
        <v>https://github.com/OSRvn/ID-Welder/blob/main/.pdf</v>
      </c>
    </row>
    <row r="93" spans="1:27" ht="15.75">
      <c r="A93" s="316"/>
      <c r="B93" s="317"/>
      <c r="C93" s="318"/>
      <c r="D93" s="198"/>
      <c r="E93" s="180"/>
      <c r="F93" s="188"/>
      <c r="G93" s="183"/>
      <c r="H93" s="183"/>
      <c r="I93" s="184"/>
      <c r="J93" s="183"/>
      <c r="K93" s="185"/>
      <c r="L93" s="186"/>
      <c r="M93" s="186"/>
      <c r="N93" s="186"/>
      <c r="O93" s="187"/>
      <c r="P93" s="202"/>
      <c r="S93"/>
      <c r="T93"/>
      <c r="U93"/>
      <c r="V93"/>
      <c r="W93"/>
      <c r="X93"/>
      <c r="Y93"/>
      <c r="Z93"/>
      <c r="AA93" s="380" t="str">
        <f t="shared" si="1"/>
        <v>https://github.com/OSRvn/ID-Welder/blob/main/.pdf</v>
      </c>
    </row>
    <row r="94" spans="1:27" ht="15.75">
      <c r="A94" s="316"/>
      <c r="B94" s="317"/>
      <c r="C94" s="299"/>
      <c r="D94" s="198"/>
      <c r="E94" s="180"/>
      <c r="F94" s="188"/>
      <c r="G94" s="183"/>
      <c r="H94" s="201"/>
      <c r="I94" s="184"/>
      <c r="J94" s="183"/>
      <c r="K94" s="185"/>
      <c r="L94" s="186"/>
      <c r="M94" s="186"/>
      <c r="N94" s="186"/>
      <c r="O94" s="187"/>
      <c r="P94" s="202"/>
      <c r="S94"/>
      <c r="T94"/>
      <c r="U94"/>
      <c r="V94"/>
      <c r="W94"/>
      <c r="X94"/>
      <c r="Y94"/>
      <c r="Z94"/>
      <c r="AA94" s="380" t="str">
        <f t="shared" si="1"/>
        <v>https://github.com/OSRvn/ID-Welder/blob/main/.pdf</v>
      </c>
    </row>
    <row r="95" spans="1:27" ht="15.75">
      <c r="A95" s="316"/>
      <c r="B95" s="317"/>
      <c r="C95" s="299"/>
      <c r="D95" s="198"/>
      <c r="E95" s="180"/>
      <c r="F95" s="188"/>
      <c r="G95" s="183"/>
      <c r="H95" s="201"/>
      <c r="I95" s="184"/>
      <c r="J95" s="183"/>
      <c r="K95" s="185"/>
      <c r="L95" s="186"/>
      <c r="M95" s="186"/>
      <c r="N95" s="186"/>
      <c r="O95" s="187"/>
      <c r="P95" s="202"/>
      <c r="S95"/>
      <c r="T95"/>
      <c r="U95"/>
      <c r="V95"/>
      <c r="W95"/>
      <c r="X95"/>
      <c r="Y95"/>
      <c r="Z95"/>
      <c r="AA95" s="380" t="str">
        <f t="shared" si="1"/>
        <v>https://github.com/OSRvn/ID-Welder/blob/main/.pdf</v>
      </c>
    </row>
    <row r="96" spans="1:27" ht="15.75">
      <c r="A96" s="316"/>
      <c r="B96" s="317"/>
      <c r="C96" s="299"/>
      <c r="D96" s="198"/>
      <c r="E96" s="180"/>
      <c r="F96" s="188"/>
      <c r="G96" s="183"/>
      <c r="H96" s="201"/>
      <c r="I96" s="184"/>
      <c r="J96" s="183"/>
      <c r="K96" s="185"/>
      <c r="L96" s="186"/>
      <c r="M96" s="186"/>
      <c r="N96" s="186"/>
      <c r="O96" s="187"/>
      <c r="P96" s="202"/>
      <c r="S96"/>
      <c r="T96"/>
      <c r="U96"/>
      <c r="V96"/>
      <c r="W96"/>
      <c r="X96"/>
      <c r="Y96"/>
      <c r="Z96"/>
      <c r="AA96" s="380" t="str">
        <f t="shared" si="1"/>
        <v>https://github.com/OSRvn/ID-Welder/blob/main/.pdf</v>
      </c>
    </row>
    <row r="97" spans="1:27" ht="15.75">
      <c r="A97" s="316"/>
      <c r="B97" s="317"/>
      <c r="C97" s="299"/>
      <c r="D97" s="198"/>
      <c r="E97" s="180"/>
      <c r="F97" s="188"/>
      <c r="G97" s="183"/>
      <c r="H97" s="201"/>
      <c r="I97" s="184"/>
      <c r="J97" s="183"/>
      <c r="K97" s="185"/>
      <c r="L97" s="186"/>
      <c r="M97" s="186"/>
      <c r="N97" s="186"/>
      <c r="O97" s="187"/>
      <c r="P97" s="202"/>
      <c r="S97"/>
      <c r="T97"/>
      <c r="U97"/>
      <c r="V97"/>
      <c r="W97"/>
      <c r="X97"/>
      <c r="Y97"/>
      <c r="Z97"/>
      <c r="AA97" s="380" t="str">
        <f t="shared" si="1"/>
        <v>https://github.com/OSRvn/ID-Welder/blob/main/.pdf</v>
      </c>
    </row>
    <row r="98" spans="1:27" ht="15.75">
      <c r="A98" s="316"/>
      <c r="B98" s="317"/>
      <c r="C98" s="299"/>
      <c r="D98" s="198"/>
      <c r="E98" s="330"/>
      <c r="F98" s="328"/>
      <c r="G98" s="183"/>
      <c r="H98" s="201"/>
      <c r="I98" s="184"/>
      <c r="J98" s="183"/>
      <c r="K98" s="185"/>
      <c r="L98" s="186"/>
      <c r="M98" s="186"/>
      <c r="N98" s="186"/>
      <c r="O98" s="187"/>
      <c r="P98" s="202"/>
      <c r="S98"/>
      <c r="T98"/>
      <c r="U98"/>
      <c r="V98"/>
      <c r="W98"/>
      <c r="X98"/>
      <c r="Y98"/>
      <c r="Z98"/>
      <c r="AA98" s="380" t="str">
        <f t="shared" si="1"/>
        <v>https://github.com/OSRvn/ID-Welder/blob/main/.pdf</v>
      </c>
    </row>
    <row r="99" spans="1:27" ht="15.75">
      <c r="A99" s="316"/>
      <c r="B99" s="317"/>
      <c r="C99" s="299"/>
      <c r="D99" s="198"/>
      <c r="E99" s="330"/>
      <c r="F99" s="328"/>
      <c r="G99" s="183"/>
      <c r="H99" s="201"/>
      <c r="I99" s="184"/>
      <c r="J99" s="183"/>
      <c r="K99" s="185"/>
      <c r="L99" s="186"/>
      <c r="M99" s="186"/>
      <c r="N99" s="186"/>
      <c r="O99" s="187"/>
      <c r="P99" s="202"/>
      <c r="S99"/>
      <c r="T99"/>
      <c r="U99"/>
      <c r="V99"/>
      <c r="W99"/>
      <c r="X99"/>
      <c r="Y99"/>
      <c r="Z99"/>
      <c r="AA99" s="380" t="str">
        <f t="shared" si="1"/>
        <v>https://github.com/OSRvn/ID-Welder/blob/main/.pdf</v>
      </c>
    </row>
    <row r="100" spans="1:27" ht="15.75">
      <c r="A100" s="316"/>
      <c r="B100" s="317"/>
      <c r="C100" s="299"/>
      <c r="D100" s="198"/>
      <c r="E100" s="330"/>
      <c r="F100" s="328"/>
      <c r="G100" s="183"/>
      <c r="H100" s="201"/>
      <c r="I100" s="184"/>
      <c r="J100" s="183"/>
      <c r="K100" s="185"/>
      <c r="L100" s="186"/>
      <c r="M100" s="186"/>
      <c r="N100" s="186"/>
      <c r="O100" s="187"/>
      <c r="P100" s="202"/>
      <c r="S100"/>
      <c r="T100"/>
      <c r="U100"/>
      <c r="V100"/>
      <c r="W100"/>
      <c r="X100"/>
      <c r="Y100"/>
      <c r="Z100"/>
      <c r="AA100" s="380" t="str">
        <f t="shared" si="1"/>
        <v>https://github.com/OSRvn/ID-Welder/blob/main/.pdf</v>
      </c>
    </row>
    <row r="101" spans="1:27" ht="15.75">
      <c r="A101" s="316"/>
      <c r="B101" s="317"/>
      <c r="C101" s="299"/>
      <c r="D101" s="198"/>
      <c r="E101" s="330"/>
      <c r="F101" s="328"/>
      <c r="G101" s="183"/>
      <c r="H101" s="201"/>
      <c r="I101" s="184"/>
      <c r="J101" s="183"/>
      <c r="K101" s="185"/>
      <c r="L101" s="186"/>
      <c r="M101" s="186"/>
      <c r="N101" s="186"/>
      <c r="O101" s="187"/>
      <c r="P101" s="202"/>
      <c r="S101"/>
      <c r="T101"/>
      <c r="U101"/>
      <c r="V101"/>
      <c r="W101"/>
      <c r="X101"/>
      <c r="Y101"/>
      <c r="Z101"/>
      <c r="AA101" s="380" t="str">
        <f t="shared" si="1"/>
        <v>https://github.com/OSRvn/ID-Welder/blob/main/.pdf</v>
      </c>
    </row>
    <row r="102" spans="1:27" ht="15.75">
      <c r="A102" s="316"/>
      <c r="B102" s="317"/>
      <c r="C102" s="299"/>
      <c r="D102" s="198"/>
      <c r="E102" s="330"/>
      <c r="F102" s="328"/>
      <c r="G102" s="183"/>
      <c r="H102" s="201"/>
      <c r="I102" s="184"/>
      <c r="J102" s="183"/>
      <c r="K102" s="185"/>
      <c r="L102" s="186"/>
      <c r="M102" s="186"/>
      <c r="N102" s="186"/>
      <c r="O102" s="187"/>
      <c r="P102" s="202"/>
      <c r="S102"/>
      <c r="T102"/>
      <c r="U102"/>
      <c r="V102"/>
      <c r="W102"/>
      <c r="X102"/>
      <c r="Y102"/>
      <c r="Z102"/>
    </row>
    <row r="103" spans="1:27" s="205" customFormat="1" ht="15.75">
      <c r="A103" s="316"/>
      <c r="B103" s="317"/>
      <c r="C103" s="299"/>
      <c r="D103" s="198"/>
      <c r="E103" s="330"/>
      <c r="F103" s="328"/>
      <c r="G103" s="183"/>
      <c r="H103" s="201"/>
      <c r="I103" s="184"/>
      <c r="J103" s="183"/>
      <c r="K103" s="185"/>
      <c r="L103" s="186"/>
      <c r="M103" s="186"/>
      <c r="N103" s="186"/>
      <c r="O103" s="187"/>
      <c r="P103" s="202"/>
      <c r="S103"/>
      <c r="T103"/>
      <c r="U103"/>
      <c r="V103"/>
      <c r="W103"/>
      <c r="X103"/>
      <c r="Y103"/>
      <c r="Z103"/>
    </row>
    <row r="104" spans="1:27" s="205" customFormat="1" ht="15.75">
      <c r="A104" s="316"/>
      <c r="B104" s="317"/>
      <c r="C104" s="299"/>
      <c r="D104" s="198"/>
      <c r="E104" s="330"/>
      <c r="F104" s="328"/>
      <c r="G104" s="183"/>
      <c r="H104" s="201"/>
      <c r="I104" s="184"/>
      <c r="J104" s="183"/>
      <c r="K104" s="185"/>
      <c r="L104" s="186"/>
      <c r="M104" s="186"/>
      <c r="N104" s="186"/>
      <c r="O104" s="187"/>
      <c r="P104" s="202"/>
      <c r="S104"/>
      <c r="T104"/>
      <c r="U104"/>
      <c r="V104"/>
      <c r="W104"/>
      <c r="X104"/>
      <c r="Y104"/>
      <c r="Z104"/>
    </row>
    <row r="105" spans="1:27" s="205" customFormat="1" ht="15.75">
      <c r="A105" s="316"/>
      <c r="B105" s="317"/>
      <c r="C105" s="299"/>
      <c r="D105" s="198"/>
      <c r="E105" s="330"/>
      <c r="F105" s="328"/>
      <c r="G105" s="183"/>
      <c r="H105" s="201"/>
      <c r="I105" s="184"/>
      <c r="J105" s="183"/>
      <c r="K105" s="185"/>
      <c r="L105" s="186"/>
      <c r="M105" s="186"/>
      <c r="N105" s="186"/>
      <c r="O105" s="187"/>
      <c r="P105" s="202"/>
      <c r="S105"/>
      <c r="T105"/>
      <c r="U105"/>
      <c r="V105"/>
      <c r="W105"/>
      <c r="X105"/>
      <c r="Y105"/>
      <c r="Z105"/>
    </row>
    <row r="106" spans="1:27" s="205" customFormat="1" ht="15.75">
      <c r="A106" s="316"/>
      <c r="B106" s="317"/>
      <c r="C106" s="299"/>
      <c r="D106" s="198"/>
      <c r="E106" s="330"/>
      <c r="F106" s="328"/>
      <c r="G106" s="183"/>
      <c r="H106" s="201"/>
      <c r="I106" s="184"/>
      <c r="J106" s="183"/>
      <c r="K106" s="185"/>
      <c r="L106" s="186"/>
      <c r="M106" s="186"/>
      <c r="N106" s="186"/>
      <c r="O106" s="187"/>
      <c r="P106" s="202"/>
      <c r="S106"/>
      <c r="T106"/>
      <c r="U106"/>
      <c r="V106"/>
      <c r="W106"/>
      <c r="X106"/>
      <c r="Y106"/>
      <c r="Z106"/>
    </row>
    <row r="107" spans="1:27" s="205" customFormat="1" ht="15.75">
      <c r="A107" s="316"/>
      <c r="B107" s="197"/>
      <c r="C107" s="197"/>
      <c r="D107" s="198"/>
      <c r="E107" s="327"/>
      <c r="F107" s="328"/>
      <c r="G107" s="183"/>
      <c r="H107" s="183"/>
      <c r="I107" s="184"/>
      <c r="J107" s="183"/>
      <c r="K107" s="185"/>
      <c r="L107" s="186"/>
      <c r="M107" s="186"/>
      <c r="N107" s="186"/>
      <c r="O107" s="187"/>
      <c r="P107" s="202"/>
      <c r="S107"/>
      <c r="T107"/>
      <c r="U107"/>
      <c r="V107"/>
      <c r="W107"/>
      <c r="X107"/>
      <c r="Y107"/>
      <c r="Z107"/>
    </row>
    <row r="108" spans="1:27" s="205" customFormat="1" ht="15.75">
      <c r="A108" s="316"/>
      <c r="B108" s="197"/>
      <c r="C108" s="299"/>
      <c r="D108" s="198"/>
      <c r="E108" s="180"/>
      <c r="F108" s="188"/>
      <c r="G108" s="183"/>
      <c r="H108" s="201"/>
      <c r="I108" s="184"/>
      <c r="J108" s="183"/>
      <c r="K108" s="185"/>
      <c r="L108" s="186"/>
      <c r="M108" s="186"/>
      <c r="N108" s="186"/>
      <c r="O108" s="187"/>
      <c r="P108" s="202"/>
      <c r="S108"/>
      <c r="T108"/>
      <c r="U108"/>
      <c r="V108"/>
      <c r="W108"/>
      <c r="X108"/>
      <c r="Y108"/>
      <c r="Z108"/>
    </row>
    <row r="109" spans="1:27" ht="15.75">
      <c r="A109" s="316"/>
      <c r="C109" s="299"/>
      <c r="D109" s="198"/>
      <c r="E109" s="180"/>
      <c r="F109" s="188"/>
      <c r="G109" s="183"/>
      <c r="H109" s="201"/>
      <c r="I109" s="184"/>
      <c r="J109" s="183"/>
      <c r="K109" s="185"/>
      <c r="L109" s="186"/>
      <c r="M109" s="186"/>
      <c r="N109" s="186"/>
      <c r="O109" s="187"/>
      <c r="P109" s="202"/>
      <c r="S109"/>
      <c r="T109"/>
      <c r="U109"/>
      <c r="V109"/>
      <c r="W109"/>
      <c r="X109"/>
      <c r="Y109"/>
      <c r="Z109"/>
    </row>
    <row r="110" spans="1:27" ht="15.75">
      <c r="A110" s="316"/>
      <c r="B110" s="334"/>
      <c r="C110" s="318"/>
      <c r="D110" s="198"/>
      <c r="E110" s="330"/>
      <c r="F110" s="328"/>
      <c r="G110" s="183"/>
      <c r="H110" s="183"/>
      <c r="I110" s="184"/>
      <c r="J110" s="183"/>
      <c r="K110" s="185"/>
      <c r="L110" s="186"/>
      <c r="M110" s="186"/>
      <c r="N110" s="186"/>
      <c r="O110" s="187"/>
      <c r="P110" s="202"/>
      <c r="S110"/>
      <c r="T110"/>
      <c r="U110"/>
      <c r="V110"/>
      <c r="W110"/>
      <c r="X110"/>
      <c r="Y110"/>
      <c r="Z110"/>
    </row>
    <row r="111" spans="1:27" ht="15.75">
      <c r="A111" s="316"/>
      <c r="B111" s="334"/>
      <c r="C111" s="318"/>
      <c r="D111" s="198"/>
      <c r="E111" s="330"/>
      <c r="F111" s="328"/>
      <c r="G111" s="183"/>
      <c r="H111" s="183"/>
      <c r="I111" s="184"/>
      <c r="J111" s="183"/>
      <c r="K111" s="185"/>
      <c r="L111" s="186"/>
      <c r="M111" s="186"/>
      <c r="N111" s="186"/>
      <c r="O111" s="187"/>
      <c r="P111" s="202"/>
      <c r="S111"/>
      <c r="T111"/>
      <c r="U111"/>
      <c r="V111"/>
      <c r="W111"/>
      <c r="X111"/>
      <c r="Y111"/>
      <c r="Z111"/>
    </row>
    <row r="112" spans="1:27" ht="15.75">
      <c r="A112" s="316"/>
      <c r="B112" s="317"/>
      <c r="C112" s="318"/>
      <c r="D112" s="198"/>
      <c r="E112" s="180"/>
      <c r="F112" s="179"/>
      <c r="G112" s="183"/>
      <c r="H112" s="201"/>
      <c r="I112" s="184"/>
      <c r="J112" s="183"/>
      <c r="K112" s="185"/>
      <c r="L112" s="186"/>
      <c r="M112" s="186"/>
      <c r="N112" s="186"/>
      <c r="O112" s="187"/>
      <c r="P112" s="202"/>
      <c r="S112"/>
      <c r="T112"/>
      <c r="U112"/>
      <c r="V112"/>
      <c r="W112"/>
      <c r="X112"/>
      <c r="Y112"/>
      <c r="Z112"/>
    </row>
    <row r="113" spans="1:26" ht="15.75">
      <c r="A113" s="316"/>
      <c r="B113" s="317"/>
      <c r="C113" s="318"/>
      <c r="D113" s="198"/>
      <c r="E113" s="330"/>
      <c r="F113" s="328"/>
      <c r="G113" s="183"/>
      <c r="H113" s="183"/>
      <c r="I113" s="184"/>
      <c r="J113" s="183"/>
      <c r="K113" s="185"/>
      <c r="L113" s="186"/>
      <c r="M113" s="186"/>
      <c r="N113" s="186"/>
      <c r="O113" s="187"/>
      <c r="P113" s="202"/>
      <c r="S113"/>
      <c r="T113"/>
      <c r="U113"/>
      <c r="V113"/>
      <c r="W113"/>
      <c r="X113"/>
      <c r="Y113"/>
      <c r="Z113"/>
    </row>
    <row r="114" spans="1:26" ht="15.75">
      <c r="A114" s="316"/>
      <c r="B114" s="317"/>
      <c r="C114" s="318"/>
      <c r="D114" s="198"/>
      <c r="E114" s="330"/>
      <c r="F114" s="328"/>
      <c r="G114" s="183"/>
      <c r="H114" s="183"/>
      <c r="I114" s="184"/>
      <c r="J114" s="183"/>
      <c r="K114" s="185"/>
      <c r="L114" s="186"/>
      <c r="M114" s="186"/>
      <c r="N114" s="186"/>
      <c r="O114" s="187"/>
      <c r="P114" s="202"/>
      <c r="S114"/>
      <c r="T114"/>
      <c r="U114"/>
      <c r="V114"/>
      <c r="W114"/>
      <c r="X114"/>
      <c r="Y114"/>
      <c r="Z114"/>
    </row>
    <row r="115" spans="1:26" ht="15.75">
      <c r="A115" s="316"/>
      <c r="D115" s="198"/>
      <c r="E115" s="327"/>
      <c r="F115" s="328"/>
      <c r="G115" s="183"/>
      <c r="H115" s="183"/>
      <c r="I115" s="184"/>
      <c r="J115" s="183"/>
      <c r="K115" s="185"/>
      <c r="L115" s="186"/>
      <c r="M115" s="186"/>
      <c r="N115" s="186"/>
      <c r="O115" s="187"/>
      <c r="P115" s="202"/>
      <c r="S115"/>
      <c r="T115"/>
      <c r="U115"/>
      <c r="V115"/>
      <c r="W115"/>
      <c r="X115"/>
      <c r="Y115"/>
      <c r="Z115"/>
    </row>
    <row r="116" spans="1:26" ht="15.75">
      <c r="A116" s="316"/>
      <c r="D116" s="198"/>
      <c r="E116" s="327"/>
      <c r="F116" s="328"/>
      <c r="G116" s="183"/>
      <c r="H116" s="183"/>
      <c r="I116" s="184"/>
      <c r="J116" s="183"/>
      <c r="K116" s="185"/>
      <c r="L116" s="186"/>
      <c r="M116" s="186"/>
      <c r="N116" s="186"/>
      <c r="O116" s="187"/>
      <c r="P116" s="202"/>
      <c r="S116"/>
      <c r="T116"/>
      <c r="U116"/>
      <c r="V116"/>
      <c r="W116"/>
      <c r="X116"/>
      <c r="Y116"/>
      <c r="Z116"/>
    </row>
    <row r="117" spans="1:26" ht="15.75">
      <c r="A117" s="316"/>
      <c r="D117" s="198"/>
      <c r="E117" s="327"/>
      <c r="F117" s="328"/>
      <c r="G117" s="183"/>
      <c r="H117" s="183"/>
      <c r="I117" s="184"/>
      <c r="J117" s="183"/>
      <c r="K117" s="185"/>
      <c r="L117" s="186"/>
      <c r="M117" s="186"/>
      <c r="N117" s="186"/>
      <c r="O117" s="187"/>
      <c r="P117" s="202"/>
      <c r="S117"/>
      <c r="T117"/>
      <c r="U117"/>
      <c r="V117"/>
      <c r="W117"/>
      <c r="X117"/>
      <c r="Y117"/>
      <c r="Z117"/>
    </row>
    <row r="118" spans="1:26" ht="15.75">
      <c r="A118" s="316"/>
      <c r="D118" s="198"/>
      <c r="E118" s="327"/>
      <c r="F118" s="328"/>
      <c r="G118" s="183"/>
      <c r="H118" s="183"/>
      <c r="I118" s="184"/>
      <c r="J118" s="183"/>
      <c r="K118" s="185"/>
      <c r="L118" s="186"/>
      <c r="M118" s="186"/>
      <c r="N118" s="186"/>
      <c r="O118" s="187"/>
      <c r="P118" s="202"/>
      <c r="S118"/>
      <c r="T118"/>
      <c r="U118"/>
      <c r="V118"/>
      <c r="W118"/>
      <c r="X118"/>
      <c r="Y118"/>
      <c r="Z118"/>
    </row>
    <row r="119" spans="1:26" s="205" customFormat="1" ht="15.75">
      <c r="A119" s="316"/>
      <c r="B119" s="317"/>
      <c r="C119" s="299"/>
      <c r="D119" s="198"/>
      <c r="E119" s="327"/>
      <c r="F119" s="328"/>
      <c r="G119" s="183"/>
      <c r="H119" s="201"/>
      <c r="I119" s="184"/>
      <c r="J119" s="183"/>
      <c r="K119" s="185"/>
      <c r="L119" s="186"/>
      <c r="M119" s="186"/>
      <c r="N119" s="186"/>
      <c r="O119" s="187"/>
      <c r="P119" s="202"/>
      <c r="S119"/>
      <c r="T119"/>
      <c r="U119"/>
      <c r="V119"/>
      <c r="W119"/>
      <c r="X119"/>
      <c r="Y119"/>
      <c r="Z119"/>
    </row>
    <row r="120" spans="1:26" s="205" customFormat="1" ht="15.75">
      <c r="A120" s="316"/>
      <c r="B120" s="317"/>
      <c r="C120" s="299"/>
      <c r="D120" s="198"/>
      <c r="E120" s="180"/>
      <c r="F120" s="179"/>
      <c r="G120" s="183"/>
      <c r="H120" s="201"/>
      <c r="I120" s="184"/>
      <c r="J120" s="183"/>
      <c r="K120" s="185"/>
      <c r="L120" s="186"/>
      <c r="M120" s="186"/>
      <c r="N120" s="186"/>
      <c r="O120" s="187"/>
      <c r="P120" s="202"/>
      <c r="S120"/>
      <c r="T120"/>
      <c r="U120"/>
      <c r="V120"/>
      <c r="W120"/>
      <c r="X120"/>
      <c r="Y120"/>
      <c r="Z120"/>
    </row>
    <row r="121" spans="1:26" s="205" customFormat="1" ht="15.75">
      <c r="A121" s="316"/>
      <c r="B121" s="317"/>
      <c r="C121" s="299"/>
      <c r="D121" s="198"/>
      <c r="E121" s="180"/>
      <c r="F121" s="188"/>
      <c r="G121" s="183"/>
      <c r="H121" s="201"/>
      <c r="I121" s="184"/>
      <c r="J121" s="183"/>
      <c r="K121" s="185"/>
      <c r="L121" s="186"/>
      <c r="M121" s="186"/>
      <c r="N121" s="186"/>
      <c r="O121" s="187"/>
      <c r="P121" s="202"/>
      <c r="S121"/>
      <c r="T121"/>
      <c r="U121"/>
      <c r="V121"/>
      <c r="W121"/>
      <c r="X121"/>
      <c r="Y121"/>
      <c r="Z121"/>
    </row>
    <row r="122" spans="1:26" ht="15.75">
      <c r="A122" s="316"/>
      <c r="B122" s="317"/>
      <c r="D122" s="198"/>
      <c r="E122" s="180"/>
      <c r="F122" s="188"/>
      <c r="G122" s="183"/>
      <c r="H122" s="183"/>
      <c r="I122" s="184"/>
      <c r="J122" s="183"/>
      <c r="K122" s="185"/>
      <c r="L122" s="186"/>
      <c r="M122" s="186"/>
      <c r="N122" s="186"/>
      <c r="O122" s="187"/>
      <c r="P122" s="202"/>
      <c r="S122"/>
      <c r="T122"/>
      <c r="U122"/>
      <c r="V122"/>
      <c r="W122"/>
      <c r="X122"/>
      <c r="Y122"/>
      <c r="Z122"/>
    </row>
    <row r="123" spans="1:26" ht="15.75">
      <c r="A123" s="316"/>
      <c r="B123" s="317"/>
      <c r="D123" s="198"/>
      <c r="E123" s="180"/>
      <c r="F123" s="188"/>
      <c r="G123" s="183"/>
      <c r="H123" s="183"/>
      <c r="I123" s="184"/>
      <c r="J123" s="183"/>
      <c r="K123" s="185"/>
      <c r="L123" s="186"/>
      <c r="M123" s="186"/>
      <c r="N123" s="186"/>
      <c r="O123" s="187"/>
      <c r="P123" s="202"/>
      <c r="S123"/>
      <c r="T123"/>
      <c r="U123"/>
      <c r="V123"/>
      <c r="W123"/>
      <c r="X123"/>
      <c r="Y123"/>
      <c r="Z123"/>
    </row>
    <row r="124" spans="1:26" ht="15.75">
      <c r="A124" s="316"/>
      <c r="B124" s="317"/>
      <c r="D124" s="198"/>
      <c r="E124" s="180"/>
      <c r="F124" s="188"/>
      <c r="G124" s="183"/>
      <c r="H124" s="183"/>
      <c r="I124" s="184"/>
      <c r="J124" s="183"/>
      <c r="K124" s="185"/>
      <c r="L124" s="186"/>
      <c r="M124" s="186"/>
      <c r="N124" s="186"/>
      <c r="O124" s="187"/>
      <c r="P124" s="202"/>
      <c r="S124"/>
      <c r="T124"/>
      <c r="U124"/>
      <c r="V124"/>
      <c r="W124"/>
      <c r="X124"/>
      <c r="Y124"/>
      <c r="Z124"/>
    </row>
    <row r="125" spans="1:26" ht="15.75">
      <c r="A125" s="316"/>
      <c r="D125" s="198"/>
      <c r="E125" s="327"/>
      <c r="F125" s="328"/>
      <c r="G125" s="183"/>
      <c r="H125" s="183"/>
      <c r="I125" s="184"/>
      <c r="J125" s="183"/>
      <c r="K125" s="185"/>
      <c r="L125" s="186"/>
      <c r="M125" s="186"/>
      <c r="N125" s="186"/>
      <c r="O125" s="187"/>
      <c r="P125" s="202"/>
      <c r="S125"/>
      <c r="T125"/>
      <c r="U125"/>
      <c r="V125"/>
      <c r="W125"/>
      <c r="X125"/>
      <c r="Y125"/>
      <c r="Z125"/>
    </row>
    <row r="126" spans="1:26" ht="15.75">
      <c r="A126" s="316"/>
      <c r="C126" s="299"/>
      <c r="D126" s="198"/>
      <c r="E126" s="327"/>
      <c r="F126" s="328"/>
      <c r="G126" s="183"/>
      <c r="H126" s="183"/>
      <c r="I126" s="184"/>
      <c r="J126" s="183"/>
      <c r="K126" s="185"/>
      <c r="L126" s="186"/>
      <c r="M126" s="186"/>
      <c r="N126" s="186"/>
      <c r="O126" s="187"/>
      <c r="P126" s="202"/>
      <c r="S126"/>
      <c r="T126"/>
      <c r="U126"/>
      <c r="V126"/>
      <c r="W126"/>
      <c r="X126"/>
      <c r="Y126"/>
      <c r="Z126"/>
    </row>
    <row r="127" spans="1:26" s="205" customFormat="1" ht="15.75">
      <c r="A127" s="316"/>
      <c r="B127" s="317"/>
      <c r="C127" s="318"/>
      <c r="D127" s="198"/>
      <c r="E127" s="180"/>
      <c r="F127" s="188"/>
      <c r="G127" s="183"/>
      <c r="H127" s="183"/>
      <c r="I127" s="184"/>
      <c r="J127" s="183"/>
      <c r="K127" s="185"/>
      <c r="L127" s="186"/>
      <c r="M127" s="186"/>
      <c r="N127" s="186"/>
      <c r="O127" s="187"/>
      <c r="P127" s="202"/>
      <c r="S127"/>
      <c r="T127"/>
      <c r="U127"/>
      <c r="V127"/>
      <c r="W127"/>
      <c r="X127"/>
      <c r="Y127"/>
      <c r="Z127"/>
    </row>
    <row r="128" spans="1:26" s="205" customFormat="1" ht="15.75">
      <c r="A128" s="316"/>
      <c r="B128" s="317"/>
      <c r="C128" s="318"/>
      <c r="D128" s="198"/>
      <c r="E128" s="180"/>
      <c r="F128" s="188"/>
      <c r="G128" s="183"/>
      <c r="H128" s="183"/>
      <c r="I128" s="184"/>
      <c r="J128" s="183"/>
      <c r="K128" s="185"/>
      <c r="L128" s="186"/>
      <c r="M128" s="186"/>
      <c r="N128" s="186"/>
      <c r="O128" s="187"/>
      <c r="P128" s="202"/>
      <c r="S128"/>
      <c r="T128"/>
      <c r="U128"/>
      <c r="V128"/>
      <c r="W128"/>
      <c r="X128"/>
      <c r="Y128"/>
      <c r="Z128"/>
    </row>
    <row r="129" spans="1:26" s="205" customFormat="1" ht="15.75">
      <c r="A129" s="316"/>
      <c r="B129" s="317"/>
      <c r="C129" s="318"/>
      <c r="D129" s="198"/>
      <c r="E129" s="180"/>
      <c r="F129" s="188"/>
      <c r="G129" s="183"/>
      <c r="H129" s="183"/>
      <c r="I129" s="184"/>
      <c r="J129" s="183"/>
      <c r="K129" s="185"/>
      <c r="L129" s="186"/>
      <c r="M129" s="186"/>
      <c r="N129" s="186"/>
      <c r="O129" s="187"/>
      <c r="P129" s="202"/>
      <c r="S129"/>
      <c r="T129"/>
      <c r="U129"/>
      <c r="V129"/>
      <c r="W129"/>
      <c r="X129"/>
      <c r="Y129"/>
      <c r="Z129"/>
    </row>
    <row r="130" spans="1:26" s="205" customFormat="1" ht="15.75">
      <c r="A130" s="316"/>
      <c r="B130" s="197"/>
      <c r="C130" s="299"/>
      <c r="D130" s="198"/>
      <c r="E130" s="180"/>
      <c r="F130" s="188"/>
      <c r="G130" s="183"/>
      <c r="H130" s="183"/>
      <c r="I130" s="184"/>
      <c r="J130" s="183"/>
      <c r="K130" s="185"/>
      <c r="L130" s="186"/>
      <c r="M130" s="186"/>
      <c r="N130" s="186"/>
      <c r="O130" s="187"/>
      <c r="P130" s="202"/>
      <c r="S130"/>
      <c r="T130"/>
      <c r="U130"/>
      <c r="V130"/>
      <c r="W130"/>
      <c r="X130"/>
      <c r="Y130"/>
      <c r="Z130"/>
    </row>
    <row r="131" spans="1:26" s="205" customFormat="1" ht="15.75">
      <c r="A131" s="316"/>
      <c r="B131" s="197"/>
      <c r="C131" s="299"/>
      <c r="D131" s="198"/>
      <c r="E131" s="180"/>
      <c r="F131" s="188"/>
      <c r="G131" s="183"/>
      <c r="H131" s="183"/>
      <c r="I131" s="184"/>
      <c r="J131" s="183"/>
      <c r="K131" s="185"/>
      <c r="L131" s="186"/>
      <c r="M131" s="186"/>
      <c r="N131" s="186"/>
      <c r="O131" s="187"/>
      <c r="P131" s="202"/>
      <c r="S131"/>
      <c r="T131"/>
      <c r="U131"/>
      <c r="V131"/>
      <c r="W131"/>
      <c r="X131"/>
      <c r="Y131"/>
      <c r="Z131"/>
    </row>
    <row r="132" spans="1:26" s="205" customFormat="1" ht="15.75">
      <c r="A132" s="316"/>
      <c r="B132" s="197"/>
      <c r="C132" s="299"/>
      <c r="D132" s="198"/>
      <c r="E132" s="180"/>
      <c r="F132" s="188"/>
      <c r="G132" s="183"/>
      <c r="H132" s="183"/>
      <c r="I132" s="184"/>
      <c r="J132" s="183"/>
      <c r="K132" s="185"/>
      <c r="L132" s="186"/>
      <c r="M132" s="186"/>
      <c r="N132" s="186"/>
      <c r="O132" s="187"/>
      <c r="P132" s="202"/>
      <c r="S132"/>
      <c r="T132"/>
      <c r="U132"/>
      <c r="V132"/>
      <c r="W132"/>
      <c r="X132"/>
      <c r="Y132"/>
      <c r="Z132"/>
    </row>
    <row r="133" spans="1:26" s="205" customFormat="1" ht="15.75">
      <c r="A133" s="316"/>
      <c r="B133" s="197"/>
      <c r="C133" s="299"/>
      <c r="D133" s="198"/>
      <c r="E133" s="180"/>
      <c r="F133" s="188"/>
      <c r="G133" s="183"/>
      <c r="H133" s="183"/>
      <c r="I133" s="184"/>
      <c r="J133" s="183"/>
      <c r="K133" s="185"/>
      <c r="L133" s="186"/>
      <c r="M133" s="186"/>
      <c r="N133" s="186"/>
      <c r="O133" s="187"/>
      <c r="P133" s="202"/>
      <c r="S133"/>
      <c r="T133"/>
      <c r="U133"/>
      <c r="V133"/>
      <c r="W133"/>
      <c r="X133"/>
      <c r="Y133"/>
      <c r="Z133"/>
    </row>
    <row r="134" spans="1:26" s="205" customFormat="1" ht="15.75">
      <c r="A134" s="316"/>
      <c r="B134" s="197"/>
      <c r="C134" s="299"/>
      <c r="D134" s="198"/>
      <c r="E134" s="180"/>
      <c r="F134" s="188"/>
      <c r="G134" s="183"/>
      <c r="H134" s="183"/>
      <c r="I134" s="184"/>
      <c r="J134" s="183"/>
      <c r="K134" s="185"/>
      <c r="L134" s="186"/>
      <c r="M134" s="186"/>
      <c r="N134" s="186"/>
      <c r="O134" s="187"/>
      <c r="P134" s="202"/>
      <c r="S134"/>
      <c r="T134"/>
      <c r="U134"/>
      <c r="V134"/>
      <c r="W134"/>
      <c r="X134"/>
      <c r="Y134"/>
      <c r="Z134"/>
    </row>
    <row r="135" spans="1:26" s="205" customFormat="1" ht="15.75">
      <c r="A135" s="316"/>
      <c r="B135" s="197"/>
      <c r="C135" s="299"/>
      <c r="D135" s="198"/>
      <c r="E135" s="180"/>
      <c r="F135" s="188"/>
      <c r="G135" s="183"/>
      <c r="H135" s="183"/>
      <c r="I135" s="184"/>
      <c r="J135" s="183"/>
      <c r="K135" s="185"/>
      <c r="L135" s="186"/>
      <c r="M135" s="186"/>
      <c r="N135" s="186"/>
      <c r="O135" s="187"/>
      <c r="P135" s="202"/>
      <c r="S135"/>
      <c r="T135"/>
      <c r="U135"/>
      <c r="V135"/>
      <c r="W135"/>
      <c r="X135"/>
      <c r="Y135"/>
      <c r="Z135"/>
    </row>
    <row r="136" spans="1:26" s="205" customFormat="1" ht="15.75">
      <c r="A136" s="316"/>
      <c r="B136" s="197"/>
      <c r="C136" s="299"/>
      <c r="D136" s="198"/>
      <c r="E136" s="180"/>
      <c r="F136" s="188"/>
      <c r="G136" s="183"/>
      <c r="H136" s="183"/>
      <c r="I136" s="184"/>
      <c r="J136" s="183"/>
      <c r="K136" s="185"/>
      <c r="L136" s="186"/>
      <c r="M136" s="186"/>
      <c r="N136" s="186"/>
      <c r="O136" s="187"/>
      <c r="P136" s="202"/>
      <c r="S136"/>
      <c r="T136"/>
      <c r="U136"/>
      <c r="V136"/>
      <c r="W136"/>
      <c r="X136"/>
      <c r="Y136"/>
      <c r="Z136"/>
    </row>
    <row r="137" spans="1:26" s="205" customFormat="1" ht="15.75">
      <c r="A137" s="316"/>
      <c r="B137" s="197"/>
      <c r="C137" s="299"/>
      <c r="D137" s="198"/>
      <c r="E137" s="180"/>
      <c r="F137" s="188"/>
      <c r="G137" s="183"/>
      <c r="H137" s="183"/>
      <c r="I137" s="184"/>
      <c r="J137" s="183"/>
      <c r="K137" s="185"/>
      <c r="L137" s="186"/>
      <c r="M137" s="186"/>
      <c r="N137" s="186"/>
      <c r="O137" s="187"/>
      <c r="P137" s="202"/>
      <c r="S137"/>
      <c r="T137"/>
      <c r="U137"/>
      <c r="V137"/>
      <c r="W137"/>
      <c r="X137"/>
      <c r="Y137"/>
      <c r="Z137"/>
    </row>
    <row r="138" spans="1:26" s="205" customFormat="1" ht="15.75">
      <c r="A138" s="316"/>
      <c r="B138" s="317"/>
      <c r="C138" s="318"/>
      <c r="D138" s="198"/>
      <c r="E138" s="180"/>
      <c r="F138" s="188"/>
      <c r="G138" s="183"/>
      <c r="H138" s="183"/>
      <c r="I138" s="184"/>
      <c r="J138" s="183"/>
      <c r="K138" s="185"/>
      <c r="L138" s="186"/>
      <c r="M138" s="186"/>
      <c r="N138" s="186"/>
      <c r="O138" s="187"/>
      <c r="P138" s="202"/>
      <c r="S138"/>
      <c r="T138"/>
      <c r="U138"/>
      <c r="V138"/>
      <c r="W138"/>
      <c r="X138"/>
      <c r="Y138"/>
      <c r="Z138"/>
    </row>
    <row r="139" spans="1:26" s="205" customFormat="1" ht="15.75">
      <c r="A139" s="316"/>
      <c r="B139" s="317"/>
      <c r="C139" s="318"/>
      <c r="D139" s="198"/>
      <c r="E139" s="180"/>
      <c r="F139" s="179"/>
      <c r="G139" s="183"/>
      <c r="H139" s="183"/>
      <c r="I139" s="184"/>
      <c r="J139" s="183"/>
      <c r="K139" s="185"/>
      <c r="L139" s="186"/>
      <c r="M139" s="186"/>
      <c r="N139" s="186"/>
      <c r="O139" s="187"/>
      <c r="P139" s="202"/>
      <c r="S139"/>
      <c r="T139"/>
      <c r="U139"/>
      <c r="V139"/>
      <c r="W139"/>
      <c r="X139"/>
      <c r="Y139"/>
      <c r="Z139"/>
    </row>
    <row r="140" spans="1:26" s="205" customFormat="1" ht="15.75">
      <c r="A140" s="316"/>
      <c r="B140" s="317"/>
      <c r="C140" s="318"/>
      <c r="D140" s="198"/>
      <c r="E140" s="180"/>
      <c r="F140" s="179"/>
      <c r="G140" s="183"/>
      <c r="H140" s="183"/>
      <c r="I140" s="184"/>
      <c r="J140" s="183"/>
      <c r="K140" s="185"/>
      <c r="L140" s="186"/>
      <c r="M140" s="186"/>
      <c r="N140" s="186"/>
      <c r="O140" s="187"/>
      <c r="P140" s="202"/>
      <c r="S140"/>
      <c r="T140"/>
      <c r="U140"/>
      <c r="V140"/>
      <c r="W140"/>
      <c r="X140"/>
      <c r="Y140"/>
      <c r="Z140"/>
    </row>
    <row r="141" spans="1:26" s="205" customFormat="1" ht="15.75">
      <c r="A141" s="316"/>
      <c r="B141" s="317"/>
      <c r="C141" s="318"/>
      <c r="D141" s="198"/>
      <c r="E141" s="180"/>
      <c r="F141" s="179"/>
      <c r="G141" s="183"/>
      <c r="H141" s="183"/>
      <c r="I141" s="184"/>
      <c r="J141" s="183"/>
      <c r="K141" s="185"/>
      <c r="L141" s="186"/>
      <c r="M141" s="186"/>
      <c r="N141" s="186"/>
      <c r="O141" s="187"/>
      <c r="P141" s="202"/>
      <c r="S141"/>
      <c r="T141"/>
      <c r="U141"/>
      <c r="V141"/>
      <c r="W141"/>
      <c r="X141"/>
      <c r="Y141"/>
      <c r="Z141"/>
    </row>
    <row r="142" spans="1:26" s="205" customFormat="1" ht="15.75">
      <c r="A142" s="316"/>
      <c r="B142" s="317"/>
      <c r="C142" s="318"/>
      <c r="D142" s="198"/>
      <c r="E142" s="180"/>
      <c r="F142" s="179"/>
      <c r="G142" s="183"/>
      <c r="H142" s="183"/>
      <c r="I142" s="184"/>
      <c r="J142" s="183"/>
      <c r="K142" s="185"/>
      <c r="L142" s="186"/>
      <c r="M142" s="186"/>
      <c r="N142" s="186"/>
      <c r="O142" s="187"/>
      <c r="P142" s="202"/>
      <c r="S142"/>
      <c r="T142"/>
      <c r="U142"/>
      <c r="V142"/>
      <c r="W142"/>
      <c r="X142"/>
      <c r="Y142"/>
      <c r="Z142"/>
    </row>
    <row r="143" spans="1:26" s="205" customFormat="1" ht="15.75">
      <c r="A143" s="316"/>
      <c r="B143" s="317"/>
      <c r="C143" s="299"/>
      <c r="D143" s="198"/>
      <c r="E143" s="180"/>
      <c r="F143" s="188"/>
      <c r="G143" s="183"/>
      <c r="H143" s="201"/>
      <c r="I143" s="184"/>
      <c r="J143" s="183"/>
      <c r="K143" s="185"/>
      <c r="L143" s="186"/>
      <c r="M143" s="186"/>
      <c r="N143" s="186"/>
      <c r="O143" s="187"/>
      <c r="P143" s="202"/>
      <c r="S143"/>
      <c r="T143"/>
      <c r="U143"/>
      <c r="V143"/>
      <c r="W143"/>
      <c r="X143"/>
      <c r="Y143"/>
      <c r="Z143"/>
    </row>
    <row r="144" spans="1:26" ht="15.75">
      <c r="A144" s="316"/>
      <c r="B144" s="317"/>
      <c r="C144" s="299"/>
      <c r="D144" s="198"/>
      <c r="E144" s="180"/>
      <c r="F144" s="188"/>
      <c r="G144" s="183"/>
      <c r="H144" s="201"/>
      <c r="I144" s="184"/>
      <c r="J144" s="183"/>
      <c r="K144" s="185"/>
      <c r="L144" s="186"/>
      <c r="M144" s="186"/>
      <c r="N144" s="186"/>
      <c r="O144" s="187"/>
      <c r="P144" s="202"/>
      <c r="S144"/>
      <c r="T144"/>
      <c r="U144"/>
      <c r="V144"/>
      <c r="W144"/>
      <c r="X144"/>
      <c r="Y144"/>
      <c r="Z144"/>
    </row>
    <row r="145" spans="1:26" s="205" customFormat="1" ht="15.75">
      <c r="A145" s="316"/>
      <c r="B145" s="317"/>
      <c r="C145" s="299"/>
      <c r="D145" s="198"/>
      <c r="E145" s="180"/>
      <c r="F145" s="188"/>
      <c r="G145" s="183"/>
      <c r="H145" s="201"/>
      <c r="I145" s="184"/>
      <c r="J145" s="183"/>
      <c r="K145" s="185"/>
      <c r="L145" s="186"/>
      <c r="M145" s="186"/>
      <c r="N145" s="186"/>
      <c r="O145" s="187"/>
      <c r="P145" s="202"/>
      <c r="S145"/>
      <c r="T145"/>
      <c r="U145"/>
      <c r="V145"/>
      <c r="W145"/>
      <c r="X145"/>
      <c r="Y145"/>
      <c r="Z145"/>
    </row>
    <row r="146" spans="1:26" s="205" customFormat="1" ht="15.75">
      <c r="A146" s="316"/>
      <c r="B146" s="317"/>
      <c r="C146" s="299"/>
      <c r="D146" s="198"/>
      <c r="E146" s="180"/>
      <c r="F146" s="188"/>
      <c r="G146" s="183"/>
      <c r="H146" s="201"/>
      <c r="I146" s="184"/>
      <c r="J146" s="183"/>
      <c r="K146" s="185"/>
      <c r="L146" s="186"/>
      <c r="M146" s="186"/>
      <c r="N146" s="186"/>
      <c r="O146" s="187"/>
      <c r="P146" s="202"/>
      <c r="S146"/>
      <c r="T146"/>
      <c r="U146"/>
      <c r="V146"/>
      <c r="W146"/>
      <c r="X146"/>
      <c r="Y146"/>
      <c r="Z146"/>
    </row>
    <row r="147" spans="1:26" s="205" customFormat="1" ht="15.75">
      <c r="A147" s="316"/>
      <c r="B147" s="317"/>
      <c r="C147" s="299"/>
      <c r="D147" s="198"/>
      <c r="E147" s="180"/>
      <c r="F147" s="188"/>
      <c r="G147" s="183"/>
      <c r="H147" s="201"/>
      <c r="I147" s="184"/>
      <c r="J147" s="183"/>
      <c r="K147" s="185"/>
      <c r="L147" s="186"/>
      <c r="M147" s="186"/>
      <c r="N147" s="186"/>
      <c r="O147" s="187"/>
      <c r="P147" s="202"/>
      <c r="S147"/>
      <c r="T147"/>
      <c r="U147"/>
      <c r="V147"/>
      <c r="W147"/>
      <c r="X147"/>
      <c r="Y147"/>
      <c r="Z147"/>
    </row>
    <row r="148" spans="1:26" s="205" customFormat="1" ht="15.75">
      <c r="A148" s="316"/>
      <c r="B148" s="317"/>
      <c r="C148" s="299"/>
      <c r="D148" s="198"/>
      <c r="E148" s="180"/>
      <c r="F148" s="188"/>
      <c r="G148" s="183"/>
      <c r="H148" s="201"/>
      <c r="I148" s="184"/>
      <c r="J148" s="183"/>
      <c r="K148" s="185"/>
      <c r="L148" s="186"/>
      <c r="M148" s="186"/>
      <c r="N148" s="186"/>
      <c r="O148" s="187"/>
      <c r="P148" s="202"/>
      <c r="S148"/>
      <c r="T148"/>
      <c r="U148"/>
      <c r="V148"/>
      <c r="W148"/>
      <c r="X148"/>
      <c r="Y148"/>
      <c r="Z148"/>
    </row>
    <row r="149" spans="1:26" s="205" customFormat="1" ht="15.75">
      <c r="A149" s="316"/>
      <c r="B149" s="317"/>
      <c r="C149" s="299"/>
      <c r="D149" s="198"/>
      <c r="E149" s="180"/>
      <c r="F149" s="188"/>
      <c r="G149" s="183"/>
      <c r="H149" s="201"/>
      <c r="I149" s="184"/>
      <c r="J149" s="183"/>
      <c r="K149" s="185"/>
      <c r="L149" s="186"/>
      <c r="M149" s="186"/>
      <c r="N149" s="186"/>
      <c r="O149" s="187"/>
      <c r="P149" s="202"/>
      <c r="S149"/>
      <c r="T149"/>
      <c r="U149"/>
      <c r="V149"/>
      <c r="W149"/>
      <c r="X149"/>
      <c r="Y149"/>
      <c r="Z149"/>
    </row>
    <row r="150" spans="1:26" s="205" customFormat="1" ht="15.75">
      <c r="A150" s="316"/>
      <c r="B150" s="317"/>
      <c r="C150" s="299"/>
      <c r="D150" s="198"/>
      <c r="E150" s="180"/>
      <c r="F150" s="188"/>
      <c r="G150" s="183"/>
      <c r="H150" s="201"/>
      <c r="I150" s="184"/>
      <c r="J150" s="183"/>
      <c r="K150" s="185"/>
      <c r="L150" s="186"/>
      <c r="M150" s="186"/>
      <c r="N150" s="186"/>
      <c r="O150" s="187"/>
      <c r="P150" s="202"/>
      <c r="S150"/>
      <c r="T150"/>
      <c r="U150"/>
      <c r="V150"/>
      <c r="W150"/>
      <c r="X150"/>
      <c r="Y150"/>
      <c r="Z150"/>
    </row>
    <row r="151" spans="1:26" s="205" customFormat="1" ht="15.75">
      <c r="A151" s="316"/>
      <c r="B151" s="317"/>
      <c r="C151" s="299"/>
      <c r="D151" s="198"/>
      <c r="E151" s="180"/>
      <c r="F151" s="188"/>
      <c r="G151" s="183"/>
      <c r="H151" s="201"/>
      <c r="I151" s="184"/>
      <c r="J151" s="183"/>
      <c r="K151" s="185"/>
      <c r="L151" s="186"/>
      <c r="M151" s="186"/>
      <c r="N151" s="186"/>
      <c r="O151" s="187"/>
      <c r="P151" s="202"/>
      <c r="S151"/>
      <c r="T151"/>
      <c r="U151"/>
      <c r="V151"/>
      <c r="W151"/>
      <c r="X151"/>
      <c r="Y151"/>
      <c r="Z151"/>
    </row>
    <row r="152" spans="1:26" ht="15.75">
      <c r="A152" s="316"/>
      <c r="B152" s="317"/>
      <c r="C152" s="299"/>
      <c r="D152" s="198"/>
      <c r="E152" s="180"/>
      <c r="F152" s="188"/>
      <c r="G152" s="183"/>
      <c r="H152" s="201"/>
      <c r="I152" s="184"/>
      <c r="J152" s="183"/>
      <c r="K152" s="185"/>
      <c r="L152" s="186"/>
      <c r="M152" s="186"/>
      <c r="N152" s="186"/>
      <c r="O152" s="187"/>
      <c r="P152" s="202"/>
      <c r="S152"/>
      <c r="T152"/>
      <c r="U152"/>
      <c r="V152"/>
      <c r="W152"/>
      <c r="X152"/>
      <c r="Y152"/>
      <c r="Z152"/>
    </row>
    <row r="153" spans="1:26" ht="15.75">
      <c r="A153" s="316"/>
      <c r="C153" s="299"/>
      <c r="D153" s="198"/>
      <c r="E153" s="327"/>
      <c r="F153" s="328"/>
      <c r="G153" s="183"/>
      <c r="H153" s="183"/>
      <c r="I153" s="184"/>
      <c r="J153" s="183"/>
      <c r="K153" s="185"/>
      <c r="L153" s="186"/>
      <c r="M153" s="186"/>
      <c r="N153" s="186"/>
      <c r="O153" s="187"/>
      <c r="P153" s="202"/>
      <c r="S153"/>
      <c r="T153"/>
      <c r="U153"/>
      <c r="V153"/>
      <c r="W153"/>
      <c r="X153"/>
      <c r="Y153"/>
      <c r="Z153"/>
    </row>
    <row r="154" spans="1:26" s="205" customFormat="1" ht="15.75">
      <c r="A154" s="316"/>
      <c r="B154" s="317"/>
      <c r="C154" s="318"/>
      <c r="D154" s="198"/>
      <c r="E154" s="180"/>
      <c r="F154" s="188"/>
      <c r="G154" s="183"/>
      <c r="H154" s="183"/>
      <c r="I154" s="184"/>
      <c r="J154" s="183"/>
      <c r="K154" s="185"/>
      <c r="L154" s="186"/>
      <c r="M154" s="186"/>
      <c r="N154" s="186"/>
      <c r="O154" s="187"/>
      <c r="P154" s="202"/>
      <c r="S154"/>
      <c r="T154"/>
      <c r="U154"/>
      <c r="V154"/>
      <c r="W154"/>
      <c r="X154"/>
      <c r="Y154"/>
      <c r="Z154"/>
    </row>
    <row r="155" spans="1:26" s="205" customFormat="1" ht="15.75">
      <c r="A155" s="316"/>
      <c r="B155" s="317"/>
      <c r="C155" s="318"/>
      <c r="D155" s="198"/>
      <c r="E155" s="180"/>
      <c r="F155" s="188"/>
      <c r="G155" s="183"/>
      <c r="H155" s="183"/>
      <c r="I155" s="184"/>
      <c r="J155" s="183"/>
      <c r="K155" s="185"/>
      <c r="L155" s="186"/>
      <c r="M155" s="186"/>
      <c r="N155" s="186"/>
      <c r="O155" s="187"/>
      <c r="P155" s="202"/>
      <c r="S155"/>
      <c r="T155"/>
      <c r="U155"/>
      <c r="V155"/>
      <c r="W155"/>
      <c r="X155"/>
      <c r="Y155"/>
      <c r="Z155"/>
    </row>
    <row r="156" spans="1:26" s="205" customFormat="1" ht="15.75">
      <c r="A156" s="316"/>
      <c r="B156" s="317"/>
      <c r="C156" s="318"/>
      <c r="D156" s="198"/>
      <c r="E156" s="180"/>
      <c r="F156" s="188"/>
      <c r="G156" s="183"/>
      <c r="H156" s="183"/>
      <c r="I156" s="184"/>
      <c r="J156" s="183"/>
      <c r="K156" s="185"/>
      <c r="L156" s="186"/>
      <c r="M156" s="186"/>
      <c r="N156" s="186"/>
      <c r="O156" s="187"/>
      <c r="P156" s="202"/>
      <c r="S156"/>
      <c r="T156"/>
      <c r="U156"/>
      <c r="V156"/>
      <c r="W156"/>
      <c r="X156"/>
      <c r="Y156"/>
      <c r="Z156"/>
    </row>
    <row r="157" spans="1:26" s="205" customFormat="1" ht="15.75">
      <c r="A157" s="316"/>
      <c r="B157" s="197"/>
      <c r="C157" s="197"/>
      <c r="D157" s="198"/>
      <c r="E157" s="327"/>
      <c r="F157" s="335"/>
      <c r="G157" s="183"/>
      <c r="H157" s="183"/>
      <c r="I157" s="184"/>
      <c r="J157" s="183"/>
      <c r="K157" s="185"/>
      <c r="L157" s="186"/>
      <c r="M157" s="186"/>
      <c r="N157" s="186"/>
      <c r="O157" s="187"/>
      <c r="P157" s="202"/>
      <c r="S157"/>
      <c r="T157"/>
      <c r="U157"/>
      <c r="V157"/>
      <c r="W157"/>
      <c r="X157"/>
      <c r="Y157"/>
      <c r="Z157"/>
    </row>
    <row r="158" spans="1:26" s="205" customFormat="1" ht="15.75">
      <c r="A158" s="316"/>
      <c r="B158" s="197"/>
      <c r="C158" s="197"/>
      <c r="D158" s="198"/>
      <c r="E158" s="327"/>
      <c r="F158" s="328"/>
      <c r="G158" s="183"/>
      <c r="H158" s="183"/>
      <c r="I158" s="184"/>
      <c r="J158" s="183"/>
      <c r="K158" s="185"/>
      <c r="L158" s="186"/>
      <c r="M158" s="186"/>
      <c r="N158" s="186"/>
      <c r="O158" s="187"/>
      <c r="P158" s="202"/>
      <c r="S158"/>
      <c r="T158"/>
      <c r="U158"/>
      <c r="V158"/>
      <c r="W158"/>
      <c r="X158"/>
      <c r="Y158"/>
      <c r="Z158"/>
    </row>
    <row r="159" spans="1:26" s="205" customFormat="1" ht="15.75">
      <c r="A159" s="316"/>
      <c r="B159" s="317"/>
      <c r="C159" s="317"/>
      <c r="D159" s="198"/>
      <c r="E159" s="180"/>
      <c r="F159" s="188"/>
      <c r="G159" s="183"/>
      <c r="H159" s="183"/>
      <c r="I159" s="184"/>
      <c r="J159" s="183"/>
      <c r="K159" s="185"/>
      <c r="L159" s="186"/>
      <c r="M159" s="186"/>
      <c r="N159" s="186"/>
      <c r="O159" s="187"/>
      <c r="P159" s="202"/>
      <c r="S159"/>
      <c r="T159"/>
      <c r="U159"/>
      <c r="V159"/>
      <c r="W159"/>
      <c r="X159"/>
      <c r="Y159"/>
      <c r="Z159"/>
    </row>
    <row r="160" spans="1:26" s="205" customFormat="1" ht="15.75">
      <c r="A160" s="316"/>
      <c r="B160" s="317"/>
      <c r="C160" s="317"/>
      <c r="D160" s="198"/>
      <c r="E160" s="180"/>
      <c r="F160" s="188"/>
      <c r="G160" s="183"/>
      <c r="H160" s="183"/>
      <c r="I160" s="184"/>
      <c r="J160" s="183"/>
      <c r="K160" s="185"/>
      <c r="L160" s="186"/>
      <c r="M160" s="186"/>
      <c r="N160" s="186"/>
      <c r="O160" s="187"/>
      <c r="P160" s="202"/>
      <c r="S160"/>
      <c r="T160"/>
      <c r="U160"/>
      <c r="V160"/>
      <c r="W160"/>
      <c r="X160"/>
      <c r="Y160"/>
      <c r="Z160"/>
    </row>
    <row r="161" spans="1:26" s="205" customFormat="1" ht="15.75">
      <c r="A161" s="316"/>
      <c r="B161" s="197"/>
      <c r="C161" s="317"/>
      <c r="D161" s="198"/>
      <c r="E161" s="327"/>
      <c r="F161" s="328"/>
      <c r="G161" s="183"/>
      <c r="H161" s="183"/>
      <c r="I161" s="184"/>
      <c r="J161" s="183"/>
      <c r="K161" s="185"/>
      <c r="L161" s="186"/>
      <c r="M161" s="186"/>
      <c r="N161" s="186"/>
      <c r="O161" s="187"/>
      <c r="P161" s="202"/>
      <c r="S161"/>
      <c r="T161"/>
      <c r="U161"/>
      <c r="V161"/>
      <c r="W161"/>
      <c r="X161"/>
      <c r="Y161"/>
      <c r="Z161"/>
    </row>
    <row r="162" spans="1:26" s="205" customFormat="1" ht="15.75">
      <c r="A162" s="316"/>
      <c r="B162" s="197"/>
      <c r="C162" s="197"/>
      <c r="D162" s="198"/>
      <c r="E162" s="330"/>
      <c r="F162" s="328"/>
      <c r="G162" s="183"/>
      <c r="H162" s="183"/>
      <c r="I162" s="184"/>
      <c r="J162" s="183"/>
      <c r="K162" s="185"/>
      <c r="L162" s="186"/>
      <c r="M162" s="186"/>
      <c r="N162" s="186"/>
      <c r="O162" s="187"/>
      <c r="P162" s="202"/>
      <c r="S162"/>
      <c r="T162"/>
      <c r="U162"/>
      <c r="V162"/>
      <c r="W162"/>
      <c r="X162"/>
      <c r="Y162"/>
      <c r="Z162"/>
    </row>
    <row r="163" spans="1:26" s="205" customFormat="1" ht="15.75">
      <c r="A163" s="316"/>
      <c r="B163" s="317"/>
      <c r="C163" s="317"/>
      <c r="D163" s="198"/>
      <c r="E163" s="200"/>
      <c r="F163" s="199"/>
      <c r="G163" s="183"/>
      <c r="H163" s="336"/>
      <c r="I163" s="331"/>
      <c r="J163" s="183"/>
      <c r="K163" s="185"/>
      <c r="L163" s="332"/>
      <c r="M163" s="332"/>
      <c r="N163" s="186"/>
      <c r="O163" s="187"/>
      <c r="P163" s="202"/>
      <c r="S163"/>
      <c r="T163"/>
      <c r="U163"/>
      <c r="V163"/>
      <c r="W163"/>
      <c r="X163"/>
      <c r="Y163"/>
      <c r="Z163"/>
    </row>
    <row r="164" spans="1:26" s="205" customFormat="1" ht="15.75">
      <c r="A164" s="316"/>
      <c r="B164" s="317"/>
      <c r="C164" s="317"/>
      <c r="D164" s="198"/>
      <c r="E164" s="180"/>
      <c r="F164" s="188"/>
      <c r="G164" s="183"/>
      <c r="H164" s="183"/>
      <c r="I164" s="184"/>
      <c r="J164" s="183"/>
      <c r="K164" s="185"/>
      <c r="L164" s="186"/>
      <c r="M164" s="186"/>
      <c r="N164" s="186"/>
      <c r="O164" s="187"/>
      <c r="P164" s="202"/>
      <c r="S164"/>
      <c r="T164"/>
      <c r="U164"/>
      <c r="V164"/>
      <c r="W164"/>
      <c r="X164"/>
      <c r="Y164"/>
      <c r="Z164"/>
    </row>
    <row r="165" spans="1:26" s="205" customFormat="1" ht="15.75">
      <c r="A165" s="316"/>
      <c r="B165" s="197"/>
      <c r="C165" s="197"/>
      <c r="D165" s="198"/>
      <c r="E165" s="330"/>
      <c r="F165" s="328"/>
      <c r="G165" s="183"/>
      <c r="H165" s="183"/>
      <c r="I165" s="184"/>
      <c r="J165" s="183"/>
      <c r="K165" s="185"/>
      <c r="L165" s="186"/>
      <c r="M165" s="186"/>
      <c r="N165" s="186"/>
      <c r="O165" s="187"/>
      <c r="P165" s="202"/>
      <c r="S165"/>
      <c r="T165"/>
      <c r="U165"/>
      <c r="V165"/>
      <c r="W165"/>
      <c r="X165"/>
      <c r="Y165"/>
      <c r="Z165"/>
    </row>
    <row r="166" spans="1:26" s="205" customFormat="1" ht="15.75">
      <c r="A166" s="316"/>
      <c r="B166" s="197"/>
      <c r="C166" s="197"/>
      <c r="D166" s="198"/>
      <c r="E166" s="330"/>
      <c r="F166" s="328"/>
      <c r="G166" s="183"/>
      <c r="H166" s="183"/>
      <c r="I166" s="184"/>
      <c r="J166" s="183"/>
      <c r="K166" s="185"/>
      <c r="L166" s="186"/>
      <c r="M166" s="186"/>
      <c r="N166" s="186"/>
      <c r="O166" s="187"/>
      <c r="P166" s="202"/>
      <c r="S166"/>
      <c r="T166"/>
      <c r="U166"/>
      <c r="V166"/>
      <c r="W166"/>
      <c r="X166"/>
      <c r="Y166"/>
      <c r="Z166"/>
    </row>
    <row r="167" spans="1:26" s="205" customFormat="1" ht="15.75">
      <c r="A167" s="316"/>
      <c r="B167" s="197"/>
      <c r="C167" s="197"/>
      <c r="D167" s="198"/>
      <c r="E167" s="330"/>
      <c r="F167" s="328"/>
      <c r="G167" s="183"/>
      <c r="H167" s="183"/>
      <c r="I167" s="184"/>
      <c r="J167" s="183"/>
      <c r="K167" s="185"/>
      <c r="L167" s="186"/>
      <c r="M167" s="186"/>
      <c r="N167" s="186"/>
      <c r="O167" s="187"/>
      <c r="P167" s="202"/>
      <c r="S167"/>
      <c r="T167"/>
      <c r="U167"/>
      <c r="V167"/>
      <c r="W167"/>
      <c r="X167"/>
      <c r="Y167"/>
      <c r="Z167"/>
    </row>
    <row r="168" spans="1:26" s="205" customFormat="1" ht="15.75">
      <c r="A168" s="316"/>
      <c r="B168" s="197"/>
      <c r="C168" s="197"/>
      <c r="D168" s="198"/>
      <c r="E168" s="330"/>
      <c r="F168" s="328"/>
      <c r="G168" s="183"/>
      <c r="H168" s="183"/>
      <c r="I168" s="184"/>
      <c r="J168" s="183"/>
      <c r="K168" s="185"/>
      <c r="L168" s="186"/>
      <c r="M168" s="186"/>
      <c r="N168" s="186"/>
      <c r="O168" s="187"/>
      <c r="P168" s="202"/>
      <c r="S168"/>
      <c r="T168"/>
      <c r="U168"/>
      <c r="V168"/>
      <c r="W168"/>
      <c r="X168"/>
      <c r="Y168"/>
      <c r="Z168"/>
    </row>
    <row r="169" spans="1:26" s="205" customFormat="1" ht="15.75">
      <c r="A169" s="316"/>
      <c r="B169" s="197"/>
      <c r="C169" s="197"/>
      <c r="D169" s="198"/>
      <c r="E169" s="200"/>
      <c r="F169" s="199"/>
      <c r="G169" s="183"/>
      <c r="H169" s="183"/>
      <c r="I169" s="184"/>
      <c r="J169" s="183"/>
      <c r="K169" s="185"/>
      <c r="L169" s="332"/>
      <c r="M169" s="332"/>
      <c r="N169" s="186"/>
      <c r="O169" s="187"/>
      <c r="P169" s="202"/>
      <c r="S169"/>
      <c r="T169"/>
      <c r="U169"/>
      <c r="V169"/>
      <c r="W169"/>
      <c r="X169"/>
      <c r="Y169"/>
      <c r="Z169"/>
    </row>
    <row r="170" spans="1:26" ht="15.75">
      <c r="A170" s="316"/>
      <c r="B170" s="317"/>
      <c r="C170" s="317"/>
      <c r="D170" s="198"/>
      <c r="E170" s="180"/>
      <c r="F170" s="188"/>
      <c r="G170" s="183"/>
      <c r="H170" s="183"/>
      <c r="I170" s="184"/>
      <c r="J170" s="183"/>
      <c r="K170" s="185"/>
      <c r="L170" s="186"/>
      <c r="M170" s="186"/>
      <c r="N170" s="186"/>
      <c r="O170" s="187"/>
      <c r="P170" s="202"/>
      <c r="S170"/>
      <c r="T170"/>
      <c r="U170"/>
      <c r="V170"/>
      <c r="W170"/>
      <c r="X170"/>
      <c r="Y170"/>
      <c r="Z170"/>
    </row>
    <row r="171" spans="1:26" s="205" customFormat="1" ht="15.75">
      <c r="A171" s="316"/>
      <c r="B171" s="197"/>
      <c r="C171" s="197"/>
      <c r="D171" s="198"/>
      <c r="E171" s="327"/>
      <c r="F171" s="328"/>
      <c r="G171" s="183"/>
      <c r="H171" s="183"/>
      <c r="I171" s="184"/>
      <c r="J171" s="183"/>
      <c r="K171" s="185"/>
      <c r="L171" s="186"/>
      <c r="M171" s="186"/>
      <c r="N171" s="186"/>
      <c r="O171" s="187"/>
      <c r="P171" s="202"/>
      <c r="S171"/>
      <c r="T171"/>
      <c r="U171"/>
      <c r="V171"/>
      <c r="W171"/>
      <c r="X171"/>
      <c r="Y171"/>
      <c r="Z171"/>
    </row>
    <row r="172" spans="1:26" s="205" customFormat="1" ht="15.75">
      <c r="A172" s="316"/>
      <c r="B172" s="197"/>
      <c r="C172" s="197"/>
      <c r="D172" s="198"/>
      <c r="E172" s="330"/>
      <c r="F172" s="328"/>
      <c r="G172" s="183"/>
      <c r="H172" s="183"/>
      <c r="I172" s="184"/>
      <c r="J172" s="183"/>
      <c r="K172" s="185"/>
      <c r="L172" s="186"/>
      <c r="M172" s="186"/>
      <c r="N172" s="186"/>
      <c r="O172" s="187"/>
      <c r="P172" s="202"/>
      <c r="S172"/>
      <c r="T172"/>
      <c r="U172"/>
      <c r="V172"/>
      <c r="W172"/>
      <c r="X172"/>
      <c r="Y172"/>
      <c r="Z172"/>
    </row>
    <row r="173" spans="1:26" s="205" customFormat="1" ht="15.75">
      <c r="A173" s="316"/>
      <c r="B173" s="317"/>
      <c r="C173" s="317"/>
      <c r="D173" s="198"/>
      <c r="E173" s="180"/>
      <c r="F173" s="188"/>
      <c r="G173" s="183"/>
      <c r="H173" s="183"/>
      <c r="I173" s="184"/>
      <c r="J173" s="183"/>
      <c r="K173" s="185"/>
      <c r="L173" s="186"/>
      <c r="M173" s="186"/>
      <c r="N173" s="186"/>
      <c r="O173" s="187"/>
      <c r="P173" s="202"/>
      <c r="S173"/>
      <c r="T173"/>
      <c r="U173"/>
      <c r="V173"/>
      <c r="W173"/>
      <c r="X173"/>
      <c r="Y173"/>
      <c r="Z173"/>
    </row>
    <row r="174" spans="1:26" s="205" customFormat="1" ht="15.75">
      <c r="A174" s="316"/>
      <c r="B174" s="317"/>
      <c r="C174" s="317"/>
      <c r="D174" s="198"/>
      <c r="E174" s="330"/>
      <c r="F174" s="328"/>
      <c r="G174" s="183"/>
      <c r="H174" s="183"/>
      <c r="I174" s="184"/>
      <c r="J174" s="183"/>
      <c r="K174" s="185"/>
      <c r="L174" s="186"/>
      <c r="M174" s="186"/>
      <c r="N174" s="186"/>
      <c r="O174" s="187"/>
      <c r="P174" s="202"/>
      <c r="S174"/>
      <c r="T174"/>
      <c r="U174"/>
      <c r="V174"/>
      <c r="W174"/>
      <c r="X174"/>
      <c r="Y174"/>
      <c r="Z174"/>
    </row>
    <row r="175" spans="1:26" s="205" customFormat="1" ht="15.75">
      <c r="A175" s="316"/>
      <c r="B175" s="317"/>
      <c r="C175" s="299"/>
      <c r="D175" s="198"/>
      <c r="E175" s="200"/>
      <c r="F175" s="199"/>
      <c r="G175" s="183"/>
      <c r="H175" s="201"/>
      <c r="I175" s="184"/>
      <c r="J175" s="183"/>
      <c r="K175" s="185"/>
      <c r="L175" s="186"/>
      <c r="M175" s="186"/>
      <c r="N175" s="332"/>
      <c r="O175" s="187"/>
      <c r="P175" s="202"/>
      <c r="S175"/>
      <c r="T175"/>
      <c r="U175"/>
      <c r="V175"/>
      <c r="W175"/>
      <c r="X175"/>
      <c r="Y175"/>
      <c r="Z175"/>
    </row>
    <row r="176" spans="1:26" s="205" customFormat="1" ht="15.75">
      <c r="A176" s="316"/>
      <c r="B176" s="317"/>
      <c r="C176" s="299"/>
      <c r="D176" s="198"/>
      <c r="E176" s="200"/>
      <c r="F176" s="199"/>
      <c r="G176" s="183"/>
      <c r="H176" s="201"/>
      <c r="I176" s="184"/>
      <c r="J176" s="183"/>
      <c r="K176" s="185"/>
      <c r="L176" s="186"/>
      <c r="M176" s="186"/>
      <c r="N176" s="332"/>
      <c r="O176" s="187"/>
      <c r="P176" s="202"/>
      <c r="S176"/>
      <c r="T176"/>
      <c r="U176"/>
      <c r="V176"/>
      <c r="W176"/>
      <c r="X176"/>
      <c r="Y176"/>
      <c r="Z176"/>
    </row>
    <row r="177" spans="1:26" s="205" customFormat="1" ht="15.75">
      <c r="A177" s="316"/>
      <c r="B177" s="317"/>
      <c r="C177" s="299"/>
      <c r="D177" s="198"/>
      <c r="E177" s="180"/>
      <c r="F177" s="188"/>
      <c r="G177" s="183"/>
      <c r="H177" s="201"/>
      <c r="I177" s="184"/>
      <c r="J177" s="183"/>
      <c r="K177" s="185"/>
      <c r="L177" s="186"/>
      <c r="M177" s="186"/>
      <c r="N177" s="186"/>
      <c r="O177" s="187"/>
      <c r="P177" s="202"/>
      <c r="S177"/>
      <c r="T177"/>
      <c r="U177"/>
      <c r="V177"/>
      <c r="W177"/>
      <c r="X177"/>
      <c r="Y177"/>
      <c r="Z177"/>
    </row>
    <row r="178" spans="1:26" s="205" customFormat="1" ht="15.75">
      <c r="A178" s="316"/>
      <c r="B178" s="317"/>
      <c r="C178" s="299"/>
      <c r="D178" s="198"/>
      <c r="E178" s="180"/>
      <c r="F178" s="179"/>
      <c r="G178" s="183"/>
      <c r="H178" s="201"/>
      <c r="I178" s="184"/>
      <c r="J178" s="183"/>
      <c r="K178" s="185"/>
      <c r="L178" s="186"/>
      <c r="M178" s="186"/>
      <c r="N178" s="186"/>
      <c r="O178" s="187"/>
      <c r="P178" s="202"/>
      <c r="S178"/>
      <c r="T178"/>
      <c r="U178"/>
      <c r="V178"/>
      <c r="W178"/>
      <c r="X178"/>
      <c r="Y178"/>
      <c r="Z178"/>
    </row>
    <row r="179" spans="1:26" s="205" customFormat="1" ht="15.75">
      <c r="A179" s="316"/>
      <c r="B179" s="197"/>
      <c r="C179" s="197"/>
      <c r="D179" s="198"/>
      <c r="E179" s="327"/>
      <c r="F179" s="328"/>
      <c r="G179" s="183"/>
      <c r="H179" s="183"/>
      <c r="I179" s="184"/>
      <c r="J179" s="183"/>
      <c r="K179" s="185"/>
      <c r="L179" s="186"/>
      <c r="M179" s="186"/>
      <c r="N179" s="186"/>
      <c r="O179" s="187"/>
      <c r="P179" s="202"/>
      <c r="S179"/>
      <c r="T179"/>
      <c r="U179"/>
      <c r="V179"/>
      <c r="W179"/>
      <c r="X179"/>
      <c r="Y179"/>
      <c r="Z179"/>
    </row>
    <row r="180" spans="1:26" s="205" customFormat="1" ht="15.75">
      <c r="A180" s="316"/>
      <c r="B180" s="317"/>
      <c r="C180" s="197"/>
      <c r="D180" s="198"/>
      <c r="E180" s="180"/>
      <c r="F180" s="188"/>
      <c r="G180" s="183"/>
      <c r="H180" s="183"/>
      <c r="I180" s="184"/>
      <c r="J180" s="183"/>
      <c r="K180" s="185"/>
      <c r="L180" s="186"/>
      <c r="M180" s="186"/>
      <c r="N180" s="186"/>
      <c r="O180" s="187"/>
      <c r="P180" s="202"/>
      <c r="S180"/>
      <c r="T180"/>
      <c r="U180"/>
      <c r="V180"/>
      <c r="W180"/>
      <c r="X180"/>
      <c r="Y180"/>
      <c r="Z180"/>
    </row>
    <row r="181" spans="1:26" s="205" customFormat="1" ht="15.75">
      <c r="A181" s="316"/>
      <c r="B181" s="317"/>
      <c r="C181" s="197"/>
      <c r="D181" s="198"/>
      <c r="E181" s="180"/>
      <c r="F181" s="188"/>
      <c r="G181" s="183"/>
      <c r="H181" s="183"/>
      <c r="I181" s="184"/>
      <c r="J181" s="183"/>
      <c r="K181" s="185"/>
      <c r="L181" s="186"/>
      <c r="M181" s="186"/>
      <c r="N181" s="186"/>
      <c r="O181" s="187"/>
      <c r="P181" s="202"/>
      <c r="S181"/>
      <c r="T181"/>
      <c r="U181"/>
      <c r="V181"/>
      <c r="W181"/>
      <c r="X181"/>
      <c r="Y181"/>
      <c r="Z181"/>
    </row>
    <row r="182" spans="1:26" s="205" customFormat="1" ht="15.75">
      <c r="A182" s="316"/>
      <c r="B182" s="317"/>
      <c r="C182" s="317"/>
      <c r="D182" s="198"/>
      <c r="E182" s="180"/>
      <c r="F182" s="188"/>
      <c r="G182" s="183"/>
      <c r="H182" s="183"/>
      <c r="I182" s="184"/>
      <c r="J182" s="183"/>
      <c r="K182" s="185"/>
      <c r="L182" s="186"/>
      <c r="M182" s="186"/>
      <c r="N182" s="186"/>
      <c r="O182" s="187"/>
      <c r="P182" s="202"/>
      <c r="S182"/>
      <c r="T182"/>
      <c r="U182"/>
      <c r="V182"/>
      <c r="W182"/>
      <c r="X182"/>
      <c r="Y182"/>
      <c r="Z182"/>
    </row>
    <row r="183" spans="1:26" s="205" customFormat="1" ht="15.75">
      <c r="A183" s="316"/>
      <c r="B183" s="317"/>
      <c r="C183" s="317"/>
      <c r="D183" s="198"/>
      <c r="E183" s="180"/>
      <c r="F183" s="188"/>
      <c r="G183" s="183"/>
      <c r="H183" s="183"/>
      <c r="I183" s="184"/>
      <c r="J183" s="183"/>
      <c r="K183" s="185"/>
      <c r="L183" s="186"/>
      <c r="M183" s="186"/>
      <c r="N183" s="186"/>
      <c r="O183" s="187"/>
      <c r="P183" s="202"/>
      <c r="S183"/>
      <c r="T183"/>
      <c r="U183"/>
      <c r="V183"/>
      <c r="W183"/>
      <c r="X183"/>
      <c r="Y183"/>
      <c r="Z183"/>
    </row>
    <row r="184" spans="1:26" ht="15.75">
      <c r="A184" s="316"/>
      <c r="C184" s="299"/>
      <c r="D184" s="198"/>
      <c r="E184" s="180"/>
      <c r="F184" s="188"/>
      <c r="G184" s="183"/>
      <c r="H184" s="183"/>
      <c r="I184" s="184"/>
      <c r="J184" s="183"/>
      <c r="K184" s="185"/>
      <c r="L184" s="186"/>
      <c r="M184" s="186"/>
      <c r="N184" s="186"/>
      <c r="O184" s="187"/>
      <c r="P184" s="202"/>
      <c r="S184"/>
      <c r="T184"/>
      <c r="U184"/>
      <c r="V184"/>
      <c r="W184"/>
      <c r="X184"/>
      <c r="Y184"/>
      <c r="Z184"/>
    </row>
    <row r="185" spans="1:26" s="205" customFormat="1" ht="15.75">
      <c r="A185" s="316"/>
      <c r="B185" s="197"/>
      <c r="C185" s="299"/>
      <c r="D185" s="198"/>
      <c r="E185" s="180"/>
      <c r="F185" s="188"/>
      <c r="G185" s="183"/>
      <c r="H185" s="183"/>
      <c r="I185" s="184"/>
      <c r="J185" s="183"/>
      <c r="K185" s="185"/>
      <c r="L185" s="186"/>
      <c r="M185" s="186"/>
      <c r="N185" s="186"/>
      <c r="O185" s="187"/>
      <c r="P185" s="202"/>
      <c r="S185"/>
      <c r="T185"/>
      <c r="U185"/>
      <c r="V185"/>
      <c r="W185"/>
      <c r="X185"/>
      <c r="Y185"/>
      <c r="Z185"/>
    </row>
    <row r="186" spans="1:26" s="205" customFormat="1" ht="15.75">
      <c r="A186" s="316"/>
      <c r="B186" s="197"/>
      <c r="C186" s="299"/>
      <c r="D186" s="198"/>
      <c r="E186" s="180"/>
      <c r="F186" s="188"/>
      <c r="G186" s="183"/>
      <c r="H186" s="183"/>
      <c r="I186" s="184"/>
      <c r="J186" s="183"/>
      <c r="K186" s="185"/>
      <c r="L186" s="186"/>
      <c r="M186" s="186"/>
      <c r="N186" s="186"/>
      <c r="O186" s="187"/>
      <c r="P186" s="202"/>
      <c r="S186"/>
      <c r="T186"/>
      <c r="U186"/>
      <c r="V186"/>
      <c r="W186"/>
      <c r="X186"/>
      <c r="Y186"/>
      <c r="Z186"/>
    </row>
    <row r="187" spans="1:26" s="205" customFormat="1" ht="15.75">
      <c r="A187" s="316"/>
      <c r="B187" s="197"/>
      <c r="C187" s="299"/>
      <c r="D187" s="198"/>
      <c r="E187" s="180"/>
      <c r="F187" s="188"/>
      <c r="G187" s="183"/>
      <c r="H187" s="183"/>
      <c r="I187" s="184"/>
      <c r="J187" s="183"/>
      <c r="K187" s="185"/>
      <c r="L187" s="186"/>
      <c r="M187" s="186"/>
      <c r="N187" s="186"/>
      <c r="O187" s="187"/>
      <c r="P187" s="202"/>
      <c r="S187"/>
      <c r="T187"/>
      <c r="U187"/>
      <c r="V187"/>
      <c r="W187"/>
      <c r="X187"/>
      <c r="Y187"/>
      <c r="Z187"/>
    </row>
    <row r="188" spans="1:26" s="205" customFormat="1" ht="15.75">
      <c r="A188" s="316"/>
      <c r="B188" s="197"/>
      <c r="C188" s="299"/>
      <c r="D188" s="198"/>
      <c r="E188" s="180"/>
      <c r="F188" s="188"/>
      <c r="G188" s="183"/>
      <c r="H188" s="183"/>
      <c r="I188" s="184"/>
      <c r="J188" s="183"/>
      <c r="K188" s="185"/>
      <c r="L188" s="186"/>
      <c r="M188" s="186"/>
      <c r="N188" s="186"/>
      <c r="O188" s="187"/>
      <c r="P188" s="202"/>
      <c r="S188"/>
      <c r="T188"/>
      <c r="U188"/>
      <c r="V188"/>
      <c r="W188"/>
      <c r="X188"/>
      <c r="Y188"/>
      <c r="Z188"/>
    </row>
    <row r="189" spans="1:26" s="333" customFormat="1" ht="15.75">
      <c r="A189" s="316"/>
      <c r="B189" s="317"/>
      <c r="C189" s="318"/>
      <c r="D189" s="198"/>
      <c r="E189" s="180"/>
      <c r="F189" s="188"/>
      <c r="G189" s="183"/>
      <c r="H189" s="183"/>
      <c r="I189" s="184"/>
      <c r="J189" s="183"/>
      <c r="K189" s="185"/>
      <c r="L189" s="186"/>
      <c r="M189" s="186"/>
      <c r="N189" s="186"/>
      <c r="O189" s="187"/>
      <c r="P189" s="202"/>
      <c r="S189"/>
      <c r="T189"/>
      <c r="U189"/>
      <c r="V189"/>
      <c r="W189"/>
      <c r="X189"/>
      <c r="Y189"/>
      <c r="Z189"/>
    </row>
    <row r="190" spans="1:26" ht="15.75">
      <c r="A190" s="316"/>
      <c r="B190" s="317"/>
      <c r="C190" s="299"/>
      <c r="D190" s="198"/>
      <c r="E190" s="180"/>
      <c r="F190" s="179"/>
      <c r="G190" s="183"/>
      <c r="H190" s="201"/>
      <c r="I190" s="184"/>
      <c r="J190" s="183"/>
      <c r="K190" s="185"/>
      <c r="L190" s="186"/>
      <c r="M190" s="186"/>
      <c r="N190" s="186"/>
      <c r="O190" s="187"/>
      <c r="P190" s="202"/>
      <c r="S190"/>
      <c r="T190"/>
      <c r="U190"/>
      <c r="V190"/>
      <c r="W190"/>
      <c r="X190"/>
      <c r="Y190"/>
      <c r="Z190"/>
    </row>
    <row r="191" spans="1:26" ht="15.75">
      <c r="A191" s="316"/>
      <c r="B191" s="317"/>
      <c r="C191" s="299"/>
      <c r="D191" s="198"/>
      <c r="E191" s="180"/>
      <c r="F191" s="179"/>
      <c r="G191" s="183"/>
      <c r="H191" s="201"/>
      <c r="I191" s="184"/>
      <c r="J191" s="183"/>
      <c r="K191" s="185"/>
      <c r="L191" s="186"/>
      <c r="M191" s="186"/>
      <c r="N191" s="186"/>
      <c r="O191" s="187"/>
      <c r="P191" s="202"/>
      <c r="S191"/>
      <c r="T191"/>
      <c r="U191"/>
      <c r="V191"/>
      <c r="W191"/>
      <c r="X191"/>
      <c r="Y191"/>
      <c r="Z191"/>
    </row>
    <row r="192" spans="1:26" ht="15.75">
      <c r="A192" s="316"/>
      <c r="B192" s="317"/>
      <c r="C192" s="337"/>
      <c r="D192" s="198"/>
      <c r="E192" s="180"/>
      <c r="F192" s="188"/>
      <c r="G192" s="183"/>
      <c r="H192" s="201"/>
      <c r="I192" s="184"/>
      <c r="J192" s="183"/>
      <c r="K192" s="185"/>
      <c r="L192" s="186"/>
      <c r="M192" s="186"/>
      <c r="N192" s="186"/>
      <c r="O192" s="187"/>
      <c r="P192" s="202"/>
      <c r="S192"/>
      <c r="T192"/>
      <c r="U192"/>
      <c r="V192"/>
      <c r="W192"/>
      <c r="X192"/>
      <c r="Y192"/>
      <c r="Z192"/>
    </row>
    <row r="193" spans="1:26" ht="15.75">
      <c r="A193" s="316"/>
      <c r="B193" s="317"/>
      <c r="C193" s="337"/>
      <c r="D193" s="198"/>
      <c r="E193" s="180"/>
      <c r="F193" s="188"/>
      <c r="G193" s="183"/>
      <c r="H193" s="201"/>
      <c r="I193" s="184"/>
      <c r="J193" s="183"/>
      <c r="K193" s="185"/>
      <c r="L193" s="186"/>
      <c r="M193" s="186"/>
      <c r="N193" s="186"/>
      <c r="O193" s="187"/>
      <c r="P193" s="202"/>
      <c r="S193"/>
      <c r="T193"/>
      <c r="U193"/>
      <c r="V193"/>
      <c r="W193"/>
      <c r="X193"/>
      <c r="Y193"/>
      <c r="Z193"/>
    </row>
    <row r="194" spans="1:26" ht="15.75">
      <c r="A194" s="316"/>
      <c r="B194" s="317"/>
      <c r="C194" s="337"/>
      <c r="D194" s="198"/>
      <c r="E194" s="180"/>
      <c r="F194" s="188"/>
      <c r="G194" s="183"/>
      <c r="H194" s="201"/>
      <c r="I194" s="184"/>
      <c r="J194" s="183"/>
      <c r="K194" s="185"/>
      <c r="L194" s="186"/>
      <c r="M194" s="186"/>
      <c r="N194" s="186"/>
      <c r="O194" s="187"/>
      <c r="P194" s="202"/>
      <c r="S194"/>
      <c r="T194"/>
      <c r="U194"/>
      <c r="V194"/>
      <c r="W194"/>
      <c r="X194"/>
      <c r="Y194"/>
      <c r="Z194"/>
    </row>
    <row r="195" spans="1:26" ht="15.75">
      <c r="A195" s="316"/>
      <c r="B195" s="317"/>
      <c r="C195" s="337"/>
      <c r="D195" s="198"/>
      <c r="E195" s="180"/>
      <c r="F195" s="188"/>
      <c r="G195" s="183"/>
      <c r="H195" s="201"/>
      <c r="I195" s="184"/>
      <c r="J195" s="183"/>
      <c r="K195" s="185"/>
      <c r="L195" s="186"/>
      <c r="M195" s="186"/>
      <c r="N195" s="186"/>
      <c r="O195" s="187"/>
      <c r="P195" s="202"/>
      <c r="S195"/>
      <c r="T195"/>
      <c r="U195"/>
      <c r="V195"/>
      <c r="W195"/>
      <c r="X195"/>
      <c r="Y195"/>
      <c r="Z195"/>
    </row>
    <row r="196" spans="1:26" ht="15.75">
      <c r="A196" s="316"/>
      <c r="B196" s="317"/>
      <c r="C196" s="337"/>
      <c r="D196" s="198"/>
      <c r="E196" s="180"/>
      <c r="F196" s="188"/>
      <c r="G196" s="183"/>
      <c r="H196" s="201"/>
      <c r="I196" s="184"/>
      <c r="J196" s="183"/>
      <c r="K196" s="185"/>
      <c r="L196" s="186"/>
      <c r="M196" s="186"/>
      <c r="N196" s="186"/>
      <c r="O196" s="187"/>
      <c r="P196" s="202"/>
      <c r="S196"/>
      <c r="T196"/>
      <c r="U196"/>
      <c r="V196"/>
      <c r="W196"/>
      <c r="X196"/>
      <c r="Y196"/>
      <c r="Z196"/>
    </row>
    <row r="197" spans="1:26" ht="15.75">
      <c r="A197" s="316"/>
      <c r="B197" s="317"/>
      <c r="C197" s="299"/>
      <c r="D197" s="198"/>
      <c r="E197" s="180"/>
      <c r="F197" s="188"/>
      <c r="G197" s="183"/>
      <c r="H197" s="201"/>
      <c r="I197" s="184"/>
      <c r="J197" s="183"/>
      <c r="K197" s="185"/>
      <c r="L197" s="186"/>
      <c r="M197" s="186"/>
      <c r="N197" s="186"/>
      <c r="O197" s="187"/>
      <c r="P197" s="202"/>
      <c r="S197"/>
      <c r="T197"/>
      <c r="U197"/>
      <c r="V197"/>
      <c r="W197"/>
      <c r="X197"/>
      <c r="Y197"/>
      <c r="Z197"/>
    </row>
    <row r="198" spans="1:26" ht="45" customHeight="1">
      <c r="A198" s="316"/>
      <c r="B198" s="317"/>
      <c r="C198" s="299"/>
      <c r="D198" s="198"/>
      <c r="E198" s="180"/>
      <c r="F198" s="188"/>
      <c r="G198" s="183"/>
      <c r="H198" s="201"/>
      <c r="I198" s="184"/>
      <c r="J198" s="183"/>
      <c r="K198" s="185"/>
      <c r="L198" s="186"/>
      <c r="M198" s="186"/>
      <c r="N198" s="186"/>
      <c r="O198" s="187"/>
      <c r="P198" s="202"/>
    </row>
    <row r="199" spans="1:26" ht="45" customHeight="1">
      <c r="A199" s="316"/>
      <c r="B199" s="317"/>
      <c r="C199" s="299"/>
      <c r="D199" s="198"/>
      <c r="E199" s="180"/>
      <c r="F199" s="188"/>
      <c r="G199" s="183"/>
      <c r="H199" s="201"/>
      <c r="I199" s="184"/>
      <c r="J199" s="183"/>
      <c r="K199" s="185"/>
      <c r="L199" s="186"/>
      <c r="M199" s="186"/>
      <c r="N199" s="186"/>
      <c r="O199" s="187"/>
      <c r="P199" s="202"/>
    </row>
    <row r="200" spans="1:26" s="205" customFormat="1" ht="45" customHeight="1">
      <c r="A200" s="316"/>
      <c r="B200" s="317"/>
      <c r="C200" s="299"/>
      <c r="D200" s="198"/>
      <c r="E200" s="180"/>
      <c r="F200" s="188"/>
      <c r="G200" s="183"/>
      <c r="H200" s="201"/>
      <c r="I200" s="184"/>
      <c r="J200" s="183"/>
      <c r="K200" s="185"/>
      <c r="L200" s="186"/>
      <c r="M200" s="186"/>
      <c r="N200" s="186"/>
      <c r="O200" s="187"/>
      <c r="P200" s="202"/>
    </row>
    <row r="201" spans="1:26" ht="45" customHeight="1">
      <c r="A201" s="316"/>
      <c r="D201" s="198"/>
      <c r="E201" s="327"/>
      <c r="F201" s="328"/>
      <c r="G201" s="183"/>
      <c r="H201" s="183"/>
      <c r="I201" s="184"/>
      <c r="J201" s="183"/>
      <c r="K201" s="185"/>
      <c r="L201" s="186"/>
      <c r="M201" s="186"/>
      <c r="N201" s="186"/>
      <c r="O201" s="187"/>
      <c r="P201" s="202"/>
    </row>
    <row r="202" spans="1:26" ht="45" customHeight="1">
      <c r="A202" s="316"/>
      <c r="B202" s="317"/>
      <c r="C202" s="317"/>
      <c r="D202" s="198"/>
      <c r="E202" s="180"/>
      <c r="F202" s="188"/>
      <c r="G202" s="183"/>
      <c r="H202" s="183"/>
      <c r="I202" s="184"/>
      <c r="J202" s="183"/>
      <c r="K202" s="185"/>
      <c r="L202" s="186"/>
      <c r="M202" s="186"/>
      <c r="N202" s="186"/>
      <c r="O202" s="187"/>
      <c r="P202" s="202"/>
    </row>
    <row r="203" spans="1:26" ht="45" customHeight="1">
      <c r="A203" s="316"/>
      <c r="C203" s="299"/>
      <c r="D203" s="198"/>
      <c r="E203" s="180"/>
      <c r="F203" s="179"/>
      <c r="G203" s="183"/>
      <c r="H203" s="183"/>
      <c r="I203" s="184"/>
      <c r="J203" s="183"/>
      <c r="K203" s="185"/>
      <c r="L203" s="186"/>
      <c r="M203" s="186"/>
      <c r="N203" s="186"/>
      <c r="O203" s="187"/>
      <c r="P203" s="202"/>
    </row>
    <row r="204" spans="1:26" ht="45" customHeight="1">
      <c r="A204" s="316"/>
      <c r="C204" s="299"/>
      <c r="D204" s="198"/>
      <c r="E204" s="180"/>
      <c r="F204" s="179"/>
      <c r="G204" s="183"/>
      <c r="H204" s="183"/>
      <c r="I204" s="184"/>
      <c r="J204" s="183"/>
      <c r="K204" s="185"/>
      <c r="L204" s="186"/>
      <c r="M204" s="186"/>
      <c r="N204" s="186"/>
      <c r="O204" s="187"/>
      <c r="P204" s="202"/>
    </row>
    <row r="205" spans="1:26" ht="45" customHeight="1">
      <c r="A205" s="316"/>
      <c r="C205" s="299"/>
      <c r="D205" s="198"/>
      <c r="E205" s="180"/>
      <c r="F205" s="179"/>
      <c r="G205" s="183"/>
      <c r="H205" s="183"/>
      <c r="I205" s="184"/>
      <c r="J205" s="183"/>
      <c r="K205" s="185"/>
      <c r="L205" s="186"/>
      <c r="M205" s="186"/>
      <c r="N205" s="186"/>
      <c r="O205" s="187"/>
      <c r="P205" s="202"/>
    </row>
    <row r="206" spans="1:26" ht="45" customHeight="1">
      <c r="A206" s="316"/>
      <c r="C206" s="299"/>
      <c r="D206" s="198"/>
      <c r="E206" s="180"/>
      <c r="F206" s="179"/>
      <c r="G206" s="183"/>
      <c r="H206" s="183"/>
      <c r="I206" s="184"/>
      <c r="J206" s="183"/>
      <c r="K206" s="185"/>
      <c r="L206" s="186"/>
      <c r="M206" s="186"/>
      <c r="N206" s="186"/>
      <c r="O206" s="187"/>
      <c r="P206" s="202"/>
    </row>
    <row r="207" spans="1:26" ht="45" customHeight="1">
      <c r="A207" s="316"/>
      <c r="B207" s="317"/>
      <c r="C207" s="318"/>
      <c r="D207" s="198"/>
      <c r="E207" s="180"/>
      <c r="F207" s="188"/>
      <c r="G207" s="183"/>
      <c r="H207" s="183"/>
      <c r="I207" s="184"/>
      <c r="J207" s="183"/>
      <c r="K207" s="185"/>
      <c r="L207" s="186"/>
      <c r="M207" s="186"/>
      <c r="N207" s="186"/>
      <c r="O207" s="187"/>
      <c r="P207" s="202"/>
    </row>
    <row r="208" spans="1:26" ht="45" customHeight="1">
      <c r="A208" s="316"/>
      <c r="B208" s="317"/>
      <c r="C208" s="299"/>
      <c r="D208" s="198"/>
      <c r="E208" s="180"/>
      <c r="F208" s="188"/>
      <c r="G208" s="183"/>
      <c r="H208" s="201"/>
      <c r="I208" s="184"/>
      <c r="J208" s="183"/>
      <c r="K208" s="185"/>
      <c r="L208" s="186"/>
      <c r="M208" s="186"/>
      <c r="N208" s="186"/>
      <c r="O208" s="187"/>
      <c r="P208" s="202"/>
    </row>
    <row r="209" spans="1:16" ht="45" customHeight="1">
      <c r="A209" s="316"/>
      <c r="B209" s="317"/>
      <c r="C209" s="299"/>
      <c r="D209" s="198"/>
      <c r="E209" s="180"/>
      <c r="F209" s="188"/>
      <c r="G209" s="183"/>
      <c r="H209" s="201"/>
      <c r="I209" s="184"/>
      <c r="J209" s="183"/>
      <c r="K209" s="185"/>
      <c r="L209" s="186"/>
      <c r="M209" s="186"/>
      <c r="N209" s="186"/>
      <c r="O209" s="187"/>
      <c r="P209" s="202"/>
    </row>
    <row r="210" spans="1:16" ht="45" customHeight="1">
      <c r="A210" s="316"/>
      <c r="B210" s="317"/>
      <c r="C210" s="299"/>
      <c r="D210" s="198"/>
      <c r="E210" s="180"/>
      <c r="F210" s="179"/>
      <c r="G210" s="183"/>
      <c r="H210" s="201"/>
      <c r="I210" s="184"/>
      <c r="J210" s="183"/>
      <c r="K210" s="185"/>
      <c r="L210" s="186"/>
      <c r="M210" s="186"/>
      <c r="N210" s="186"/>
      <c r="O210" s="187"/>
      <c r="P210" s="202"/>
    </row>
    <row r="211" spans="1:16" ht="45" customHeight="1">
      <c r="A211" s="316"/>
      <c r="B211" s="317"/>
      <c r="C211" s="299"/>
      <c r="D211" s="198"/>
      <c r="E211" s="180"/>
      <c r="F211" s="179"/>
      <c r="G211" s="183"/>
      <c r="H211" s="201"/>
      <c r="I211" s="184"/>
      <c r="J211" s="183"/>
      <c r="K211" s="185"/>
      <c r="L211" s="186"/>
      <c r="M211" s="186"/>
      <c r="N211" s="186"/>
      <c r="O211" s="187"/>
      <c r="P211" s="202"/>
    </row>
    <row r="212" spans="1:16" ht="45" customHeight="1">
      <c r="A212" s="316"/>
      <c r="B212" s="317"/>
      <c r="C212" s="299"/>
      <c r="D212" s="198"/>
      <c r="E212" s="180"/>
      <c r="F212" s="188"/>
      <c r="G212" s="183"/>
      <c r="H212" s="201"/>
      <c r="I212" s="184"/>
      <c r="J212" s="183"/>
      <c r="K212" s="185"/>
      <c r="L212" s="186"/>
      <c r="M212" s="186"/>
      <c r="N212" s="186"/>
      <c r="O212" s="187"/>
      <c r="P212" s="202"/>
    </row>
    <row r="213" spans="1:16" ht="45" customHeight="1">
      <c r="A213" s="316"/>
      <c r="D213" s="198"/>
      <c r="E213" s="180"/>
      <c r="F213" s="188"/>
      <c r="G213" s="183"/>
      <c r="H213" s="183"/>
      <c r="I213" s="184"/>
      <c r="J213" s="183"/>
      <c r="K213" s="185"/>
      <c r="L213" s="186"/>
      <c r="M213" s="186"/>
      <c r="N213" s="186"/>
      <c r="O213" s="187"/>
      <c r="P213" s="202"/>
    </row>
    <row r="214" spans="1:16" ht="45" customHeight="1">
      <c r="A214" s="316"/>
      <c r="D214" s="198"/>
      <c r="E214" s="180"/>
      <c r="F214" s="188"/>
      <c r="G214" s="183"/>
      <c r="H214" s="183"/>
      <c r="I214" s="184"/>
      <c r="J214" s="183"/>
      <c r="K214" s="185"/>
      <c r="L214" s="186"/>
      <c r="M214" s="186"/>
      <c r="N214" s="186"/>
      <c r="O214" s="187"/>
      <c r="P214" s="202"/>
    </row>
    <row r="215" spans="1:16" ht="45" customHeight="1">
      <c r="A215" s="316"/>
      <c r="D215" s="198"/>
      <c r="E215" s="180"/>
      <c r="F215" s="188"/>
      <c r="G215" s="183"/>
      <c r="H215" s="183"/>
      <c r="I215" s="184"/>
      <c r="J215" s="183"/>
      <c r="K215" s="185"/>
      <c r="L215" s="186"/>
      <c r="M215" s="186"/>
      <c r="N215" s="186"/>
      <c r="O215" s="187"/>
      <c r="P215" s="202"/>
    </row>
    <row r="216" spans="1:16" ht="45" customHeight="1">
      <c r="A216" s="316"/>
      <c r="D216" s="198"/>
      <c r="E216" s="180"/>
      <c r="F216" s="188"/>
      <c r="G216" s="183"/>
      <c r="H216" s="183"/>
      <c r="I216" s="184"/>
      <c r="J216" s="183"/>
      <c r="K216" s="185"/>
      <c r="L216" s="186"/>
      <c r="M216" s="186"/>
      <c r="N216" s="186"/>
      <c r="O216" s="187"/>
      <c r="P216" s="202"/>
    </row>
    <row r="217" spans="1:16" ht="45" customHeight="1">
      <c r="A217" s="316"/>
      <c r="D217" s="198"/>
      <c r="E217" s="180"/>
      <c r="F217" s="188"/>
      <c r="G217" s="183"/>
      <c r="H217" s="183"/>
      <c r="I217" s="184"/>
      <c r="J217" s="183"/>
      <c r="K217" s="185"/>
      <c r="L217" s="186"/>
      <c r="M217" s="186"/>
      <c r="N217" s="186"/>
      <c r="O217" s="187"/>
      <c r="P217" s="202"/>
    </row>
    <row r="218" spans="1:16" ht="45" customHeight="1">
      <c r="A218" s="316"/>
      <c r="D218" s="198"/>
      <c r="E218" s="180"/>
      <c r="F218" s="188"/>
      <c r="G218" s="183"/>
      <c r="H218" s="183"/>
      <c r="I218" s="184"/>
      <c r="J218" s="183"/>
      <c r="K218" s="185"/>
      <c r="L218" s="186"/>
      <c r="M218" s="186"/>
      <c r="N218" s="186"/>
      <c r="O218" s="187"/>
      <c r="P218" s="202"/>
    </row>
    <row r="219" spans="1:16" ht="45" customHeight="1">
      <c r="A219" s="316"/>
      <c r="D219" s="198"/>
      <c r="E219" s="180"/>
      <c r="F219" s="188"/>
      <c r="G219" s="183"/>
      <c r="H219" s="183"/>
      <c r="I219" s="184"/>
      <c r="J219" s="183"/>
      <c r="K219" s="185"/>
      <c r="L219" s="186"/>
      <c r="M219" s="186"/>
      <c r="N219" s="186"/>
      <c r="O219" s="187"/>
      <c r="P219" s="202"/>
    </row>
    <row r="220" spans="1:16" s="333" customFormat="1" ht="45" customHeight="1">
      <c r="A220" s="316"/>
      <c r="B220" s="317"/>
      <c r="C220" s="197"/>
      <c r="D220" s="198"/>
      <c r="E220" s="180"/>
      <c r="F220" s="188"/>
      <c r="G220" s="183"/>
      <c r="H220" s="183"/>
      <c r="I220" s="184"/>
      <c r="J220" s="183"/>
      <c r="K220" s="185"/>
      <c r="L220" s="186"/>
      <c r="M220" s="186"/>
      <c r="N220" s="186"/>
      <c r="O220" s="187"/>
      <c r="P220" s="202"/>
    </row>
    <row r="221" spans="1:16" s="333" customFormat="1" ht="45" customHeight="1">
      <c r="A221" s="316"/>
      <c r="B221" s="317"/>
      <c r="C221" s="197"/>
      <c r="D221" s="198"/>
      <c r="E221" s="180"/>
      <c r="F221" s="188"/>
      <c r="G221" s="183"/>
      <c r="H221" s="201"/>
      <c r="I221" s="184"/>
      <c r="J221" s="183"/>
      <c r="K221" s="185"/>
      <c r="L221" s="186"/>
      <c r="M221" s="186"/>
      <c r="N221" s="186"/>
      <c r="O221" s="187"/>
      <c r="P221" s="202"/>
    </row>
    <row r="222" spans="1:16" s="333" customFormat="1" ht="45" customHeight="1">
      <c r="A222" s="316"/>
      <c r="B222" s="317"/>
      <c r="C222" s="197"/>
      <c r="D222" s="198"/>
      <c r="E222" s="180"/>
      <c r="F222" s="188"/>
      <c r="G222" s="183"/>
      <c r="H222" s="201"/>
      <c r="I222" s="184"/>
      <c r="J222" s="183"/>
      <c r="K222" s="185"/>
      <c r="L222" s="186"/>
      <c r="M222" s="186"/>
      <c r="N222" s="186"/>
      <c r="O222" s="187"/>
      <c r="P222" s="202"/>
    </row>
    <row r="223" spans="1:16" s="333" customFormat="1" ht="45" customHeight="1">
      <c r="A223" s="316"/>
      <c r="B223" s="317"/>
      <c r="C223" s="197"/>
      <c r="D223" s="198"/>
      <c r="E223" s="180"/>
      <c r="F223" s="188"/>
      <c r="G223" s="183"/>
      <c r="H223" s="201"/>
      <c r="I223" s="184"/>
      <c r="J223" s="183"/>
      <c r="K223" s="185"/>
      <c r="L223" s="186"/>
      <c r="M223" s="186"/>
      <c r="N223" s="186"/>
      <c r="O223" s="187"/>
      <c r="P223" s="202"/>
    </row>
    <row r="224" spans="1:16" ht="45" customHeight="1">
      <c r="A224" s="316"/>
      <c r="B224" s="317"/>
      <c r="D224" s="198"/>
      <c r="E224" s="180"/>
      <c r="F224" s="188"/>
      <c r="G224" s="183"/>
      <c r="H224" s="201"/>
      <c r="I224" s="184"/>
      <c r="J224" s="183"/>
      <c r="K224" s="185"/>
      <c r="L224" s="186"/>
      <c r="M224" s="186"/>
      <c r="N224" s="186"/>
      <c r="O224" s="187"/>
      <c r="P224" s="202"/>
    </row>
    <row r="225" spans="1:16" ht="45" customHeight="1">
      <c r="A225" s="316"/>
      <c r="B225" s="317"/>
      <c r="D225" s="198"/>
      <c r="E225" s="200"/>
      <c r="F225" s="199"/>
      <c r="G225" s="183"/>
      <c r="H225" s="201"/>
      <c r="I225" s="184"/>
      <c r="J225" s="183"/>
      <c r="K225" s="185"/>
      <c r="L225" s="186"/>
      <c r="M225" s="186"/>
      <c r="N225" s="332"/>
      <c r="O225" s="187"/>
      <c r="P225" s="202"/>
    </row>
    <row r="226" spans="1:16" ht="45" customHeight="1">
      <c r="A226" s="316"/>
      <c r="B226" s="317"/>
      <c r="D226" s="198"/>
      <c r="E226" s="200"/>
      <c r="F226" s="199"/>
      <c r="G226" s="183"/>
      <c r="H226" s="201"/>
      <c r="I226" s="184"/>
      <c r="J226" s="183"/>
      <c r="K226" s="185"/>
      <c r="L226" s="186"/>
      <c r="M226" s="186"/>
      <c r="N226" s="332"/>
      <c r="O226" s="187"/>
      <c r="P226" s="202"/>
    </row>
    <row r="227" spans="1:16" ht="45" customHeight="1">
      <c r="A227" s="316"/>
      <c r="B227" s="317"/>
      <c r="D227" s="198"/>
      <c r="E227" s="200"/>
      <c r="F227" s="199"/>
      <c r="G227" s="183"/>
      <c r="H227" s="201"/>
      <c r="I227" s="184"/>
      <c r="J227" s="183"/>
      <c r="K227" s="185"/>
      <c r="L227" s="186"/>
      <c r="M227" s="186"/>
      <c r="N227" s="332"/>
      <c r="O227" s="187"/>
      <c r="P227" s="202"/>
    </row>
    <row r="228" spans="1:16" ht="45" customHeight="1">
      <c r="A228" s="316"/>
      <c r="B228" s="317"/>
      <c r="D228" s="198"/>
      <c r="E228" s="200"/>
      <c r="F228" s="199"/>
      <c r="G228" s="183"/>
      <c r="H228" s="201"/>
      <c r="I228" s="184"/>
      <c r="J228" s="183"/>
      <c r="K228" s="185"/>
      <c r="L228" s="186"/>
      <c r="M228" s="186"/>
      <c r="N228" s="186"/>
      <c r="O228" s="187"/>
      <c r="P228" s="202"/>
    </row>
    <row r="229" spans="1:16" ht="45" customHeight="1">
      <c r="A229" s="316"/>
      <c r="D229" s="198"/>
      <c r="E229" s="327"/>
      <c r="F229" s="328"/>
      <c r="G229" s="183"/>
      <c r="H229" s="183"/>
      <c r="I229" s="184"/>
      <c r="J229" s="183"/>
      <c r="K229" s="185"/>
      <c r="L229" s="186"/>
      <c r="M229" s="186"/>
      <c r="N229" s="186"/>
      <c r="O229" s="187"/>
      <c r="P229" s="202"/>
    </row>
    <row r="230" spans="1:16" ht="45" customHeight="1">
      <c r="A230" s="316"/>
      <c r="C230" s="299"/>
      <c r="D230" s="198"/>
      <c r="E230" s="180"/>
      <c r="F230" s="188"/>
      <c r="G230" s="183"/>
      <c r="H230" s="183"/>
      <c r="I230" s="184"/>
      <c r="J230" s="183"/>
      <c r="K230" s="185"/>
      <c r="L230" s="186"/>
      <c r="M230" s="186"/>
      <c r="N230" s="186"/>
      <c r="O230" s="187"/>
      <c r="P230" s="202"/>
    </row>
    <row r="231" spans="1:16" ht="45" customHeight="1">
      <c r="A231" s="316"/>
      <c r="C231" s="299"/>
      <c r="D231" s="198"/>
      <c r="E231" s="180"/>
      <c r="F231" s="188"/>
      <c r="G231" s="183"/>
      <c r="H231" s="183"/>
      <c r="I231" s="184"/>
      <c r="J231" s="183"/>
      <c r="K231" s="185"/>
      <c r="L231" s="186"/>
      <c r="M231" s="186"/>
      <c r="N231" s="186"/>
      <c r="O231" s="187"/>
      <c r="P231" s="202"/>
    </row>
    <row r="232" spans="1:16" ht="45" customHeight="1">
      <c r="A232" s="316"/>
      <c r="C232" s="299"/>
      <c r="D232" s="198"/>
      <c r="E232" s="180"/>
      <c r="F232" s="188"/>
      <c r="G232" s="183"/>
      <c r="H232" s="183"/>
      <c r="I232" s="184"/>
      <c r="J232" s="183"/>
      <c r="K232" s="185"/>
      <c r="L232" s="186"/>
      <c r="M232" s="186"/>
      <c r="N232" s="186"/>
      <c r="O232" s="187"/>
      <c r="P232" s="202"/>
    </row>
    <row r="233" spans="1:16" ht="45" customHeight="1">
      <c r="A233" s="316"/>
      <c r="C233" s="299"/>
      <c r="D233" s="198"/>
      <c r="E233" s="180"/>
      <c r="F233" s="188"/>
      <c r="G233" s="183"/>
      <c r="H233" s="183"/>
      <c r="I233" s="184"/>
      <c r="J233" s="183"/>
      <c r="K233" s="185"/>
      <c r="L233" s="186"/>
      <c r="M233" s="186"/>
      <c r="N233" s="186"/>
      <c r="O233" s="187"/>
      <c r="P233" s="202"/>
    </row>
    <row r="234" spans="1:16" ht="45" customHeight="1">
      <c r="A234" s="316"/>
      <c r="C234" s="299"/>
      <c r="D234" s="198"/>
      <c r="E234" s="180"/>
      <c r="F234" s="188"/>
      <c r="G234" s="183"/>
      <c r="H234" s="183"/>
      <c r="I234" s="184"/>
      <c r="J234" s="183"/>
      <c r="K234" s="185"/>
      <c r="L234" s="186"/>
      <c r="M234" s="186"/>
      <c r="N234" s="186"/>
      <c r="O234" s="187"/>
      <c r="P234" s="202"/>
    </row>
    <row r="235" spans="1:16" ht="45" customHeight="1">
      <c r="A235" s="316"/>
      <c r="C235" s="299"/>
      <c r="D235" s="198"/>
      <c r="E235" s="180"/>
      <c r="F235" s="188"/>
      <c r="G235" s="183"/>
      <c r="H235" s="183"/>
      <c r="I235" s="184"/>
      <c r="J235" s="183"/>
      <c r="K235" s="185"/>
      <c r="L235" s="186"/>
      <c r="M235" s="186"/>
      <c r="N235" s="186"/>
      <c r="O235" s="187"/>
      <c r="P235" s="202"/>
    </row>
    <row r="236" spans="1:16" ht="45" customHeight="1">
      <c r="A236" s="316"/>
      <c r="C236" s="299"/>
      <c r="D236" s="198"/>
      <c r="E236" s="180"/>
      <c r="F236" s="188"/>
      <c r="G236" s="183"/>
      <c r="H236" s="183"/>
      <c r="I236" s="184"/>
      <c r="J236" s="183"/>
      <c r="K236" s="185"/>
      <c r="L236" s="186"/>
      <c r="M236" s="186"/>
      <c r="N236" s="186"/>
      <c r="O236" s="187"/>
      <c r="P236" s="202"/>
    </row>
    <row r="237" spans="1:16" ht="45" customHeight="1">
      <c r="A237" s="316"/>
      <c r="C237" s="299"/>
      <c r="D237" s="198"/>
      <c r="E237" s="180"/>
      <c r="F237" s="188"/>
      <c r="G237" s="183"/>
      <c r="H237" s="183"/>
      <c r="I237" s="184"/>
      <c r="J237" s="183"/>
      <c r="K237" s="185"/>
      <c r="L237" s="186"/>
      <c r="M237" s="186"/>
      <c r="N237" s="186"/>
      <c r="O237" s="187"/>
      <c r="P237" s="202"/>
    </row>
    <row r="238" spans="1:16" ht="45" customHeight="1">
      <c r="A238" s="316"/>
      <c r="C238" s="299"/>
      <c r="D238" s="198"/>
      <c r="E238" s="180"/>
      <c r="F238" s="188"/>
      <c r="G238" s="183"/>
      <c r="H238" s="183"/>
      <c r="I238" s="184"/>
      <c r="J238" s="183"/>
      <c r="K238" s="185"/>
      <c r="L238" s="186"/>
      <c r="M238" s="186"/>
      <c r="N238" s="186"/>
      <c r="O238" s="187"/>
      <c r="P238" s="202"/>
    </row>
    <row r="239" spans="1:16" ht="45" customHeight="1">
      <c r="A239" s="316"/>
      <c r="C239" s="299"/>
      <c r="D239" s="198"/>
      <c r="E239" s="180"/>
      <c r="F239" s="188"/>
      <c r="G239" s="183"/>
      <c r="H239" s="183"/>
      <c r="I239" s="184"/>
      <c r="J239" s="183"/>
      <c r="K239" s="185"/>
      <c r="L239" s="186"/>
      <c r="M239" s="186"/>
      <c r="N239" s="186"/>
      <c r="O239" s="187"/>
      <c r="P239" s="202"/>
    </row>
    <row r="240" spans="1:16" ht="45" customHeight="1">
      <c r="A240" s="316"/>
      <c r="C240" s="299"/>
      <c r="D240" s="198"/>
      <c r="E240" s="180"/>
      <c r="F240" s="188"/>
      <c r="G240" s="183"/>
      <c r="H240" s="183"/>
      <c r="I240" s="184"/>
      <c r="J240" s="183"/>
      <c r="K240" s="185"/>
      <c r="L240" s="186"/>
      <c r="M240" s="186"/>
      <c r="N240" s="186"/>
      <c r="O240" s="187"/>
      <c r="P240" s="202"/>
    </row>
    <row r="241" spans="1:16" ht="45" customHeight="1">
      <c r="A241" s="316"/>
      <c r="C241" s="299"/>
      <c r="D241" s="198"/>
      <c r="E241" s="180"/>
      <c r="F241" s="188"/>
      <c r="G241" s="183"/>
      <c r="H241" s="183"/>
      <c r="I241" s="184"/>
      <c r="J241" s="183"/>
      <c r="K241" s="185"/>
      <c r="L241" s="186"/>
      <c r="M241" s="186"/>
      <c r="N241" s="186"/>
      <c r="O241" s="187"/>
      <c r="P241" s="202"/>
    </row>
    <row r="242" spans="1:16" ht="45" customHeight="1">
      <c r="A242" s="316"/>
      <c r="B242" s="317"/>
      <c r="C242" s="318"/>
      <c r="D242" s="198"/>
      <c r="E242" s="180"/>
      <c r="F242" s="188"/>
      <c r="G242" s="183"/>
      <c r="H242" s="183"/>
      <c r="I242" s="184"/>
      <c r="J242" s="183"/>
      <c r="K242" s="185"/>
      <c r="L242" s="186"/>
      <c r="M242" s="186"/>
      <c r="N242" s="186"/>
      <c r="O242" s="187"/>
      <c r="P242" s="202"/>
    </row>
    <row r="243" spans="1:16" ht="45" customHeight="1">
      <c r="A243" s="316"/>
      <c r="B243" s="317"/>
      <c r="C243" s="299"/>
      <c r="D243" s="198"/>
      <c r="E243" s="338"/>
      <c r="F243" s="328"/>
      <c r="G243" s="183"/>
      <c r="H243" s="201"/>
      <c r="I243" s="184"/>
      <c r="J243" s="183"/>
      <c r="K243" s="185"/>
      <c r="L243" s="186"/>
      <c r="M243" s="186"/>
      <c r="N243" s="186"/>
      <c r="O243" s="187"/>
      <c r="P243" s="202"/>
    </row>
    <row r="244" spans="1:16" ht="45" customHeight="1">
      <c r="A244" s="316"/>
      <c r="B244" s="317"/>
      <c r="C244" s="299"/>
      <c r="D244" s="198"/>
      <c r="E244" s="180"/>
      <c r="F244" s="188"/>
      <c r="G244" s="183"/>
      <c r="H244" s="201"/>
      <c r="I244" s="184"/>
      <c r="J244" s="183"/>
      <c r="K244" s="185"/>
      <c r="L244" s="186"/>
      <c r="M244" s="186"/>
      <c r="N244" s="186"/>
      <c r="O244" s="187"/>
      <c r="P244" s="202"/>
    </row>
    <row r="245" spans="1:16" ht="45" customHeight="1">
      <c r="A245" s="316"/>
      <c r="B245" s="317"/>
      <c r="C245" s="299"/>
      <c r="D245" s="198"/>
      <c r="E245" s="180"/>
      <c r="F245" s="188"/>
      <c r="G245" s="183"/>
      <c r="H245" s="201"/>
      <c r="I245" s="184"/>
      <c r="J245" s="183"/>
      <c r="K245" s="185"/>
      <c r="L245" s="186"/>
      <c r="M245" s="186"/>
      <c r="N245" s="186"/>
      <c r="O245" s="187"/>
      <c r="P245" s="202"/>
    </row>
    <row r="246" spans="1:16" ht="45" customHeight="1">
      <c r="A246" s="316"/>
      <c r="B246" s="317"/>
      <c r="C246" s="299"/>
      <c r="D246" s="198"/>
      <c r="E246" s="180"/>
      <c r="F246" s="188"/>
      <c r="G246" s="183"/>
      <c r="H246" s="201"/>
      <c r="I246" s="184"/>
      <c r="J246" s="183"/>
      <c r="K246" s="185"/>
      <c r="L246" s="186"/>
      <c r="M246" s="186"/>
      <c r="N246" s="186"/>
      <c r="O246" s="187"/>
      <c r="P246" s="202"/>
    </row>
    <row r="247" spans="1:16" ht="45" customHeight="1">
      <c r="A247" s="316"/>
      <c r="B247" s="317"/>
      <c r="C247" s="299"/>
      <c r="D247" s="198"/>
      <c r="E247" s="180"/>
      <c r="F247" s="188"/>
      <c r="G247" s="183"/>
      <c r="H247" s="201"/>
      <c r="I247" s="184"/>
      <c r="J247" s="183"/>
      <c r="K247" s="185"/>
      <c r="L247" s="186"/>
      <c r="M247" s="186"/>
      <c r="N247" s="186"/>
      <c r="O247" s="187"/>
      <c r="P247" s="202"/>
    </row>
    <row r="248" spans="1:16" ht="45" customHeight="1">
      <c r="A248" s="316"/>
      <c r="B248" s="317"/>
      <c r="C248" s="299"/>
      <c r="D248" s="198"/>
      <c r="E248" s="327"/>
      <c r="F248" s="328"/>
      <c r="G248" s="183"/>
      <c r="H248" s="201"/>
      <c r="I248" s="184"/>
      <c r="J248" s="183"/>
      <c r="K248" s="185"/>
      <c r="L248" s="186"/>
      <c r="M248" s="186"/>
      <c r="N248" s="186"/>
      <c r="O248" s="187"/>
      <c r="P248" s="202"/>
    </row>
    <row r="249" spans="1:16" ht="45" customHeight="1">
      <c r="A249" s="316"/>
      <c r="B249" s="317"/>
      <c r="C249" s="299"/>
      <c r="D249" s="198"/>
      <c r="E249" s="327"/>
      <c r="F249" s="328"/>
      <c r="G249" s="183"/>
      <c r="H249" s="201"/>
      <c r="I249" s="184"/>
      <c r="J249" s="183"/>
      <c r="K249" s="185"/>
      <c r="L249" s="186"/>
      <c r="M249" s="186"/>
      <c r="N249" s="186"/>
      <c r="O249" s="187"/>
      <c r="P249" s="202"/>
    </row>
    <row r="250" spans="1:16" ht="45" customHeight="1">
      <c r="A250" s="316"/>
      <c r="B250" s="317"/>
      <c r="C250" s="299"/>
      <c r="D250" s="198"/>
      <c r="E250" s="180"/>
      <c r="F250" s="188"/>
      <c r="G250" s="183"/>
      <c r="H250" s="201"/>
      <c r="I250" s="184"/>
      <c r="J250" s="183"/>
      <c r="K250" s="185"/>
      <c r="L250" s="186"/>
      <c r="M250" s="186"/>
      <c r="N250" s="186"/>
      <c r="O250" s="187"/>
      <c r="P250" s="202"/>
    </row>
    <row r="251" spans="1:16" ht="45" customHeight="1">
      <c r="A251" s="316"/>
      <c r="B251" s="317"/>
      <c r="C251" s="299"/>
      <c r="D251" s="198"/>
      <c r="E251" s="180"/>
      <c r="F251" s="188"/>
      <c r="G251" s="183"/>
      <c r="H251" s="201"/>
      <c r="I251" s="184"/>
      <c r="J251" s="183"/>
      <c r="K251" s="185"/>
      <c r="L251" s="186"/>
      <c r="M251" s="186"/>
      <c r="N251" s="186"/>
      <c r="O251" s="187"/>
      <c r="P251" s="202"/>
    </row>
    <row r="252" spans="1:16" ht="45" customHeight="1">
      <c r="A252" s="316"/>
      <c r="B252" s="317"/>
      <c r="C252" s="299"/>
      <c r="D252" s="198"/>
      <c r="E252" s="180"/>
      <c r="F252" s="188"/>
      <c r="G252" s="183"/>
      <c r="H252" s="201"/>
      <c r="I252" s="184"/>
      <c r="J252" s="183"/>
      <c r="K252" s="185"/>
      <c r="L252" s="186"/>
      <c r="M252" s="186"/>
      <c r="N252" s="186"/>
      <c r="O252" s="187"/>
      <c r="P252" s="202"/>
    </row>
    <row r="253" spans="1:16" ht="45" customHeight="1">
      <c r="A253" s="316"/>
      <c r="B253" s="317"/>
      <c r="C253" s="299"/>
      <c r="D253" s="198"/>
      <c r="E253" s="180"/>
      <c r="F253" s="188"/>
      <c r="G253" s="183"/>
      <c r="H253" s="201"/>
      <c r="I253" s="184"/>
      <c r="J253" s="183"/>
      <c r="K253" s="185"/>
      <c r="L253" s="186"/>
      <c r="M253" s="186"/>
      <c r="N253" s="186"/>
      <c r="O253" s="187"/>
      <c r="P253" s="202"/>
    </row>
    <row r="254" spans="1:16" ht="45" customHeight="1">
      <c r="A254" s="316"/>
      <c r="D254" s="198"/>
      <c r="E254" s="327"/>
      <c r="F254" s="328"/>
      <c r="G254" s="183"/>
      <c r="H254" s="183"/>
      <c r="I254" s="184"/>
      <c r="J254" s="183"/>
      <c r="K254" s="185"/>
      <c r="L254" s="186"/>
      <c r="M254" s="186"/>
      <c r="N254" s="186"/>
      <c r="O254" s="187"/>
      <c r="P254" s="202"/>
    </row>
    <row r="255" spans="1:16" ht="45" customHeight="1">
      <c r="A255" s="316"/>
      <c r="C255" s="299"/>
      <c r="D255" s="198"/>
      <c r="E255" s="180"/>
      <c r="F255" s="188"/>
      <c r="G255" s="183"/>
      <c r="H255" s="183"/>
      <c r="I255" s="184"/>
      <c r="J255" s="183"/>
      <c r="K255" s="185"/>
      <c r="L255" s="186"/>
      <c r="M255" s="186"/>
      <c r="N255" s="186"/>
      <c r="O255" s="187"/>
      <c r="P255" s="202"/>
    </row>
    <row r="256" spans="1:16" ht="45" customHeight="1">
      <c r="A256" s="316"/>
      <c r="C256" s="299"/>
      <c r="D256" s="198"/>
      <c r="E256" s="180"/>
      <c r="F256" s="188"/>
      <c r="G256" s="183"/>
      <c r="H256" s="183"/>
      <c r="I256" s="184"/>
      <c r="J256" s="183"/>
      <c r="K256" s="185"/>
      <c r="L256" s="186"/>
      <c r="M256" s="186"/>
      <c r="N256" s="186"/>
      <c r="O256" s="187"/>
      <c r="P256" s="202"/>
    </row>
    <row r="257" spans="1:16" ht="45" customHeight="1">
      <c r="A257" s="316"/>
      <c r="C257" s="299"/>
      <c r="D257" s="198"/>
      <c r="E257" s="180"/>
      <c r="F257" s="188"/>
      <c r="G257" s="183"/>
      <c r="H257" s="183"/>
      <c r="I257" s="184"/>
      <c r="J257" s="183"/>
      <c r="K257" s="185"/>
      <c r="L257" s="186"/>
      <c r="M257" s="186"/>
      <c r="N257" s="186"/>
      <c r="O257" s="187"/>
      <c r="P257" s="202"/>
    </row>
    <row r="258" spans="1:16" ht="45" customHeight="1">
      <c r="A258" s="316"/>
      <c r="C258" s="299"/>
      <c r="D258" s="198"/>
      <c r="E258" s="180"/>
      <c r="F258" s="188"/>
      <c r="G258" s="183"/>
      <c r="H258" s="183"/>
      <c r="I258" s="184"/>
      <c r="J258" s="183"/>
      <c r="K258" s="185"/>
      <c r="L258" s="186"/>
      <c r="M258" s="186"/>
      <c r="N258" s="186"/>
      <c r="O258" s="187"/>
      <c r="P258" s="202"/>
    </row>
    <row r="259" spans="1:16" ht="45" customHeight="1">
      <c r="A259" s="316"/>
      <c r="B259" s="317"/>
      <c r="C259" s="318"/>
      <c r="D259" s="198"/>
      <c r="E259" s="180"/>
      <c r="F259" s="188"/>
      <c r="G259" s="183"/>
      <c r="H259" s="183"/>
      <c r="I259" s="184"/>
      <c r="J259" s="183"/>
      <c r="K259" s="185"/>
      <c r="L259" s="186"/>
      <c r="M259" s="186"/>
      <c r="N259" s="186"/>
      <c r="O259" s="187"/>
      <c r="P259" s="202"/>
    </row>
    <row r="260" spans="1:16" ht="45" customHeight="1">
      <c r="A260" s="316"/>
      <c r="B260" s="317"/>
      <c r="C260" s="299"/>
      <c r="D260" s="198"/>
      <c r="E260" s="180"/>
      <c r="F260" s="188"/>
      <c r="G260" s="183"/>
      <c r="H260" s="201"/>
      <c r="I260" s="184"/>
      <c r="J260" s="183"/>
      <c r="K260" s="185"/>
      <c r="L260" s="186"/>
      <c r="M260" s="186"/>
      <c r="N260" s="186"/>
      <c r="O260" s="187"/>
      <c r="P260" s="202"/>
    </row>
    <row r="261" spans="1:16" ht="45" customHeight="1">
      <c r="A261" s="316"/>
      <c r="B261" s="317"/>
      <c r="C261" s="299"/>
      <c r="D261" s="198"/>
      <c r="E261" s="180"/>
      <c r="F261" s="188"/>
      <c r="G261" s="183"/>
      <c r="H261" s="201"/>
      <c r="I261" s="184"/>
      <c r="J261" s="183"/>
      <c r="K261" s="185"/>
      <c r="L261" s="186"/>
      <c r="M261" s="186"/>
      <c r="N261" s="186"/>
      <c r="O261" s="187"/>
      <c r="P261" s="202"/>
    </row>
    <row r="262" spans="1:16" ht="45" customHeight="1">
      <c r="A262" s="316"/>
      <c r="B262" s="317"/>
      <c r="C262" s="299"/>
      <c r="D262" s="198"/>
      <c r="E262" s="180"/>
      <c r="F262" s="188"/>
      <c r="G262" s="183"/>
      <c r="H262" s="201"/>
      <c r="I262" s="184"/>
      <c r="J262" s="183"/>
      <c r="K262" s="185"/>
      <c r="L262" s="186"/>
      <c r="M262" s="186"/>
      <c r="N262" s="186"/>
      <c r="O262" s="187"/>
      <c r="P262" s="202"/>
    </row>
    <row r="263" spans="1:16" ht="45" customHeight="1">
      <c r="A263" s="316"/>
      <c r="B263" s="317"/>
      <c r="C263" s="299"/>
      <c r="D263" s="198"/>
      <c r="E263" s="180"/>
      <c r="F263" s="188"/>
      <c r="G263" s="183"/>
      <c r="H263" s="201"/>
      <c r="I263" s="184"/>
      <c r="J263" s="183"/>
      <c r="K263" s="185"/>
      <c r="L263" s="186"/>
      <c r="M263" s="186"/>
      <c r="N263" s="186"/>
      <c r="O263" s="187"/>
      <c r="P263" s="202"/>
    </row>
    <row r="264" spans="1:16" ht="45" customHeight="1">
      <c r="A264" s="316"/>
      <c r="B264" s="317"/>
      <c r="C264" s="299"/>
      <c r="D264" s="198"/>
      <c r="E264" s="180"/>
      <c r="F264" s="188"/>
      <c r="G264" s="183"/>
      <c r="H264" s="201"/>
      <c r="I264" s="184"/>
      <c r="J264" s="183"/>
      <c r="K264" s="185"/>
      <c r="L264" s="186"/>
      <c r="M264" s="186"/>
      <c r="N264" s="186"/>
      <c r="O264" s="187"/>
      <c r="P264" s="202"/>
    </row>
    <row r="265" spans="1:16" ht="45" customHeight="1">
      <c r="A265" s="316"/>
      <c r="C265" s="299"/>
      <c r="D265" s="198"/>
      <c r="E265" s="327"/>
      <c r="F265" s="328"/>
      <c r="G265" s="183"/>
      <c r="H265" s="183"/>
      <c r="I265" s="184"/>
      <c r="J265" s="183"/>
      <c r="K265" s="185"/>
      <c r="L265" s="186"/>
      <c r="M265" s="186"/>
      <c r="N265" s="186"/>
      <c r="O265" s="187"/>
      <c r="P265" s="202"/>
    </row>
    <row r="266" spans="1:16" ht="45" customHeight="1">
      <c r="A266" s="316"/>
      <c r="B266" s="317"/>
      <c r="C266" s="318"/>
      <c r="D266" s="198"/>
      <c r="E266" s="180"/>
      <c r="F266" s="188"/>
      <c r="G266" s="183"/>
      <c r="H266" s="183"/>
      <c r="I266" s="184"/>
      <c r="J266" s="183"/>
      <c r="K266" s="185"/>
      <c r="L266" s="186"/>
      <c r="M266" s="186"/>
      <c r="N266" s="186"/>
      <c r="O266" s="187"/>
      <c r="P266" s="202"/>
    </row>
    <row r="267" spans="1:16" ht="45" customHeight="1">
      <c r="A267" s="316"/>
      <c r="B267" s="317"/>
      <c r="C267" s="318"/>
      <c r="D267" s="198"/>
      <c r="E267" s="180"/>
      <c r="F267" s="188"/>
      <c r="G267" s="183"/>
      <c r="H267" s="183"/>
      <c r="I267" s="184"/>
      <c r="J267" s="183"/>
      <c r="K267" s="185"/>
      <c r="L267" s="186"/>
      <c r="M267" s="186"/>
      <c r="N267" s="186"/>
      <c r="O267" s="187"/>
      <c r="P267" s="202"/>
    </row>
    <row r="268" spans="1:16" ht="45" customHeight="1">
      <c r="A268" s="316"/>
      <c r="B268" s="317"/>
      <c r="C268" s="318"/>
      <c r="D268" s="198"/>
      <c r="E268" s="180"/>
      <c r="F268" s="188"/>
      <c r="G268" s="183"/>
      <c r="H268" s="183"/>
      <c r="I268" s="184"/>
      <c r="J268" s="183"/>
      <c r="K268" s="185"/>
      <c r="L268" s="186"/>
      <c r="M268" s="186"/>
      <c r="N268" s="186"/>
      <c r="O268" s="187"/>
      <c r="P268" s="202"/>
    </row>
    <row r="269" spans="1:16" ht="45" customHeight="1">
      <c r="A269" s="316"/>
      <c r="D269" s="198"/>
      <c r="E269" s="330"/>
      <c r="F269" s="328"/>
      <c r="G269" s="183"/>
      <c r="H269" s="183"/>
      <c r="I269" s="184"/>
      <c r="J269" s="183"/>
      <c r="K269" s="185"/>
      <c r="L269" s="186"/>
      <c r="M269" s="186"/>
      <c r="N269" s="186"/>
      <c r="O269" s="187"/>
      <c r="P269" s="202"/>
    </row>
    <row r="270" spans="1:16" ht="45" customHeight="1">
      <c r="A270" s="316"/>
      <c r="C270" s="299"/>
      <c r="D270" s="198"/>
      <c r="E270" s="180"/>
      <c r="F270" s="188"/>
      <c r="G270" s="183"/>
      <c r="H270" s="183"/>
      <c r="I270" s="184"/>
      <c r="J270" s="183"/>
      <c r="K270" s="185"/>
      <c r="L270" s="186"/>
      <c r="M270" s="186"/>
      <c r="N270" s="186"/>
      <c r="O270" s="187"/>
      <c r="P270" s="202"/>
    </row>
    <row r="271" spans="1:16" ht="45" customHeight="1">
      <c r="A271" s="316"/>
      <c r="C271" s="299"/>
      <c r="D271" s="198"/>
      <c r="E271" s="180"/>
      <c r="F271" s="188"/>
      <c r="G271" s="183"/>
      <c r="H271" s="183"/>
      <c r="I271" s="184"/>
      <c r="J271" s="183"/>
      <c r="K271" s="185"/>
      <c r="L271" s="186"/>
      <c r="M271" s="186"/>
      <c r="N271" s="186"/>
      <c r="O271" s="187"/>
      <c r="P271" s="202"/>
    </row>
    <row r="272" spans="1:16" ht="45" customHeight="1">
      <c r="A272" s="316"/>
      <c r="C272" s="299"/>
      <c r="D272" s="198"/>
      <c r="E272" s="180"/>
      <c r="F272" s="188"/>
      <c r="G272" s="183"/>
      <c r="H272" s="183"/>
      <c r="I272" s="184"/>
      <c r="J272" s="183"/>
      <c r="K272" s="185"/>
      <c r="L272" s="186"/>
      <c r="M272" s="186"/>
      <c r="N272" s="186"/>
      <c r="O272" s="187"/>
      <c r="P272" s="202"/>
    </row>
    <row r="273" spans="1:16" ht="45" customHeight="1">
      <c r="A273" s="316"/>
      <c r="C273" s="299"/>
      <c r="D273" s="198"/>
      <c r="E273" s="180"/>
      <c r="F273" s="188"/>
      <c r="G273" s="183"/>
      <c r="H273" s="183"/>
      <c r="I273" s="184"/>
      <c r="J273" s="183"/>
      <c r="K273" s="185"/>
      <c r="L273" s="186"/>
      <c r="M273" s="186"/>
      <c r="N273" s="186"/>
      <c r="O273" s="187"/>
      <c r="P273" s="202"/>
    </row>
    <row r="274" spans="1:16" ht="45" customHeight="1">
      <c r="A274" s="316"/>
      <c r="C274" s="299"/>
      <c r="D274" s="198"/>
      <c r="E274" s="180"/>
      <c r="F274" s="188"/>
      <c r="G274" s="183"/>
      <c r="H274" s="183"/>
      <c r="I274" s="184"/>
      <c r="J274" s="183"/>
      <c r="K274" s="185"/>
      <c r="L274" s="186"/>
      <c r="M274" s="186"/>
      <c r="N274" s="186"/>
      <c r="O274" s="187"/>
      <c r="P274" s="202"/>
    </row>
    <row r="275" spans="1:16" ht="45" customHeight="1">
      <c r="A275" s="316"/>
      <c r="C275" s="299"/>
      <c r="D275" s="198"/>
      <c r="E275" s="180"/>
      <c r="F275" s="188"/>
      <c r="G275" s="183"/>
      <c r="H275" s="183"/>
      <c r="I275" s="184"/>
      <c r="J275" s="183"/>
      <c r="K275" s="185"/>
      <c r="L275" s="186"/>
      <c r="M275" s="186"/>
      <c r="N275" s="186"/>
      <c r="O275" s="187"/>
      <c r="P275" s="202"/>
    </row>
    <row r="276" spans="1:16" ht="45" customHeight="1">
      <c r="A276" s="316"/>
      <c r="B276" s="317"/>
      <c r="C276" s="318"/>
      <c r="D276" s="198"/>
      <c r="E276" s="180"/>
      <c r="F276" s="188"/>
      <c r="G276" s="183"/>
      <c r="H276" s="183"/>
      <c r="I276" s="184"/>
      <c r="J276" s="183"/>
      <c r="K276" s="185"/>
      <c r="L276" s="186"/>
      <c r="M276" s="186"/>
      <c r="N276" s="186"/>
      <c r="O276" s="187"/>
      <c r="P276" s="202"/>
    </row>
    <row r="277" spans="1:16" ht="45" customHeight="1">
      <c r="A277" s="316"/>
      <c r="B277" s="317"/>
      <c r="C277" s="318"/>
      <c r="D277" s="198"/>
      <c r="E277" s="180"/>
      <c r="F277" s="188"/>
      <c r="G277" s="183"/>
      <c r="H277" s="183"/>
      <c r="I277" s="184"/>
      <c r="J277" s="183"/>
      <c r="K277" s="185"/>
      <c r="L277" s="186"/>
      <c r="M277" s="186"/>
      <c r="N277" s="186"/>
      <c r="O277" s="187"/>
      <c r="P277" s="202"/>
    </row>
    <row r="278" spans="1:16" ht="45" customHeight="1">
      <c r="A278" s="316"/>
      <c r="B278" s="317"/>
      <c r="C278" s="318"/>
      <c r="D278" s="198"/>
      <c r="E278" s="180"/>
      <c r="F278" s="188"/>
      <c r="G278" s="183"/>
      <c r="H278" s="183"/>
      <c r="I278" s="184"/>
      <c r="J278" s="183"/>
      <c r="K278" s="185"/>
      <c r="L278" s="186"/>
      <c r="M278" s="186"/>
      <c r="N278" s="186"/>
      <c r="O278" s="187"/>
      <c r="P278" s="202"/>
    </row>
    <row r="279" spans="1:16" ht="45" customHeight="1">
      <c r="A279" s="316"/>
      <c r="B279" s="317"/>
      <c r="C279" s="299"/>
      <c r="D279" s="198"/>
      <c r="E279" s="180"/>
      <c r="F279" s="188"/>
      <c r="G279" s="183"/>
      <c r="H279" s="201"/>
      <c r="I279" s="184"/>
      <c r="J279" s="183"/>
      <c r="K279" s="185"/>
      <c r="L279" s="186"/>
      <c r="M279" s="186"/>
      <c r="N279" s="186"/>
      <c r="O279" s="187"/>
      <c r="P279" s="202"/>
    </row>
    <row r="280" spans="1:16" ht="45" customHeight="1">
      <c r="A280" s="316"/>
      <c r="B280" s="317"/>
      <c r="C280" s="299"/>
      <c r="D280" s="198"/>
      <c r="E280" s="180"/>
      <c r="F280" s="188"/>
      <c r="G280" s="183"/>
      <c r="H280" s="201"/>
      <c r="I280" s="184"/>
      <c r="J280" s="183"/>
      <c r="K280" s="185"/>
      <c r="L280" s="186"/>
      <c r="M280" s="186"/>
      <c r="N280" s="186"/>
      <c r="O280" s="187"/>
      <c r="P280" s="202"/>
    </row>
    <row r="281" spans="1:16" ht="45" customHeight="1">
      <c r="A281" s="316"/>
      <c r="B281" s="317"/>
      <c r="C281" s="299"/>
      <c r="D281" s="198"/>
      <c r="E281" s="330"/>
      <c r="F281" s="328"/>
      <c r="G281" s="183"/>
      <c r="H281" s="201"/>
      <c r="I281" s="184"/>
      <c r="J281" s="183"/>
      <c r="K281" s="185"/>
      <c r="L281" s="186"/>
      <c r="M281" s="186"/>
      <c r="N281" s="186"/>
      <c r="O281" s="187"/>
      <c r="P281" s="202"/>
    </row>
    <row r="282" spans="1:16" ht="45" customHeight="1">
      <c r="A282" s="316"/>
      <c r="B282" s="317"/>
      <c r="C282" s="299"/>
      <c r="D282" s="198"/>
      <c r="E282" s="180"/>
      <c r="F282" s="188"/>
      <c r="G282" s="183"/>
      <c r="H282" s="201"/>
      <c r="I282" s="184"/>
      <c r="J282" s="183"/>
      <c r="K282" s="185"/>
      <c r="L282" s="329"/>
      <c r="M282" s="186"/>
      <c r="N282" s="186"/>
      <c r="O282" s="187"/>
      <c r="P282" s="202"/>
    </row>
    <row r="283" spans="1:16" s="205" customFormat="1" ht="45" customHeight="1">
      <c r="A283" s="316"/>
      <c r="B283" s="317"/>
      <c r="C283" s="299"/>
      <c r="D283" s="198"/>
      <c r="E283" s="330"/>
      <c r="F283" s="328"/>
      <c r="G283" s="183"/>
      <c r="H283" s="201"/>
      <c r="I283" s="184"/>
      <c r="J283" s="183"/>
      <c r="K283" s="185"/>
      <c r="L283" s="186"/>
      <c r="M283" s="186"/>
      <c r="N283" s="186"/>
      <c r="O283" s="187"/>
      <c r="P283" s="202"/>
    </row>
    <row r="284" spans="1:16" s="205" customFormat="1" ht="45" customHeight="1">
      <c r="A284" s="316"/>
      <c r="B284" s="317"/>
      <c r="C284" s="299"/>
      <c r="D284" s="198"/>
      <c r="E284" s="330"/>
      <c r="F284" s="328"/>
      <c r="G284" s="183"/>
      <c r="H284" s="201"/>
      <c r="I284" s="184"/>
      <c r="J284" s="183"/>
      <c r="K284" s="185"/>
      <c r="L284" s="186"/>
      <c r="M284" s="186"/>
      <c r="N284" s="186"/>
      <c r="O284" s="187"/>
      <c r="P284" s="202"/>
    </row>
    <row r="285" spans="1:16" s="205" customFormat="1" ht="45" customHeight="1">
      <c r="A285" s="316"/>
      <c r="B285" s="317"/>
      <c r="C285" s="299"/>
      <c r="D285" s="198"/>
      <c r="E285" s="180"/>
      <c r="F285" s="188"/>
      <c r="G285" s="183"/>
      <c r="H285" s="201"/>
      <c r="I285" s="184"/>
      <c r="J285" s="183"/>
      <c r="K285" s="185"/>
      <c r="L285" s="186"/>
      <c r="M285" s="186"/>
      <c r="N285" s="186"/>
      <c r="O285" s="187"/>
      <c r="P285" s="202"/>
    </row>
    <row r="286" spans="1:16" s="205" customFormat="1" ht="45" customHeight="1">
      <c r="A286" s="316"/>
      <c r="B286" s="197"/>
      <c r="C286" s="299"/>
      <c r="D286" s="198"/>
      <c r="E286" s="180"/>
      <c r="F286" s="188"/>
      <c r="G286" s="183"/>
      <c r="H286" s="183"/>
      <c r="I286" s="184"/>
      <c r="J286" s="183"/>
      <c r="K286" s="185"/>
      <c r="L286" s="186"/>
      <c r="M286" s="186"/>
      <c r="N286" s="186"/>
      <c r="O286" s="187"/>
      <c r="P286" s="202"/>
    </row>
    <row r="287" spans="1:16" s="205" customFormat="1" ht="45" customHeight="1">
      <c r="A287" s="316"/>
      <c r="B287" s="197"/>
      <c r="C287" s="299"/>
      <c r="D287" s="198"/>
      <c r="E287" s="180"/>
      <c r="F287" s="188"/>
      <c r="G287" s="183"/>
      <c r="H287" s="183"/>
      <c r="I287" s="184"/>
      <c r="J287" s="183"/>
      <c r="K287" s="185"/>
      <c r="L287" s="186"/>
      <c r="M287" s="186"/>
      <c r="N287" s="186"/>
      <c r="O287" s="187"/>
      <c r="P287" s="202"/>
    </row>
    <row r="288" spans="1:16" s="205" customFormat="1" ht="45" customHeight="1">
      <c r="A288" s="316"/>
      <c r="B288" s="197"/>
      <c r="C288" s="299"/>
      <c r="D288" s="198"/>
      <c r="E288" s="180"/>
      <c r="F288" s="188"/>
      <c r="G288" s="183"/>
      <c r="H288" s="183"/>
      <c r="I288" s="184"/>
      <c r="J288" s="183"/>
      <c r="K288" s="185"/>
      <c r="L288" s="186"/>
      <c r="M288" s="186"/>
      <c r="N288" s="186"/>
      <c r="O288" s="187"/>
      <c r="P288" s="202"/>
    </row>
    <row r="289" spans="1:16" s="205" customFormat="1" ht="45" customHeight="1">
      <c r="A289" s="316"/>
      <c r="B289" s="197"/>
      <c r="C289" s="299"/>
      <c r="D289" s="198"/>
      <c r="E289" s="180"/>
      <c r="F289" s="188"/>
      <c r="G289" s="183"/>
      <c r="H289" s="183"/>
      <c r="I289" s="184"/>
      <c r="J289" s="183"/>
      <c r="K289" s="185"/>
      <c r="L289" s="186"/>
      <c r="M289" s="186"/>
      <c r="N289" s="186"/>
      <c r="O289" s="187"/>
      <c r="P289" s="202"/>
    </row>
    <row r="290" spans="1:16" s="205" customFormat="1" ht="45" customHeight="1">
      <c r="A290" s="316"/>
      <c r="B290" s="197"/>
      <c r="C290" s="299"/>
      <c r="D290" s="198"/>
      <c r="E290" s="180"/>
      <c r="F290" s="188"/>
      <c r="G290" s="183"/>
      <c r="H290" s="183"/>
      <c r="I290" s="184"/>
      <c r="J290" s="183"/>
      <c r="K290" s="185"/>
      <c r="L290" s="186"/>
      <c r="M290" s="186"/>
      <c r="N290" s="186"/>
      <c r="O290" s="187"/>
      <c r="P290" s="202"/>
    </row>
    <row r="291" spans="1:16" s="205" customFormat="1" ht="45" customHeight="1">
      <c r="A291" s="316"/>
      <c r="B291" s="317"/>
      <c r="C291" s="318"/>
      <c r="D291" s="198"/>
      <c r="E291" s="180"/>
      <c r="F291" s="188"/>
      <c r="G291" s="183"/>
      <c r="H291" s="183"/>
      <c r="I291" s="184"/>
      <c r="J291" s="183"/>
      <c r="K291" s="185"/>
      <c r="L291" s="186"/>
      <c r="M291" s="186"/>
      <c r="N291" s="186"/>
      <c r="O291" s="187"/>
      <c r="P291" s="202"/>
    </row>
    <row r="292" spans="1:16" s="205" customFormat="1" ht="45" customHeight="1">
      <c r="A292" s="316"/>
      <c r="B292" s="317"/>
      <c r="C292" s="299"/>
      <c r="D292" s="198"/>
      <c r="E292" s="180"/>
      <c r="F292" s="188"/>
      <c r="G292" s="183"/>
      <c r="H292" s="201"/>
      <c r="I292" s="184"/>
      <c r="J292" s="183"/>
      <c r="K292" s="185"/>
      <c r="L292" s="186"/>
      <c r="M292" s="186"/>
      <c r="N292" s="186"/>
      <c r="O292" s="187"/>
      <c r="P292" s="202"/>
    </row>
    <row r="293" spans="1:16" ht="45" customHeight="1">
      <c r="A293" s="316"/>
      <c r="B293" s="317"/>
      <c r="C293" s="299"/>
      <c r="D293" s="198"/>
      <c r="E293" s="180"/>
      <c r="F293" s="188"/>
      <c r="G293" s="183"/>
      <c r="H293" s="201"/>
      <c r="I293" s="184"/>
      <c r="J293" s="183"/>
      <c r="K293" s="185"/>
      <c r="L293" s="186"/>
      <c r="M293" s="186"/>
      <c r="N293" s="186"/>
      <c r="O293" s="187"/>
      <c r="P293" s="202"/>
    </row>
    <row r="294" spans="1:16" ht="45" customHeight="1">
      <c r="A294" s="316"/>
      <c r="B294" s="317"/>
      <c r="C294" s="299"/>
      <c r="D294" s="198"/>
      <c r="E294" s="180"/>
      <c r="F294" s="188"/>
      <c r="G294" s="183"/>
      <c r="H294" s="201"/>
      <c r="I294" s="184"/>
      <c r="J294" s="183"/>
      <c r="K294" s="185"/>
      <c r="L294" s="186"/>
      <c r="M294" s="186"/>
      <c r="N294" s="186"/>
      <c r="O294" s="187"/>
      <c r="P294" s="202"/>
    </row>
    <row r="295" spans="1:16" ht="45" customHeight="1">
      <c r="A295" s="316"/>
      <c r="C295" s="299"/>
      <c r="D295" s="198"/>
      <c r="E295" s="180"/>
      <c r="F295" s="179"/>
      <c r="G295" s="183"/>
      <c r="H295" s="183"/>
      <c r="I295" s="184"/>
      <c r="J295" s="183"/>
      <c r="K295" s="185"/>
      <c r="L295" s="186"/>
      <c r="M295" s="186"/>
      <c r="N295" s="186"/>
      <c r="O295" s="187"/>
      <c r="P295" s="202"/>
    </row>
    <row r="296" spans="1:16" ht="45" customHeight="1">
      <c r="A296" s="316"/>
      <c r="C296" s="299"/>
      <c r="D296" s="198"/>
      <c r="E296" s="180"/>
      <c r="F296" s="179"/>
      <c r="G296" s="183"/>
      <c r="H296" s="183"/>
      <c r="I296" s="184"/>
      <c r="J296" s="183"/>
      <c r="K296" s="185"/>
      <c r="L296" s="186"/>
      <c r="M296" s="186"/>
      <c r="N296" s="186"/>
      <c r="O296" s="187"/>
      <c r="P296" s="202"/>
    </row>
    <row r="297" spans="1:16" ht="45" customHeight="1">
      <c r="A297" s="316"/>
      <c r="C297" s="299"/>
      <c r="D297" s="198"/>
      <c r="E297" s="180"/>
      <c r="F297" s="188"/>
      <c r="G297" s="183"/>
      <c r="H297" s="183"/>
      <c r="I297" s="184"/>
      <c r="J297" s="183"/>
      <c r="K297" s="185"/>
      <c r="L297" s="186"/>
      <c r="M297" s="186"/>
      <c r="N297" s="186"/>
      <c r="O297" s="187"/>
      <c r="P297" s="202"/>
    </row>
    <row r="298" spans="1:16" ht="45" customHeight="1">
      <c r="A298" s="316"/>
      <c r="C298" s="299"/>
      <c r="D298" s="198"/>
      <c r="E298" s="180"/>
      <c r="F298" s="188"/>
      <c r="G298" s="183"/>
      <c r="H298" s="183"/>
      <c r="I298" s="184"/>
      <c r="J298" s="183"/>
      <c r="K298" s="185"/>
      <c r="L298" s="186"/>
      <c r="M298" s="186"/>
      <c r="N298" s="186"/>
      <c r="O298" s="187"/>
      <c r="P298" s="202"/>
    </row>
    <row r="299" spans="1:16" ht="45" customHeight="1">
      <c r="A299" s="316"/>
      <c r="B299" s="317"/>
      <c r="C299" s="318"/>
      <c r="D299" s="198"/>
      <c r="E299" s="180"/>
      <c r="F299" s="188"/>
      <c r="G299" s="183"/>
      <c r="H299" s="183"/>
      <c r="I299" s="184"/>
      <c r="J299" s="183"/>
      <c r="K299" s="185"/>
      <c r="L299" s="186"/>
      <c r="M299" s="186"/>
      <c r="N299" s="186"/>
      <c r="O299" s="187"/>
      <c r="P299" s="202"/>
    </row>
    <row r="300" spans="1:16" ht="45" customHeight="1">
      <c r="A300" s="316"/>
      <c r="B300" s="317"/>
      <c r="C300" s="318"/>
      <c r="D300" s="198"/>
      <c r="E300" s="180"/>
      <c r="F300" s="188"/>
      <c r="G300" s="183"/>
      <c r="H300" s="183"/>
      <c r="I300" s="184"/>
      <c r="J300" s="183"/>
      <c r="K300" s="185"/>
      <c r="L300" s="186"/>
      <c r="M300" s="186"/>
      <c r="N300" s="186"/>
      <c r="O300" s="187"/>
      <c r="P300" s="202"/>
    </row>
    <row r="301" spans="1:16" ht="45" customHeight="1">
      <c r="A301" s="316"/>
      <c r="B301" s="317"/>
      <c r="C301" s="299"/>
      <c r="D301" s="198"/>
      <c r="E301" s="180"/>
      <c r="F301" s="188"/>
      <c r="G301" s="183"/>
      <c r="H301" s="201"/>
      <c r="I301" s="184"/>
      <c r="J301" s="183"/>
      <c r="K301" s="185"/>
      <c r="L301" s="186"/>
      <c r="M301" s="186"/>
      <c r="N301" s="186"/>
      <c r="O301" s="187"/>
      <c r="P301" s="202"/>
    </row>
    <row r="302" spans="1:16" ht="45" customHeight="1">
      <c r="A302" s="316"/>
      <c r="B302" s="317"/>
      <c r="C302" s="299"/>
      <c r="D302" s="198"/>
      <c r="E302" s="180"/>
      <c r="F302" s="179"/>
      <c r="G302" s="183"/>
      <c r="H302" s="201"/>
      <c r="I302" s="184"/>
      <c r="J302" s="183"/>
      <c r="K302" s="185"/>
      <c r="L302" s="186"/>
      <c r="M302" s="186"/>
      <c r="N302" s="186"/>
      <c r="O302" s="187"/>
      <c r="P302" s="202"/>
    </row>
    <row r="303" spans="1:16" ht="45" customHeight="1">
      <c r="A303" s="316"/>
      <c r="B303" s="317"/>
      <c r="C303" s="299"/>
      <c r="D303" s="198"/>
      <c r="E303" s="180"/>
      <c r="F303" s="179"/>
      <c r="G303" s="183"/>
      <c r="H303" s="201"/>
      <c r="I303" s="184"/>
      <c r="J303" s="183"/>
      <c r="K303" s="185"/>
      <c r="L303" s="186"/>
      <c r="M303" s="186"/>
      <c r="N303" s="186"/>
      <c r="O303" s="187"/>
      <c r="P303" s="202"/>
    </row>
    <row r="304" spans="1:16" ht="45" customHeight="1">
      <c r="A304" s="316"/>
      <c r="B304" s="317"/>
      <c r="C304" s="299"/>
      <c r="D304" s="198"/>
      <c r="E304" s="180"/>
      <c r="F304" s="179"/>
      <c r="G304" s="183"/>
      <c r="H304" s="201"/>
      <c r="I304" s="184"/>
      <c r="J304" s="183"/>
      <c r="K304" s="185"/>
      <c r="L304" s="186"/>
      <c r="M304" s="186"/>
      <c r="N304" s="186"/>
      <c r="O304" s="187"/>
      <c r="P304" s="202"/>
    </row>
    <row r="305" spans="1:16" ht="45" customHeight="1">
      <c r="A305" s="316"/>
      <c r="B305" s="317"/>
      <c r="C305" s="299"/>
      <c r="D305" s="198"/>
      <c r="E305" s="180"/>
      <c r="F305" s="179"/>
      <c r="G305" s="183"/>
      <c r="H305" s="201"/>
      <c r="I305" s="184"/>
      <c r="J305" s="183"/>
      <c r="K305" s="185"/>
      <c r="L305" s="186"/>
      <c r="M305" s="186"/>
      <c r="N305" s="186"/>
      <c r="O305" s="187"/>
      <c r="P305" s="202"/>
    </row>
    <row r="306" spans="1:16" ht="45" customHeight="1">
      <c r="A306" s="316"/>
      <c r="C306" s="299"/>
      <c r="D306" s="198"/>
      <c r="E306" s="180"/>
      <c r="F306" s="188"/>
      <c r="G306" s="183"/>
      <c r="H306" s="183"/>
      <c r="I306" s="184"/>
      <c r="J306" s="183"/>
      <c r="K306" s="185"/>
      <c r="L306" s="186"/>
      <c r="M306" s="186"/>
      <c r="N306" s="186"/>
      <c r="O306" s="187"/>
      <c r="P306" s="202"/>
    </row>
    <row r="307" spans="1:16" ht="45" customHeight="1">
      <c r="A307" s="316"/>
      <c r="C307" s="299"/>
      <c r="D307" s="198"/>
      <c r="E307" s="180"/>
      <c r="F307" s="188"/>
      <c r="G307" s="183"/>
      <c r="H307" s="183"/>
      <c r="I307" s="184"/>
      <c r="J307" s="183"/>
      <c r="K307" s="185"/>
      <c r="L307" s="186"/>
      <c r="M307" s="186"/>
      <c r="N307" s="186"/>
      <c r="O307" s="187"/>
      <c r="P307" s="202"/>
    </row>
    <row r="308" spans="1:16" ht="45" customHeight="1">
      <c r="A308" s="316"/>
      <c r="C308" s="299"/>
      <c r="D308" s="198"/>
      <c r="E308" s="180"/>
      <c r="F308" s="188"/>
      <c r="G308" s="183"/>
      <c r="H308" s="183"/>
      <c r="I308" s="184"/>
      <c r="J308" s="183"/>
      <c r="K308" s="185"/>
      <c r="L308" s="186"/>
      <c r="M308" s="186"/>
      <c r="N308" s="186"/>
      <c r="O308" s="187"/>
      <c r="P308" s="202"/>
    </row>
    <row r="309" spans="1:16" ht="45" customHeight="1">
      <c r="A309" s="316"/>
      <c r="C309" s="299"/>
      <c r="D309" s="198"/>
      <c r="E309" s="180"/>
      <c r="F309" s="188"/>
      <c r="G309" s="183"/>
      <c r="H309" s="183"/>
      <c r="I309" s="184"/>
      <c r="J309" s="183"/>
      <c r="K309" s="185"/>
      <c r="L309" s="186"/>
      <c r="M309" s="186"/>
      <c r="N309" s="186"/>
      <c r="O309" s="187"/>
      <c r="P309" s="202"/>
    </row>
    <row r="310" spans="1:16" s="205" customFormat="1" ht="45" customHeight="1">
      <c r="A310" s="316"/>
      <c r="B310" s="197"/>
      <c r="C310" s="299"/>
      <c r="D310" s="198"/>
      <c r="E310" s="180"/>
      <c r="F310" s="188"/>
      <c r="G310" s="183"/>
      <c r="H310" s="183"/>
      <c r="I310" s="184"/>
      <c r="J310" s="183"/>
      <c r="K310" s="185"/>
      <c r="L310" s="186"/>
      <c r="M310" s="186"/>
      <c r="N310" s="186"/>
      <c r="O310" s="187"/>
      <c r="P310" s="202"/>
    </row>
    <row r="311" spans="1:16" s="205" customFormat="1" ht="45" customHeight="1">
      <c r="A311" s="316"/>
      <c r="B311" s="197"/>
      <c r="C311" s="299"/>
      <c r="D311" s="198"/>
      <c r="E311" s="180"/>
      <c r="F311" s="188"/>
      <c r="G311" s="183"/>
      <c r="H311" s="183"/>
      <c r="I311" s="184"/>
      <c r="J311" s="183"/>
      <c r="K311" s="185"/>
      <c r="L311" s="186"/>
      <c r="M311" s="186"/>
      <c r="N311" s="186"/>
      <c r="O311" s="187"/>
      <c r="P311" s="202"/>
    </row>
    <row r="312" spans="1:16" s="205" customFormat="1" ht="45" customHeight="1">
      <c r="A312" s="316"/>
      <c r="B312" s="197"/>
      <c r="C312" s="299"/>
      <c r="D312" s="198"/>
      <c r="E312" s="180"/>
      <c r="F312" s="188"/>
      <c r="G312" s="183"/>
      <c r="H312" s="183"/>
      <c r="I312" s="184"/>
      <c r="J312" s="183"/>
      <c r="K312" s="185"/>
      <c r="L312" s="186"/>
      <c r="M312" s="186"/>
      <c r="N312" s="186"/>
      <c r="O312" s="187"/>
      <c r="P312" s="202"/>
    </row>
    <row r="313" spans="1:16" s="205" customFormat="1" ht="45" customHeight="1">
      <c r="A313" s="316"/>
      <c r="B313" s="317"/>
      <c r="C313" s="318"/>
      <c r="D313" s="198"/>
      <c r="E313" s="180"/>
      <c r="F313" s="188"/>
      <c r="G313" s="183"/>
      <c r="H313" s="183"/>
      <c r="I313" s="184"/>
      <c r="J313" s="183"/>
      <c r="K313" s="185"/>
      <c r="L313" s="186"/>
      <c r="M313" s="186"/>
      <c r="N313" s="186"/>
      <c r="O313" s="187"/>
      <c r="P313" s="202"/>
    </row>
    <row r="314" spans="1:16" ht="45" customHeight="1">
      <c r="A314" s="316"/>
      <c r="B314" s="317"/>
      <c r="C314" s="318"/>
      <c r="D314" s="198"/>
      <c r="E314" s="180"/>
      <c r="F314" s="188"/>
      <c r="G314" s="183"/>
      <c r="H314" s="183"/>
      <c r="I314" s="184"/>
      <c r="J314" s="183"/>
      <c r="K314" s="185"/>
      <c r="L314" s="186"/>
      <c r="M314" s="186"/>
      <c r="N314" s="186"/>
      <c r="O314" s="187"/>
      <c r="P314" s="202"/>
    </row>
    <row r="315" spans="1:16" ht="45" customHeight="1">
      <c r="A315" s="316"/>
      <c r="B315" s="317"/>
      <c r="C315" s="318"/>
      <c r="D315" s="198"/>
      <c r="E315" s="180"/>
      <c r="F315" s="188"/>
      <c r="G315" s="183"/>
      <c r="H315" s="183"/>
      <c r="I315" s="184"/>
      <c r="J315" s="183"/>
      <c r="K315" s="185"/>
      <c r="L315" s="186"/>
      <c r="M315" s="186"/>
      <c r="N315" s="186"/>
      <c r="O315" s="187"/>
      <c r="P315" s="202"/>
    </row>
    <row r="316" spans="1:16" ht="45" customHeight="1">
      <c r="A316" s="316"/>
      <c r="B316" s="317"/>
      <c r="C316" s="299"/>
      <c r="D316" s="198"/>
      <c r="E316" s="327"/>
      <c r="F316" s="328"/>
      <c r="G316" s="183"/>
      <c r="H316" s="201"/>
      <c r="I316" s="184"/>
      <c r="J316" s="183"/>
      <c r="K316" s="185"/>
      <c r="L316" s="186"/>
      <c r="M316" s="186"/>
      <c r="N316" s="186"/>
      <c r="O316" s="187"/>
      <c r="P316" s="202"/>
    </row>
    <row r="317" spans="1:16" ht="45" customHeight="1">
      <c r="A317" s="316"/>
      <c r="B317" s="317"/>
      <c r="C317" s="299"/>
      <c r="D317" s="198"/>
      <c r="E317" s="180"/>
      <c r="F317" s="188"/>
      <c r="G317" s="183"/>
      <c r="H317" s="201"/>
      <c r="I317" s="184"/>
      <c r="J317" s="183"/>
      <c r="K317" s="185"/>
      <c r="L317" s="186"/>
      <c r="M317" s="186"/>
      <c r="N317" s="186"/>
      <c r="O317" s="187"/>
      <c r="P317" s="202"/>
    </row>
    <row r="318" spans="1:16" ht="45" customHeight="1">
      <c r="A318" s="316"/>
      <c r="B318" s="317"/>
      <c r="C318" s="337"/>
      <c r="D318" s="198"/>
      <c r="E318" s="180"/>
      <c r="F318" s="188"/>
      <c r="G318" s="183"/>
      <c r="H318" s="201"/>
      <c r="I318" s="184"/>
      <c r="J318" s="183"/>
      <c r="K318" s="185"/>
      <c r="L318" s="186"/>
      <c r="M318" s="186"/>
      <c r="N318" s="186"/>
      <c r="O318" s="187"/>
      <c r="P318" s="202"/>
    </row>
    <row r="319" spans="1:16" ht="45" customHeight="1">
      <c r="A319" s="316"/>
      <c r="B319" s="317"/>
      <c r="C319" s="299"/>
      <c r="D319" s="198"/>
      <c r="E319" s="180"/>
      <c r="F319" s="188"/>
      <c r="G319" s="183"/>
      <c r="H319" s="201"/>
      <c r="I319" s="184"/>
      <c r="J319" s="183"/>
      <c r="K319" s="185"/>
      <c r="L319" s="186"/>
      <c r="M319" s="186"/>
      <c r="N319" s="186"/>
      <c r="O319" s="187"/>
      <c r="P319" s="202"/>
    </row>
    <row r="320" spans="1:16" ht="45" customHeight="1">
      <c r="A320" s="316"/>
      <c r="B320" s="317"/>
      <c r="C320" s="299"/>
      <c r="D320" s="198"/>
      <c r="E320" s="180"/>
      <c r="F320" s="188"/>
      <c r="G320" s="183"/>
      <c r="H320" s="201"/>
      <c r="I320" s="184"/>
      <c r="J320" s="183"/>
      <c r="K320" s="185"/>
      <c r="L320" s="186"/>
      <c r="M320" s="186"/>
      <c r="N320" s="186"/>
      <c r="O320" s="187"/>
      <c r="P320" s="202"/>
    </row>
    <row r="321" spans="1:16" s="205" customFormat="1" ht="45" customHeight="1">
      <c r="A321" s="316"/>
      <c r="B321" s="317"/>
      <c r="C321" s="299"/>
      <c r="D321" s="198"/>
      <c r="E321" s="180"/>
      <c r="F321" s="188"/>
      <c r="G321" s="183"/>
      <c r="H321" s="201"/>
      <c r="I321" s="184"/>
      <c r="J321" s="183"/>
      <c r="K321" s="185"/>
      <c r="L321" s="186"/>
      <c r="M321" s="186"/>
      <c r="N321" s="186"/>
      <c r="O321" s="187"/>
      <c r="P321" s="202"/>
    </row>
    <row r="322" spans="1:16" s="205" customFormat="1" ht="45" customHeight="1">
      <c r="A322" s="316"/>
      <c r="B322" s="317"/>
      <c r="C322" s="299"/>
      <c r="D322" s="198"/>
      <c r="E322" s="180"/>
      <c r="F322" s="188"/>
      <c r="G322" s="183"/>
      <c r="H322" s="201"/>
      <c r="I322" s="184"/>
      <c r="J322" s="183"/>
      <c r="K322" s="185"/>
      <c r="L322" s="186"/>
      <c r="M322" s="186"/>
      <c r="N322" s="186"/>
      <c r="O322" s="187"/>
      <c r="P322" s="202"/>
    </row>
    <row r="323" spans="1:16" s="205" customFormat="1" ht="45" customHeight="1">
      <c r="A323" s="316"/>
      <c r="B323" s="317"/>
      <c r="C323" s="299"/>
      <c r="D323" s="198"/>
      <c r="E323" s="180"/>
      <c r="F323" s="188"/>
      <c r="G323" s="183"/>
      <c r="H323" s="201"/>
      <c r="I323" s="184"/>
      <c r="J323" s="183"/>
      <c r="K323" s="185"/>
      <c r="L323" s="186"/>
      <c r="M323" s="186"/>
      <c r="N323" s="186"/>
      <c r="O323" s="187"/>
      <c r="P323" s="202"/>
    </row>
    <row r="324" spans="1:16" s="205" customFormat="1" ht="45" customHeight="1">
      <c r="A324" s="316"/>
      <c r="B324" s="197"/>
      <c r="C324" s="299"/>
      <c r="D324" s="198"/>
      <c r="E324" s="180"/>
      <c r="F324" s="188"/>
      <c r="G324" s="183"/>
      <c r="H324" s="183"/>
      <c r="I324" s="184"/>
      <c r="J324" s="183"/>
      <c r="K324" s="185"/>
      <c r="L324" s="186"/>
      <c r="M324" s="186"/>
      <c r="N324" s="186"/>
      <c r="O324" s="187"/>
      <c r="P324" s="202"/>
    </row>
    <row r="325" spans="1:16" s="205" customFormat="1" ht="45" customHeight="1">
      <c r="A325" s="316"/>
      <c r="B325" s="197"/>
      <c r="C325" s="299"/>
      <c r="D325" s="198"/>
      <c r="E325" s="180"/>
      <c r="F325" s="188"/>
      <c r="G325" s="183"/>
      <c r="H325" s="183"/>
      <c r="I325" s="184"/>
      <c r="J325" s="183"/>
      <c r="K325" s="185"/>
      <c r="L325" s="186"/>
      <c r="M325" s="186"/>
      <c r="N325" s="186"/>
      <c r="O325" s="187"/>
      <c r="P325" s="202"/>
    </row>
    <row r="326" spans="1:16" s="205" customFormat="1" ht="45" customHeight="1">
      <c r="A326" s="316"/>
      <c r="B326" s="197"/>
      <c r="C326" s="299"/>
      <c r="D326" s="198"/>
      <c r="E326" s="180"/>
      <c r="F326" s="188"/>
      <c r="G326" s="183"/>
      <c r="H326" s="183"/>
      <c r="I326" s="184"/>
      <c r="J326" s="183"/>
      <c r="K326" s="185"/>
      <c r="L326" s="186"/>
      <c r="M326" s="186"/>
      <c r="N326" s="186"/>
      <c r="O326" s="187"/>
      <c r="P326" s="202"/>
    </row>
    <row r="327" spans="1:16" s="205" customFormat="1" ht="45" customHeight="1">
      <c r="A327" s="316"/>
      <c r="B327" s="197"/>
      <c r="C327" s="299"/>
      <c r="D327" s="198"/>
      <c r="E327" s="180"/>
      <c r="F327" s="188"/>
      <c r="G327" s="183"/>
      <c r="H327" s="183"/>
      <c r="I327" s="184"/>
      <c r="J327" s="183"/>
      <c r="K327" s="185"/>
      <c r="L327" s="186"/>
      <c r="M327" s="186"/>
      <c r="N327" s="186"/>
      <c r="O327" s="187"/>
      <c r="P327" s="202"/>
    </row>
    <row r="328" spans="1:16" s="205" customFormat="1" ht="45" customHeight="1">
      <c r="A328" s="316"/>
      <c r="B328" s="197"/>
      <c r="C328" s="299"/>
      <c r="D328" s="198"/>
      <c r="E328" s="180"/>
      <c r="F328" s="188"/>
      <c r="G328" s="183"/>
      <c r="H328" s="183"/>
      <c r="I328" s="184"/>
      <c r="J328" s="183"/>
      <c r="K328" s="185"/>
      <c r="L328" s="186"/>
      <c r="M328" s="186"/>
      <c r="N328" s="186"/>
      <c r="O328" s="187"/>
      <c r="P328" s="202"/>
    </row>
    <row r="329" spans="1:16" s="205" customFormat="1" ht="45" customHeight="1">
      <c r="A329" s="316"/>
      <c r="B329" s="197"/>
      <c r="C329" s="299"/>
      <c r="D329" s="198"/>
      <c r="E329" s="180"/>
      <c r="F329" s="188"/>
      <c r="G329" s="183"/>
      <c r="H329" s="183"/>
      <c r="I329" s="184"/>
      <c r="J329" s="183"/>
      <c r="K329" s="185"/>
      <c r="L329" s="186"/>
      <c r="M329" s="186"/>
      <c r="N329" s="186"/>
      <c r="O329" s="187"/>
      <c r="P329" s="202"/>
    </row>
    <row r="330" spans="1:16" s="205" customFormat="1" ht="45" customHeight="1">
      <c r="A330" s="316"/>
      <c r="B330" s="317"/>
      <c r="C330" s="318"/>
      <c r="D330" s="198"/>
      <c r="E330" s="180"/>
      <c r="F330" s="188"/>
      <c r="G330" s="183"/>
      <c r="H330" s="183"/>
      <c r="I330" s="184"/>
      <c r="J330" s="183"/>
      <c r="K330" s="185"/>
      <c r="L330" s="186"/>
      <c r="M330" s="186"/>
      <c r="N330" s="186"/>
      <c r="O330" s="187"/>
      <c r="P330" s="202"/>
    </row>
    <row r="331" spans="1:16" s="205" customFormat="1" ht="45" customHeight="1">
      <c r="A331" s="316"/>
      <c r="B331" s="317"/>
      <c r="C331" s="318"/>
      <c r="D331" s="198"/>
      <c r="E331" s="180"/>
      <c r="F331" s="188"/>
      <c r="G331" s="183"/>
      <c r="H331" s="183"/>
      <c r="I331" s="184"/>
      <c r="J331" s="183"/>
      <c r="K331" s="185"/>
      <c r="L331" s="186"/>
      <c r="M331" s="186"/>
      <c r="N331" s="186"/>
      <c r="O331" s="187"/>
      <c r="P331" s="202"/>
    </row>
    <row r="332" spans="1:16" s="205" customFormat="1" ht="45" customHeight="1">
      <c r="A332" s="316"/>
      <c r="B332" s="317"/>
      <c r="C332" s="318"/>
      <c r="D332" s="198"/>
      <c r="E332" s="180"/>
      <c r="F332" s="188"/>
      <c r="G332" s="183"/>
      <c r="H332" s="183"/>
      <c r="I332" s="184"/>
      <c r="J332" s="183"/>
      <c r="K332" s="185"/>
      <c r="L332" s="186"/>
      <c r="M332" s="186"/>
      <c r="N332" s="186"/>
      <c r="O332" s="187"/>
      <c r="P332" s="202"/>
    </row>
    <row r="333" spans="1:16" s="205" customFormat="1" ht="45" customHeight="1">
      <c r="A333" s="316"/>
      <c r="B333" s="317"/>
      <c r="C333" s="299"/>
      <c r="D333" s="198"/>
      <c r="E333" s="180"/>
      <c r="F333" s="188"/>
      <c r="G333" s="183"/>
      <c r="H333" s="201"/>
      <c r="I333" s="184"/>
      <c r="J333" s="183"/>
      <c r="K333" s="185"/>
      <c r="L333" s="186"/>
      <c r="M333" s="186"/>
      <c r="N333" s="186"/>
      <c r="O333" s="187"/>
      <c r="P333" s="202"/>
    </row>
    <row r="334" spans="1:16" s="205" customFormat="1" ht="45" customHeight="1">
      <c r="A334" s="316"/>
      <c r="B334" s="317"/>
      <c r="C334" s="299"/>
      <c r="D334" s="198"/>
      <c r="E334" s="180"/>
      <c r="F334" s="188"/>
      <c r="G334" s="183"/>
      <c r="H334" s="201"/>
      <c r="I334" s="184"/>
      <c r="J334" s="183"/>
      <c r="K334" s="185"/>
      <c r="L334" s="186"/>
      <c r="M334" s="186"/>
      <c r="N334" s="186"/>
      <c r="O334" s="187"/>
      <c r="P334" s="202"/>
    </row>
    <row r="335" spans="1:16" s="205" customFormat="1" ht="45" customHeight="1">
      <c r="A335" s="316"/>
      <c r="B335" s="317"/>
      <c r="C335" s="299"/>
      <c r="D335" s="198"/>
      <c r="E335" s="180"/>
      <c r="F335" s="188"/>
      <c r="G335" s="183"/>
      <c r="H335" s="201"/>
      <c r="I335" s="184"/>
      <c r="J335" s="183"/>
      <c r="K335" s="185"/>
      <c r="L335" s="186"/>
      <c r="M335" s="186"/>
      <c r="N335" s="186"/>
      <c r="O335" s="187"/>
      <c r="P335" s="202"/>
    </row>
    <row r="336" spans="1:16" s="205" customFormat="1" ht="45" customHeight="1">
      <c r="A336" s="316"/>
      <c r="B336" s="317"/>
      <c r="C336" s="299"/>
      <c r="D336" s="198"/>
      <c r="E336" s="330"/>
      <c r="F336" s="328"/>
      <c r="G336" s="183"/>
      <c r="H336" s="201"/>
      <c r="I336" s="184"/>
      <c r="J336" s="183"/>
      <c r="K336" s="185"/>
      <c r="L336" s="186"/>
      <c r="M336" s="186"/>
      <c r="N336" s="186"/>
      <c r="O336" s="187"/>
      <c r="P336" s="202"/>
    </row>
    <row r="337" spans="1:16" ht="45" customHeight="1">
      <c r="A337" s="316"/>
      <c r="B337" s="317"/>
      <c r="C337" s="299"/>
      <c r="D337" s="198"/>
      <c r="E337" s="180"/>
      <c r="F337" s="188"/>
      <c r="G337" s="183"/>
      <c r="H337" s="201"/>
      <c r="I337" s="184"/>
      <c r="J337" s="183"/>
      <c r="K337" s="185"/>
      <c r="L337" s="186"/>
      <c r="M337" s="186"/>
      <c r="N337" s="186"/>
      <c r="O337" s="187"/>
      <c r="P337" s="202"/>
    </row>
    <row r="338" spans="1:16" ht="45" customHeight="1">
      <c r="A338" s="316"/>
      <c r="B338" s="334"/>
      <c r="C338" s="318"/>
      <c r="D338" s="198"/>
      <c r="E338" s="330"/>
      <c r="F338" s="328"/>
      <c r="G338" s="183"/>
      <c r="H338" s="183"/>
      <c r="I338" s="184"/>
      <c r="J338" s="183"/>
      <c r="K338" s="185"/>
      <c r="L338" s="186"/>
      <c r="M338" s="186"/>
      <c r="N338" s="186"/>
      <c r="O338" s="187"/>
      <c r="P338" s="202"/>
    </row>
    <row r="339" spans="1:16" s="205" customFormat="1" ht="45" customHeight="1">
      <c r="A339" s="316"/>
      <c r="B339" s="334"/>
      <c r="C339" s="318"/>
      <c r="D339" s="198"/>
      <c r="E339" s="330"/>
      <c r="F339" s="328"/>
      <c r="G339" s="183"/>
      <c r="H339" s="183"/>
      <c r="I339" s="184"/>
      <c r="J339" s="183"/>
      <c r="K339" s="185"/>
      <c r="L339" s="186"/>
      <c r="M339" s="186"/>
      <c r="N339" s="186"/>
      <c r="O339" s="187"/>
      <c r="P339" s="202"/>
    </row>
    <row r="340" spans="1:16" ht="45" customHeight="1">
      <c r="A340" s="316"/>
      <c r="B340" s="334"/>
      <c r="C340" s="318"/>
      <c r="D340" s="198"/>
      <c r="E340" s="330"/>
      <c r="F340" s="328"/>
      <c r="G340" s="183"/>
      <c r="H340" s="183"/>
      <c r="I340" s="184"/>
      <c r="J340" s="183"/>
      <c r="K340" s="185"/>
      <c r="L340" s="186"/>
      <c r="M340" s="186"/>
      <c r="N340" s="186"/>
      <c r="O340" s="187"/>
      <c r="P340" s="202"/>
    </row>
    <row r="341" spans="1:16" ht="45" customHeight="1">
      <c r="A341" s="316"/>
      <c r="B341" s="317"/>
      <c r="D341" s="198"/>
      <c r="E341" s="180"/>
      <c r="F341" s="188"/>
      <c r="G341" s="183"/>
      <c r="H341" s="183"/>
      <c r="I341" s="184"/>
      <c r="J341" s="183"/>
      <c r="K341" s="185"/>
      <c r="L341" s="186"/>
      <c r="M341" s="186"/>
      <c r="N341" s="186"/>
      <c r="O341" s="187"/>
      <c r="P341" s="202"/>
    </row>
    <row r="342" spans="1:16" s="205" customFormat="1" ht="45" customHeight="1">
      <c r="A342" s="316"/>
      <c r="B342" s="197"/>
      <c r="C342" s="197"/>
      <c r="D342" s="198"/>
      <c r="E342" s="180"/>
      <c r="F342" s="188"/>
      <c r="G342" s="183"/>
      <c r="H342" s="183"/>
      <c r="I342" s="184"/>
      <c r="J342" s="183"/>
      <c r="K342" s="185"/>
      <c r="L342" s="186"/>
      <c r="M342" s="186"/>
      <c r="N342" s="186"/>
      <c r="O342" s="187"/>
      <c r="P342" s="202"/>
    </row>
    <row r="343" spans="1:16" ht="45" customHeight="1">
      <c r="A343" s="316"/>
      <c r="D343" s="198"/>
      <c r="E343" s="180"/>
      <c r="F343" s="188"/>
      <c r="G343" s="183"/>
      <c r="H343" s="183"/>
      <c r="I343" s="184"/>
      <c r="J343" s="183"/>
      <c r="K343" s="185"/>
      <c r="L343" s="186"/>
      <c r="M343" s="186"/>
      <c r="N343" s="186"/>
      <c r="O343" s="187"/>
      <c r="P343" s="202"/>
    </row>
    <row r="344" spans="1:16" s="205" customFormat="1" ht="45" customHeight="1">
      <c r="A344" s="316"/>
      <c r="B344" s="197"/>
      <c r="C344" s="197"/>
      <c r="D344" s="198"/>
      <c r="E344" s="180"/>
      <c r="F344" s="188"/>
      <c r="G344" s="183"/>
      <c r="H344" s="183"/>
      <c r="I344" s="184"/>
      <c r="J344" s="183"/>
      <c r="K344" s="185"/>
      <c r="L344" s="186"/>
      <c r="M344" s="186"/>
      <c r="N344" s="186"/>
      <c r="O344" s="187"/>
      <c r="P344" s="202"/>
    </row>
    <row r="345" spans="1:16" s="205" customFormat="1" ht="45" customHeight="1">
      <c r="A345" s="316"/>
      <c r="B345" s="197"/>
      <c r="C345" s="197"/>
      <c r="D345" s="198"/>
      <c r="E345" s="180"/>
      <c r="F345" s="188"/>
      <c r="G345" s="183"/>
      <c r="H345" s="183"/>
      <c r="I345" s="184"/>
      <c r="J345" s="183"/>
      <c r="K345" s="185"/>
      <c r="L345" s="186"/>
      <c r="M345" s="186"/>
      <c r="N345" s="186"/>
      <c r="O345" s="187"/>
      <c r="P345" s="202"/>
    </row>
    <row r="346" spans="1:16" s="205" customFormat="1" ht="45" customHeight="1">
      <c r="A346" s="316"/>
      <c r="B346" s="197"/>
      <c r="C346" s="197"/>
      <c r="D346" s="198"/>
      <c r="E346" s="180"/>
      <c r="F346" s="188"/>
      <c r="G346" s="183"/>
      <c r="H346" s="183"/>
      <c r="I346" s="184"/>
      <c r="J346" s="183"/>
      <c r="K346" s="185"/>
      <c r="L346" s="186"/>
      <c r="M346" s="186"/>
      <c r="N346" s="186"/>
      <c r="O346" s="187"/>
      <c r="P346" s="202"/>
    </row>
    <row r="347" spans="1:16" s="205" customFormat="1" ht="45" customHeight="1">
      <c r="A347" s="316"/>
      <c r="B347" s="317"/>
      <c r="C347" s="317"/>
      <c r="D347" s="198"/>
      <c r="E347" s="180"/>
      <c r="F347" s="188"/>
      <c r="G347" s="183"/>
      <c r="H347" s="183"/>
      <c r="I347" s="184"/>
      <c r="J347" s="183"/>
      <c r="K347" s="185"/>
      <c r="L347" s="186"/>
      <c r="M347" s="186"/>
      <c r="N347" s="186"/>
      <c r="O347" s="187"/>
      <c r="P347" s="202"/>
    </row>
    <row r="348" spans="1:16" s="205" customFormat="1" ht="45" customHeight="1">
      <c r="A348" s="316"/>
      <c r="B348" s="317"/>
      <c r="C348" s="317"/>
      <c r="D348" s="198"/>
      <c r="E348" s="180"/>
      <c r="F348" s="188"/>
      <c r="G348" s="183"/>
      <c r="H348" s="201"/>
      <c r="I348" s="184"/>
      <c r="J348" s="183"/>
      <c r="K348" s="185"/>
      <c r="L348" s="186"/>
      <c r="M348" s="186"/>
      <c r="N348" s="186"/>
      <c r="O348" s="187"/>
      <c r="P348" s="202"/>
    </row>
    <row r="349" spans="1:16" s="205" customFormat="1" ht="45" customHeight="1">
      <c r="A349" s="316"/>
      <c r="B349" s="317"/>
      <c r="C349" s="317"/>
      <c r="D349" s="198"/>
      <c r="E349" s="180"/>
      <c r="F349" s="179"/>
      <c r="G349" s="183"/>
      <c r="H349" s="201"/>
      <c r="I349" s="184"/>
      <c r="J349" s="183"/>
      <c r="K349" s="185"/>
      <c r="L349" s="186"/>
      <c r="M349" s="186"/>
      <c r="N349" s="186"/>
      <c r="O349" s="187"/>
      <c r="P349" s="202"/>
    </row>
    <row r="350" spans="1:16" s="205" customFormat="1" ht="45" customHeight="1">
      <c r="A350" s="316"/>
      <c r="B350" s="197"/>
      <c r="C350" s="299"/>
      <c r="D350" s="198"/>
      <c r="E350" s="180"/>
      <c r="F350" s="188"/>
      <c r="G350" s="183"/>
      <c r="H350" s="183"/>
      <c r="I350" s="184"/>
      <c r="J350" s="183"/>
      <c r="K350" s="185"/>
      <c r="L350" s="186"/>
      <c r="M350" s="186"/>
      <c r="N350" s="186"/>
      <c r="O350" s="187"/>
      <c r="P350" s="202"/>
    </row>
    <row r="351" spans="1:16" s="205" customFormat="1" ht="45" customHeight="1">
      <c r="A351" s="316"/>
      <c r="B351" s="197"/>
      <c r="C351" s="299"/>
      <c r="D351" s="198"/>
      <c r="E351" s="180"/>
      <c r="F351" s="188"/>
      <c r="G351" s="183"/>
      <c r="H351" s="183"/>
      <c r="I351" s="184"/>
      <c r="J351" s="183"/>
      <c r="K351" s="185"/>
      <c r="L351" s="186"/>
      <c r="M351" s="186"/>
      <c r="N351" s="186"/>
      <c r="O351" s="187"/>
      <c r="P351" s="202"/>
    </row>
    <row r="352" spans="1:16" s="205" customFormat="1" ht="45" customHeight="1">
      <c r="A352" s="316"/>
      <c r="B352" s="197"/>
      <c r="C352" s="299"/>
      <c r="D352" s="198"/>
      <c r="E352" s="180"/>
      <c r="F352" s="188"/>
      <c r="G352" s="183"/>
      <c r="H352" s="183"/>
      <c r="I352" s="184"/>
      <c r="J352" s="183"/>
      <c r="K352" s="185"/>
      <c r="L352" s="186"/>
      <c r="M352" s="186"/>
      <c r="N352" s="186"/>
      <c r="O352" s="187"/>
      <c r="P352" s="202"/>
    </row>
    <row r="353" spans="1:16" s="205" customFormat="1" ht="45" customHeight="1">
      <c r="A353" s="316"/>
      <c r="B353" s="317"/>
      <c r="C353" s="318"/>
      <c r="D353" s="198"/>
      <c r="E353" s="180"/>
      <c r="F353" s="188"/>
      <c r="G353" s="183"/>
      <c r="H353" s="183"/>
      <c r="I353" s="184"/>
      <c r="J353" s="183"/>
      <c r="K353" s="185"/>
      <c r="L353" s="186"/>
      <c r="M353" s="186"/>
      <c r="N353" s="186"/>
      <c r="O353" s="187"/>
      <c r="P353" s="202"/>
    </row>
    <row r="354" spans="1:16" s="205" customFormat="1" ht="45" customHeight="1">
      <c r="A354" s="316"/>
      <c r="B354" s="317"/>
      <c r="C354" s="299"/>
      <c r="D354" s="198"/>
      <c r="E354" s="180"/>
      <c r="F354" s="188"/>
      <c r="G354" s="183"/>
      <c r="H354" s="201"/>
      <c r="I354" s="184"/>
      <c r="J354" s="183"/>
      <c r="K354" s="185"/>
      <c r="L354" s="186"/>
      <c r="M354" s="186"/>
      <c r="N354" s="186"/>
      <c r="O354" s="187"/>
      <c r="P354" s="202"/>
    </row>
    <row r="355" spans="1:16" s="205" customFormat="1" ht="45" customHeight="1">
      <c r="A355" s="316"/>
      <c r="B355" s="317"/>
      <c r="C355" s="299"/>
      <c r="D355" s="198"/>
      <c r="E355" s="180"/>
      <c r="F355" s="188"/>
      <c r="G355" s="183"/>
      <c r="H355" s="201"/>
      <c r="I355" s="184"/>
      <c r="J355" s="183"/>
      <c r="K355" s="185"/>
      <c r="L355" s="186"/>
      <c r="M355" s="186"/>
      <c r="N355" s="186"/>
      <c r="O355" s="187"/>
      <c r="P355" s="202"/>
    </row>
    <row r="356" spans="1:16" s="205" customFormat="1" ht="45" customHeight="1">
      <c r="A356" s="316"/>
      <c r="B356" s="317"/>
      <c r="C356" s="299"/>
      <c r="D356" s="198"/>
      <c r="E356" s="180"/>
      <c r="F356" s="179"/>
      <c r="G356" s="183"/>
      <c r="H356" s="201"/>
      <c r="I356" s="184"/>
      <c r="J356" s="183"/>
      <c r="K356" s="185"/>
      <c r="L356" s="186"/>
      <c r="M356" s="186"/>
      <c r="N356" s="186"/>
      <c r="O356" s="187"/>
      <c r="P356" s="202"/>
    </row>
    <row r="357" spans="1:16" s="205" customFormat="1" ht="45" customHeight="1">
      <c r="A357" s="316"/>
      <c r="B357" s="317"/>
      <c r="C357" s="339"/>
      <c r="D357" s="198"/>
      <c r="E357" s="180"/>
      <c r="F357" s="179"/>
      <c r="G357" s="183"/>
      <c r="H357" s="201"/>
      <c r="I357" s="184"/>
      <c r="J357" s="183"/>
      <c r="K357" s="185"/>
      <c r="L357" s="186"/>
      <c r="M357" s="186"/>
      <c r="N357" s="186"/>
      <c r="O357" s="187"/>
      <c r="P357" s="202"/>
    </row>
    <row r="358" spans="1:16" s="205" customFormat="1" ht="45" customHeight="1">
      <c r="A358" s="316"/>
      <c r="B358" s="317"/>
      <c r="C358" s="339"/>
      <c r="D358" s="198"/>
      <c r="E358" s="180"/>
      <c r="F358" s="179"/>
      <c r="G358" s="183"/>
      <c r="H358" s="201"/>
      <c r="I358" s="184"/>
      <c r="J358" s="183"/>
      <c r="K358" s="185"/>
      <c r="L358" s="186"/>
      <c r="M358" s="186"/>
      <c r="N358" s="186"/>
      <c r="O358" s="187"/>
      <c r="P358" s="202"/>
    </row>
    <row r="359" spans="1:16" s="205" customFormat="1" ht="45" customHeight="1">
      <c r="A359" s="316"/>
      <c r="B359" s="317"/>
      <c r="C359" s="339"/>
      <c r="D359" s="198"/>
      <c r="E359" s="180"/>
      <c r="F359" s="179"/>
      <c r="G359" s="183"/>
      <c r="H359" s="201"/>
      <c r="I359" s="184"/>
      <c r="J359" s="183"/>
      <c r="K359" s="185"/>
      <c r="L359" s="186"/>
      <c r="M359" s="186"/>
      <c r="N359" s="186"/>
      <c r="O359" s="187"/>
      <c r="P359" s="202"/>
    </row>
    <row r="360" spans="1:16" ht="45" customHeight="1">
      <c r="A360" s="316"/>
      <c r="C360" s="299"/>
      <c r="D360" s="198"/>
      <c r="E360" s="180"/>
      <c r="F360" s="179"/>
      <c r="G360" s="183"/>
      <c r="H360" s="183"/>
      <c r="I360" s="184"/>
      <c r="J360" s="183"/>
      <c r="K360" s="185"/>
      <c r="L360" s="186"/>
      <c r="M360" s="186"/>
      <c r="N360" s="186"/>
      <c r="O360" s="187"/>
      <c r="P360" s="202"/>
    </row>
    <row r="361" spans="1:16" ht="45" customHeight="1">
      <c r="A361" s="316"/>
      <c r="C361" s="299"/>
      <c r="D361" s="198"/>
      <c r="E361" s="180"/>
      <c r="F361" s="179"/>
      <c r="G361" s="183"/>
      <c r="H361" s="183"/>
      <c r="I361" s="184"/>
      <c r="J361" s="183"/>
      <c r="K361" s="185"/>
      <c r="L361" s="186"/>
      <c r="M361" s="186"/>
      <c r="N361" s="186"/>
      <c r="O361" s="187"/>
      <c r="P361" s="202"/>
    </row>
    <row r="362" spans="1:16" ht="45" customHeight="1">
      <c r="A362" s="316"/>
      <c r="C362" s="299"/>
      <c r="D362" s="198"/>
      <c r="E362" s="180"/>
      <c r="F362" s="179"/>
      <c r="G362" s="183"/>
      <c r="H362" s="183"/>
      <c r="I362" s="184"/>
      <c r="J362" s="183"/>
      <c r="K362" s="185"/>
      <c r="L362" s="186"/>
      <c r="M362" s="186"/>
      <c r="N362" s="186"/>
      <c r="O362" s="187"/>
      <c r="P362" s="202"/>
    </row>
    <row r="363" spans="1:16" ht="45" customHeight="1">
      <c r="A363" s="316"/>
      <c r="C363" s="299"/>
      <c r="D363" s="198"/>
      <c r="E363" s="180"/>
      <c r="F363" s="179"/>
      <c r="G363" s="183"/>
      <c r="H363" s="183"/>
      <c r="I363" s="184"/>
      <c r="J363" s="183"/>
      <c r="K363" s="185"/>
      <c r="L363" s="186"/>
      <c r="M363" s="186"/>
      <c r="N363" s="186"/>
      <c r="O363" s="187"/>
      <c r="P363" s="202"/>
    </row>
    <row r="364" spans="1:16" s="205" customFormat="1" ht="45" customHeight="1">
      <c r="A364" s="316"/>
      <c r="B364" s="197"/>
      <c r="C364" s="299"/>
      <c r="D364" s="198"/>
      <c r="E364" s="180"/>
      <c r="F364" s="179"/>
      <c r="G364" s="183"/>
      <c r="H364" s="183"/>
      <c r="I364" s="184"/>
      <c r="J364" s="183"/>
      <c r="K364" s="185"/>
      <c r="L364" s="186"/>
      <c r="M364" s="186"/>
      <c r="N364" s="186"/>
      <c r="O364" s="187"/>
      <c r="P364" s="202"/>
    </row>
    <row r="365" spans="1:16" s="205" customFormat="1" ht="45" customHeight="1">
      <c r="A365" s="316"/>
      <c r="B365" s="197"/>
      <c r="C365" s="299"/>
      <c r="D365" s="198"/>
      <c r="E365" s="180"/>
      <c r="F365" s="179"/>
      <c r="G365" s="183"/>
      <c r="H365" s="183"/>
      <c r="I365" s="184"/>
      <c r="J365" s="183"/>
      <c r="K365" s="185"/>
      <c r="L365" s="186"/>
      <c r="M365" s="186"/>
      <c r="N365" s="186"/>
      <c r="O365" s="187"/>
      <c r="P365" s="202"/>
    </row>
    <row r="366" spans="1:16" s="205" customFormat="1" ht="45" customHeight="1">
      <c r="A366" s="316"/>
      <c r="B366" s="317"/>
      <c r="C366" s="318"/>
      <c r="D366" s="198"/>
      <c r="E366" s="180"/>
      <c r="F366" s="188"/>
      <c r="G366" s="183"/>
      <c r="H366" s="183"/>
      <c r="I366" s="184"/>
      <c r="J366" s="183"/>
      <c r="K366" s="185"/>
      <c r="L366" s="186"/>
      <c r="M366" s="186"/>
      <c r="N366" s="186"/>
      <c r="O366" s="187"/>
      <c r="P366" s="202"/>
    </row>
    <row r="367" spans="1:16" s="205" customFormat="1" ht="45" customHeight="1">
      <c r="A367" s="316"/>
      <c r="B367" s="317"/>
      <c r="C367" s="318"/>
      <c r="D367" s="198"/>
      <c r="E367" s="180"/>
      <c r="F367" s="179"/>
      <c r="G367" s="183"/>
      <c r="H367" s="183"/>
      <c r="I367" s="184"/>
      <c r="J367" s="183"/>
      <c r="K367" s="185"/>
      <c r="L367" s="186"/>
      <c r="M367" s="186"/>
      <c r="N367" s="186"/>
      <c r="O367" s="187"/>
      <c r="P367" s="202"/>
    </row>
    <row r="368" spans="1:16" s="205" customFormat="1" ht="45" customHeight="1">
      <c r="A368" s="316"/>
      <c r="B368" s="317"/>
      <c r="C368" s="318"/>
      <c r="D368" s="198"/>
      <c r="E368" s="180"/>
      <c r="F368" s="179"/>
      <c r="G368" s="183"/>
      <c r="H368" s="183"/>
      <c r="I368" s="184"/>
      <c r="J368" s="183"/>
      <c r="K368" s="185"/>
      <c r="L368" s="186"/>
      <c r="M368" s="186"/>
      <c r="N368" s="186"/>
      <c r="O368" s="187"/>
      <c r="P368" s="202"/>
    </row>
    <row r="369" spans="1:16" s="205" customFormat="1" ht="45" customHeight="1">
      <c r="A369" s="316"/>
      <c r="B369" s="317"/>
      <c r="C369" s="318"/>
      <c r="D369" s="198"/>
      <c r="E369" s="180"/>
      <c r="F369" s="179"/>
      <c r="G369" s="183"/>
      <c r="H369" s="183"/>
      <c r="I369" s="184"/>
      <c r="J369" s="183"/>
      <c r="K369" s="185"/>
      <c r="L369" s="186"/>
      <c r="M369" s="186"/>
      <c r="N369" s="186"/>
      <c r="O369" s="187"/>
      <c r="P369" s="202"/>
    </row>
    <row r="370" spans="1:16" s="205" customFormat="1" ht="45" customHeight="1">
      <c r="A370" s="316"/>
      <c r="B370" s="317"/>
      <c r="C370" s="299"/>
      <c r="D370" s="198"/>
      <c r="E370" s="180"/>
      <c r="F370" s="179"/>
      <c r="G370" s="183"/>
      <c r="H370" s="201"/>
      <c r="I370" s="184"/>
      <c r="J370" s="183"/>
      <c r="K370" s="185"/>
      <c r="L370" s="186"/>
      <c r="M370" s="186"/>
      <c r="N370" s="186"/>
      <c r="O370" s="187"/>
      <c r="P370" s="202"/>
    </row>
    <row r="371" spans="1:16" ht="45" customHeight="1">
      <c r="A371" s="316"/>
      <c r="B371" s="317"/>
      <c r="C371" s="299"/>
      <c r="D371" s="198"/>
      <c r="E371" s="180"/>
      <c r="F371" s="179"/>
      <c r="G371" s="183"/>
      <c r="H371" s="201"/>
      <c r="I371" s="184"/>
      <c r="J371" s="183"/>
      <c r="K371" s="185"/>
      <c r="L371" s="186"/>
      <c r="M371" s="186"/>
      <c r="N371" s="186"/>
      <c r="O371" s="187"/>
      <c r="P371" s="202"/>
    </row>
    <row r="372" spans="1:16" ht="45" customHeight="1">
      <c r="A372" s="316"/>
      <c r="B372" s="317"/>
      <c r="C372" s="299"/>
      <c r="D372" s="198"/>
      <c r="E372" s="180"/>
      <c r="F372" s="179"/>
      <c r="G372" s="183"/>
      <c r="H372" s="201"/>
      <c r="I372" s="184"/>
      <c r="J372" s="183"/>
      <c r="K372" s="185"/>
      <c r="L372" s="186"/>
      <c r="M372" s="186"/>
      <c r="N372" s="186"/>
      <c r="O372" s="187"/>
      <c r="P372" s="202"/>
    </row>
    <row r="373" spans="1:16" ht="45" customHeight="1">
      <c r="A373" s="316"/>
      <c r="B373" s="317"/>
      <c r="C373" s="299"/>
      <c r="D373" s="198"/>
      <c r="E373" s="180"/>
      <c r="F373" s="179"/>
      <c r="G373" s="183"/>
      <c r="H373" s="201"/>
      <c r="I373" s="184"/>
      <c r="J373" s="183"/>
      <c r="K373" s="185"/>
      <c r="L373" s="186"/>
      <c r="M373" s="186"/>
      <c r="N373" s="186"/>
      <c r="O373" s="187"/>
      <c r="P373" s="202"/>
    </row>
    <row r="374" spans="1:16" ht="45" customHeight="1">
      <c r="A374" s="316"/>
      <c r="C374" s="299"/>
      <c r="D374" s="198"/>
      <c r="E374" s="180"/>
      <c r="F374" s="188"/>
      <c r="G374" s="183"/>
      <c r="H374" s="183"/>
      <c r="I374" s="184"/>
      <c r="J374" s="183"/>
      <c r="K374" s="185"/>
      <c r="L374" s="186"/>
      <c r="M374" s="186"/>
      <c r="N374" s="186"/>
      <c r="O374" s="187"/>
      <c r="P374" s="202"/>
    </row>
    <row r="375" spans="1:16" ht="45" customHeight="1">
      <c r="A375" s="316"/>
      <c r="C375" s="299"/>
      <c r="D375" s="198"/>
      <c r="E375" s="180"/>
      <c r="F375" s="188"/>
      <c r="G375" s="183"/>
      <c r="H375" s="183"/>
      <c r="I375" s="184"/>
      <c r="J375" s="183"/>
      <c r="K375" s="185"/>
      <c r="L375" s="186"/>
      <c r="M375" s="186"/>
      <c r="N375" s="186"/>
      <c r="O375" s="187"/>
      <c r="P375" s="202"/>
    </row>
    <row r="376" spans="1:16" s="205" customFormat="1" ht="45" customHeight="1">
      <c r="A376" s="316"/>
      <c r="B376" s="197"/>
      <c r="C376" s="299"/>
      <c r="D376" s="198"/>
      <c r="E376" s="180"/>
      <c r="F376" s="188"/>
      <c r="G376" s="183"/>
      <c r="H376" s="183"/>
      <c r="I376" s="184"/>
      <c r="J376" s="183"/>
      <c r="K376" s="185"/>
      <c r="L376" s="186"/>
      <c r="M376" s="186"/>
      <c r="N376" s="186"/>
      <c r="O376" s="187"/>
      <c r="P376" s="202"/>
    </row>
    <row r="377" spans="1:16" s="205" customFormat="1" ht="45" customHeight="1">
      <c r="A377" s="316"/>
      <c r="B377" s="197"/>
      <c r="C377" s="299"/>
      <c r="D377" s="198"/>
      <c r="E377" s="180"/>
      <c r="F377" s="188"/>
      <c r="G377" s="183"/>
      <c r="H377" s="183"/>
      <c r="I377" s="184"/>
      <c r="J377" s="183"/>
      <c r="K377" s="185"/>
      <c r="L377" s="186"/>
      <c r="M377" s="186"/>
      <c r="N377" s="186"/>
      <c r="O377" s="187"/>
      <c r="P377" s="202"/>
    </row>
    <row r="378" spans="1:16" s="205" customFormat="1" ht="45" customHeight="1">
      <c r="A378" s="316"/>
      <c r="B378" s="197"/>
      <c r="C378" s="299"/>
      <c r="D378" s="198"/>
      <c r="E378" s="180"/>
      <c r="F378" s="188"/>
      <c r="G378" s="183"/>
      <c r="H378" s="183"/>
      <c r="I378" s="184"/>
      <c r="J378" s="183"/>
      <c r="K378" s="185"/>
      <c r="L378" s="186"/>
      <c r="M378" s="186"/>
      <c r="N378" s="186"/>
      <c r="O378" s="187"/>
      <c r="P378" s="202"/>
    </row>
    <row r="379" spans="1:16" s="205" customFormat="1" ht="45" customHeight="1">
      <c r="A379" s="316"/>
      <c r="B379" s="197"/>
      <c r="C379" s="299"/>
      <c r="D379" s="198"/>
      <c r="E379" s="180"/>
      <c r="F379" s="188"/>
      <c r="G379" s="183"/>
      <c r="H379" s="183"/>
      <c r="I379" s="184"/>
      <c r="J379" s="183"/>
      <c r="K379" s="185"/>
      <c r="L379" s="186"/>
      <c r="M379" s="186"/>
      <c r="N379" s="186"/>
      <c r="O379" s="187"/>
      <c r="P379" s="202"/>
    </row>
    <row r="380" spans="1:16" s="205" customFormat="1" ht="45" customHeight="1">
      <c r="A380" s="316"/>
      <c r="B380" s="197"/>
      <c r="C380" s="299"/>
      <c r="D380" s="198"/>
      <c r="E380" s="180"/>
      <c r="F380" s="188"/>
      <c r="G380" s="183"/>
      <c r="H380" s="183"/>
      <c r="I380" s="184"/>
      <c r="J380" s="183"/>
      <c r="K380" s="185"/>
      <c r="L380" s="186"/>
      <c r="M380" s="186"/>
      <c r="N380" s="186"/>
      <c r="O380" s="187"/>
      <c r="P380" s="202"/>
    </row>
    <row r="381" spans="1:16" s="205" customFormat="1" ht="45" customHeight="1">
      <c r="A381" s="316"/>
      <c r="B381" s="197"/>
      <c r="C381" s="299"/>
      <c r="D381" s="198"/>
      <c r="E381" s="180"/>
      <c r="F381" s="188"/>
      <c r="G381" s="183"/>
      <c r="H381" s="183"/>
      <c r="I381" s="184"/>
      <c r="J381" s="183"/>
      <c r="K381" s="185"/>
      <c r="L381" s="186"/>
      <c r="M381" s="186"/>
      <c r="N381" s="186"/>
      <c r="O381" s="187"/>
      <c r="P381" s="202"/>
    </row>
    <row r="382" spans="1:16" s="205" customFormat="1" ht="45" customHeight="1">
      <c r="A382" s="316"/>
      <c r="B382" s="317"/>
      <c r="C382" s="318"/>
      <c r="D382" s="198"/>
      <c r="E382" s="180"/>
      <c r="F382" s="179"/>
      <c r="G382" s="183"/>
      <c r="H382" s="183"/>
      <c r="I382" s="184"/>
      <c r="J382" s="183"/>
      <c r="K382" s="185"/>
      <c r="L382" s="186"/>
      <c r="M382" s="186"/>
      <c r="N382" s="186"/>
      <c r="O382" s="187"/>
      <c r="P382" s="202"/>
    </row>
    <row r="383" spans="1:16" s="205" customFormat="1" ht="45" customHeight="1">
      <c r="A383" s="316"/>
      <c r="B383" s="317"/>
      <c r="C383" s="318"/>
      <c r="D383" s="198"/>
      <c r="E383" s="180"/>
      <c r="F383" s="188"/>
      <c r="G383" s="183"/>
      <c r="H383" s="183"/>
      <c r="I383" s="184"/>
      <c r="J383" s="183"/>
      <c r="K383" s="185"/>
      <c r="L383" s="186"/>
      <c r="M383" s="186"/>
      <c r="N383" s="186"/>
      <c r="O383" s="187"/>
      <c r="P383" s="202"/>
    </row>
    <row r="384" spans="1:16" s="205" customFormat="1" ht="45" customHeight="1">
      <c r="A384" s="316"/>
      <c r="B384" s="317"/>
      <c r="C384" s="318"/>
      <c r="D384" s="198"/>
      <c r="E384" s="180"/>
      <c r="F384" s="188"/>
      <c r="G384" s="183"/>
      <c r="H384" s="183"/>
      <c r="I384" s="184"/>
      <c r="J384" s="183"/>
      <c r="K384" s="185"/>
      <c r="L384" s="186"/>
      <c r="M384" s="186"/>
      <c r="N384" s="186"/>
      <c r="O384" s="187"/>
      <c r="P384" s="202"/>
    </row>
    <row r="385" spans="1:16" s="205" customFormat="1" ht="45" customHeight="1">
      <c r="A385" s="316"/>
      <c r="B385" s="317"/>
      <c r="C385" s="299"/>
      <c r="D385" s="198"/>
      <c r="E385" s="180"/>
      <c r="F385" s="188"/>
      <c r="G385" s="183"/>
      <c r="H385" s="201"/>
      <c r="I385" s="184"/>
      <c r="J385" s="183"/>
      <c r="K385" s="185"/>
      <c r="L385" s="186"/>
      <c r="M385" s="186"/>
      <c r="N385" s="186"/>
      <c r="O385" s="187"/>
      <c r="P385" s="202"/>
    </row>
    <row r="386" spans="1:16" s="205" customFormat="1" ht="45" customHeight="1">
      <c r="A386" s="316"/>
      <c r="B386" s="317"/>
      <c r="C386" s="299"/>
      <c r="D386" s="198"/>
      <c r="E386" s="180"/>
      <c r="F386" s="188"/>
      <c r="G386" s="183"/>
      <c r="H386" s="201"/>
      <c r="I386" s="184"/>
      <c r="J386" s="183"/>
      <c r="K386" s="185"/>
      <c r="L386" s="186"/>
      <c r="M386" s="186"/>
      <c r="N386" s="186"/>
      <c r="O386" s="187"/>
      <c r="P386" s="202"/>
    </row>
    <row r="387" spans="1:16" s="205" customFormat="1" ht="45" customHeight="1">
      <c r="A387" s="316"/>
      <c r="B387" s="317"/>
      <c r="C387" s="299"/>
      <c r="D387" s="198"/>
      <c r="E387" s="180"/>
      <c r="F387" s="188"/>
      <c r="G387" s="183"/>
      <c r="H387" s="201"/>
      <c r="I387" s="184"/>
      <c r="J387" s="183"/>
      <c r="K387" s="185"/>
      <c r="L387" s="186"/>
      <c r="M387" s="186"/>
      <c r="N387" s="186"/>
      <c r="O387" s="187"/>
      <c r="P387" s="202"/>
    </row>
    <row r="388" spans="1:16" s="205" customFormat="1" ht="45" customHeight="1">
      <c r="A388" s="316"/>
      <c r="B388" s="317"/>
      <c r="C388" s="299"/>
      <c r="D388" s="198"/>
      <c r="E388" s="180"/>
      <c r="F388" s="188"/>
      <c r="G388" s="183"/>
      <c r="H388" s="201"/>
      <c r="I388" s="184"/>
      <c r="J388" s="183"/>
      <c r="K388" s="185"/>
      <c r="L388" s="186"/>
      <c r="M388" s="186"/>
      <c r="N388" s="186"/>
      <c r="O388" s="187"/>
      <c r="P388" s="202"/>
    </row>
    <row r="389" spans="1:16" s="205" customFormat="1" ht="45" customHeight="1">
      <c r="A389" s="316"/>
      <c r="B389" s="317"/>
      <c r="C389" s="299"/>
      <c r="D389" s="198"/>
      <c r="E389" s="180"/>
      <c r="F389" s="188"/>
      <c r="G389" s="183"/>
      <c r="H389" s="201"/>
      <c r="I389" s="184"/>
      <c r="J389" s="183"/>
      <c r="K389" s="185"/>
      <c r="L389" s="186"/>
      <c r="M389" s="186"/>
      <c r="N389" s="186"/>
      <c r="O389" s="187"/>
      <c r="P389" s="202"/>
    </row>
    <row r="390" spans="1:16" ht="45" customHeight="1">
      <c r="A390" s="316"/>
      <c r="B390" s="317"/>
      <c r="C390" s="299"/>
      <c r="D390" s="198"/>
      <c r="E390" s="180"/>
      <c r="F390" s="188"/>
      <c r="G390" s="183"/>
      <c r="H390" s="201"/>
      <c r="I390" s="184"/>
      <c r="J390" s="183"/>
      <c r="K390" s="185"/>
      <c r="L390" s="186"/>
      <c r="M390" s="186"/>
      <c r="N390" s="186"/>
      <c r="O390" s="187"/>
      <c r="P390" s="202"/>
    </row>
    <row r="391" spans="1:16" ht="45" customHeight="1">
      <c r="A391" s="316"/>
      <c r="B391" s="317"/>
      <c r="C391" s="299"/>
      <c r="D391" s="198"/>
      <c r="E391" s="180"/>
      <c r="F391" s="188"/>
      <c r="G391" s="183"/>
      <c r="H391" s="201"/>
      <c r="I391" s="184"/>
      <c r="J391" s="183"/>
      <c r="K391" s="185"/>
      <c r="L391" s="186"/>
      <c r="M391" s="186"/>
      <c r="N391" s="186"/>
      <c r="O391" s="187"/>
      <c r="P391" s="202"/>
    </row>
    <row r="392" spans="1:16" ht="45" customHeight="1">
      <c r="A392" s="316"/>
      <c r="B392" s="317"/>
      <c r="C392" s="299"/>
      <c r="D392" s="198"/>
      <c r="E392" s="180"/>
      <c r="F392" s="188"/>
      <c r="G392" s="183"/>
      <c r="H392" s="201"/>
      <c r="I392" s="184"/>
      <c r="J392" s="183"/>
      <c r="K392" s="185"/>
      <c r="L392" s="186"/>
      <c r="M392" s="186"/>
      <c r="N392" s="186"/>
      <c r="O392" s="187"/>
      <c r="P392" s="202"/>
    </row>
    <row r="393" spans="1:16" ht="45" customHeight="1">
      <c r="A393" s="316"/>
      <c r="C393" s="299"/>
      <c r="D393" s="198"/>
      <c r="E393" s="180"/>
      <c r="F393" s="188"/>
      <c r="G393" s="183"/>
      <c r="H393" s="183"/>
      <c r="I393" s="184"/>
      <c r="J393" s="183"/>
      <c r="K393" s="185"/>
      <c r="L393" s="186"/>
      <c r="M393" s="186"/>
      <c r="N393" s="186"/>
      <c r="O393" s="187"/>
      <c r="P393" s="202"/>
    </row>
    <row r="394" spans="1:16" ht="45" customHeight="1">
      <c r="A394" s="316"/>
      <c r="C394" s="299"/>
      <c r="D394" s="198"/>
      <c r="E394" s="180"/>
      <c r="F394" s="188"/>
      <c r="G394" s="183"/>
      <c r="H394" s="183"/>
      <c r="I394" s="184"/>
      <c r="J394" s="183"/>
      <c r="K394" s="185"/>
      <c r="L394" s="186"/>
      <c r="M394" s="186"/>
      <c r="N394" s="186"/>
      <c r="O394" s="187"/>
      <c r="P394" s="202"/>
    </row>
    <row r="395" spans="1:16" ht="45" customHeight="1">
      <c r="A395" s="316"/>
      <c r="C395" s="299"/>
      <c r="D395" s="198"/>
      <c r="E395" s="180"/>
      <c r="F395" s="188"/>
      <c r="G395" s="183"/>
      <c r="H395" s="183"/>
      <c r="I395" s="184"/>
      <c r="J395" s="183"/>
      <c r="K395" s="183"/>
      <c r="L395" s="186"/>
      <c r="M395" s="186"/>
      <c r="N395" s="186"/>
      <c r="O395" s="187"/>
      <c r="P395" s="202"/>
    </row>
    <row r="396" spans="1:16" ht="45" customHeight="1">
      <c r="A396" s="316"/>
      <c r="C396" s="299"/>
      <c r="D396" s="198"/>
      <c r="E396" s="180"/>
      <c r="F396" s="188"/>
      <c r="G396" s="183"/>
      <c r="H396" s="183"/>
      <c r="I396" s="184"/>
      <c r="J396" s="183"/>
      <c r="K396" s="183"/>
      <c r="L396" s="186"/>
      <c r="M396" s="186"/>
      <c r="N396" s="186"/>
      <c r="O396" s="187"/>
      <c r="P396" s="202"/>
    </row>
    <row r="397" spans="1:16" ht="45" customHeight="1">
      <c r="A397" s="316"/>
      <c r="C397" s="299"/>
      <c r="D397" s="198"/>
      <c r="E397" s="180"/>
      <c r="F397" s="188"/>
      <c r="G397" s="183"/>
      <c r="H397" s="183"/>
      <c r="I397" s="184"/>
      <c r="J397" s="183"/>
      <c r="K397" s="185"/>
      <c r="L397" s="186"/>
      <c r="M397" s="186"/>
      <c r="N397" s="186"/>
      <c r="O397" s="187"/>
      <c r="P397" s="202"/>
    </row>
    <row r="398" spans="1:16" ht="45" customHeight="1">
      <c r="A398" s="316"/>
      <c r="C398" s="299"/>
      <c r="D398" s="198"/>
      <c r="E398" s="180"/>
      <c r="F398" s="188"/>
      <c r="G398" s="183"/>
      <c r="H398" s="183"/>
      <c r="I398" s="184"/>
      <c r="J398" s="183"/>
      <c r="K398" s="185"/>
      <c r="L398" s="186"/>
      <c r="M398" s="186"/>
      <c r="N398" s="186"/>
      <c r="O398" s="187"/>
      <c r="P398" s="202"/>
    </row>
    <row r="399" spans="1:16" ht="45" customHeight="1">
      <c r="A399" s="316"/>
      <c r="B399" s="317"/>
      <c r="C399" s="318"/>
      <c r="D399" s="198"/>
      <c r="E399" s="180"/>
      <c r="F399" s="188"/>
      <c r="G399" s="183"/>
      <c r="H399" s="183"/>
      <c r="I399" s="184"/>
      <c r="J399" s="183"/>
      <c r="K399" s="185"/>
      <c r="L399" s="186"/>
      <c r="M399" s="186"/>
      <c r="N399" s="186"/>
      <c r="O399" s="187"/>
      <c r="P399" s="202"/>
    </row>
    <row r="400" spans="1:16" ht="45" customHeight="1">
      <c r="A400" s="316"/>
      <c r="B400" s="317"/>
      <c r="C400" s="299"/>
      <c r="D400" s="198"/>
      <c r="E400" s="180"/>
      <c r="F400" s="188"/>
      <c r="G400" s="183"/>
      <c r="H400" s="201"/>
      <c r="I400" s="184"/>
      <c r="J400" s="183"/>
      <c r="K400" s="185"/>
      <c r="L400" s="186"/>
      <c r="M400" s="186"/>
      <c r="N400" s="186"/>
      <c r="O400" s="187"/>
      <c r="P400" s="202"/>
    </row>
    <row r="401" spans="1:16" s="205" customFormat="1" ht="45" customHeight="1">
      <c r="A401" s="316"/>
      <c r="B401" s="197"/>
      <c r="C401" s="197"/>
      <c r="D401" s="198"/>
      <c r="E401" s="327"/>
      <c r="F401" s="328"/>
      <c r="G401" s="183"/>
      <c r="H401" s="183"/>
      <c r="I401" s="184"/>
      <c r="J401" s="183"/>
      <c r="K401" s="185"/>
      <c r="L401" s="186"/>
      <c r="M401" s="186"/>
      <c r="N401" s="186"/>
      <c r="O401" s="187"/>
      <c r="P401" s="202"/>
    </row>
    <row r="402" spans="1:16" s="205" customFormat="1" ht="45" customHeight="1">
      <c r="A402" s="316"/>
      <c r="B402" s="197"/>
      <c r="C402" s="197"/>
      <c r="D402" s="198"/>
      <c r="E402" s="180"/>
      <c r="F402" s="179"/>
      <c r="G402" s="183"/>
      <c r="H402" s="183"/>
      <c r="I402" s="184"/>
      <c r="J402" s="183"/>
      <c r="K402" s="185"/>
      <c r="L402" s="186"/>
      <c r="M402" s="186"/>
      <c r="N402" s="186"/>
      <c r="O402" s="187"/>
      <c r="P402" s="202"/>
    </row>
    <row r="403" spans="1:16" s="205" customFormat="1" ht="45" customHeight="1">
      <c r="A403" s="316"/>
      <c r="B403" s="197"/>
      <c r="C403" s="299"/>
      <c r="D403" s="198"/>
      <c r="E403" s="180"/>
      <c r="F403" s="179"/>
      <c r="G403" s="183"/>
      <c r="H403" s="183"/>
      <c r="I403" s="184"/>
      <c r="J403" s="183"/>
      <c r="K403" s="185"/>
      <c r="L403" s="186"/>
      <c r="M403" s="186"/>
      <c r="N403" s="186"/>
      <c r="O403" s="187"/>
      <c r="P403" s="202"/>
    </row>
    <row r="404" spans="1:16" s="205" customFormat="1" ht="45" customHeight="1">
      <c r="A404" s="316"/>
      <c r="B404" s="197"/>
      <c r="C404" s="299"/>
      <c r="D404" s="198"/>
      <c r="E404" s="180"/>
      <c r="F404" s="179"/>
      <c r="G404" s="183"/>
      <c r="H404" s="183"/>
      <c r="I404" s="184"/>
      <c r="J404" s="183"/>
      <c r="K404" s="185"/>
      <c r="L404" s="186"/>
      <c r="M404" s="186"/>
      <c r="N404" s="186"/>
      <c r="O404" s="187"/>
      <c r="P404" s="202"/>
    </row>
    <row r="405" spans="1:16" ht="45" customHeight="1">
      <c r="A405" s="316"/>
      <c r="C405" s="299"/>
      <c r="D405" s="198"/>
      <c r="E405" s="180"/>
      <c r="F405" s="179"/>
      <c r="G405" s="183"/>
      <c r="H405" s="183"/>
      <c r="I405" s="184"/>
      <c r="J405" s="183"/>
      <c r="K405" s="185"/>
      <c r="L405" s="186"/>
      <c r="M405" s="186"/>
      <c r="N405" s="186"/>
      <c r="O405" s="187"/>
      <c r="P405" s="202"/>
    </row>
    <row r="406" spans="1:16" s="333" customFormat="1" ht="45" customHeight="1">
      <c r="A406" s="316"/>
      <c r="B406" s="197"/>
      <c r="C406" s="299"/>
      <c r="D406" s="198"/>
      <c r="E406" s="180"/>
      <c r="F406" s="179"/>
      <c r="G406" s="183"/>
      <c r="H406" s="183"/>
      <c r="I406" s="184"/>
      <c r="J406" s="183"/>
      <c r="K406" s="185"/>
      <c r="L406" s="186"/>
      <c r="M406" s="186"/>
      <c r="N406" s="186"/>
      <c r="O406" s="187"/>
      <c r="P406" s="202"/>
    </row>
    <row r="407" spans="1:16" s="333" customFormat="1" ht="45" customHeight="1">
      <c r="A407" s="316"/>
      <c r="B407" s="317"/>
      <c r="C407" s="318"/>
      <c r="D407" s="198"/>
      <c r="E407" s="180"/>
      <c r="F407" s="188"/>
      <c r="G407" s="183"/>
      <c r="H407" s="183"/>
      <c r="I407" s="184"/>
      <c r="J407" s="183"/>
      <c r="K407" s="185"/>
      <c r="L407" s="186"/>
      <c r="M407" s="186"/>
      <c r="N407" s="186"/>
      <c r="O407" s="187"/>
      <c r="P407" s="202"/>
    </row>
    <row r="408" spans="1:16" ht="45" customHeight="1">
      <c r="A408" s="316"/>
      <c r="B408" s="317"/>
      <c r="C408" s="299"/>
      <c r="D408" s="198"/>
      <c r="E408" s="180"/>
      <c r="F408" s="188"/>
      <c r="G408" s="183"/>
      <c r="H408" s="201"/>
      <c r="I408" s="184"/>
      <c r="J408" s="183"/>
      <c r="K408" s="185"/>
      <c r="L408" s="186"/>
      <c r="M408" s="186"/>
      <c r="N408" s="186"/>
      <c r="O408" s="187"/>
      <c r="P408" s="202"/>
    </row>
    <row r="409" spans="1:16" ht="45" customHeight="1">
      <c r="A409" s="316"/>
      <c r="D409" s="198"/>
      <c r="E409" s="200"/>
      <c r="F409" s="199"/>
      <c r="G409" s="183"/>
      <c r="H409" s="336"/>
      <c r="I409" s="331"/>
      <c r="J409" s="183"/>
      <c r="K409" s="185"/>
      <c r="L409" s="332"/>
      <c r="M409" s="332"/>
      <c r="N409" s="186"/>
      <c r="O409" s="187"/>
      <c r="P409" s="202"/>
    </row>
    <row r="410" spans="1:16" ht="45" customHeight="1">
      <c r="A410" s="316"/>
      <c r="B410" s="317"/>
      <c r="C410" s="317"/>
      <c r="D410" s="198"/>
      <c r="E410" s="180"/>
      <c r="F410" s="188"/>
      <c r="G410" s="183"/>
      <c r="H410" s="183"/>
      <c r="I410" s="184"/>
      <c r="J410" s="183"/>
      <c r="K410" s="185"/>
      <c r="L410" s="186"/>
      <c r="M410" s="186"/>
      <c r="N410" s="186"/>
      <c r="O410" s="187"/>
      <c r="P410" s="202"/>
    </row>
    <row r="411" spans="1:16" ht="45" customHeight="1">
      <c r="A411" s="316"/>
      <c r="D411" s="198"/>
      <c r="E411" s="180"/>
      <c r="F411" s="179"/>
      <c r="G411" s="183"/>
      <c r="H411" s="183"/>
      <c r="I411" s="184"/>
      <c r="J411" s="183"/>
      <c r="K411" s="185"/>
      <c r="L411" s="186"/>
      <c r="M411" s="186"/>
      <c r="N411" s="186"/>
      <c r="O411" s="187"/>
      <c r="P411" s="202"/>
    </row>
    <row r="412" spans="1:16" ht="45" customHeight="1">
      <c r="A412" s="316"/>
      <c r="D412" s="198"/>
      <c r="E412" s="330"/>
      <c r="F412" s="328"/>
      <c r="G412" s="183"/>
      <c r="H412" s="183"/>
      <c r="I412" s="184"/>
      <c r="J412" s="183"/>
      <c r="K412" s="185"/>
      <c r="L412" s="186"/>
      <c r="M412" s="186"/>
      <c r="N412" s="186"/>
      <c r="O412" s="187"/>
      <c r="P412" s="202"/>
    </row>
    <row r="413" spans="1:16" ht="45" customHeight="1">
      <c r="A413" s="316"/>
      <c r="C413" s="299"/>
      <c r="D413" s="198"/>
      <c r="E413" s="180"/>
      <c r="F413" s="179"/>
      <c r="G413" s="183"/>
      <c r="H413" s="201"/>
      <c r="I413" s="184"/>
      <c r="J413" s="183"/>
      <c r="K413" s="185"/>
      <c r="L413" s="186"/>
      <c r="M413" s="186"/>
      <c r="N413" s="186"/>
      <c r="O413" s="187"/>
      <c r="P413" s="202"/>
    </row>
    <row r="414" spans="1:16" ht="45" customHeight="1">
      <c r="A414" s="316"/>
      <c r="C414" s="299"/>
      <c r="D414" s="198"/>
      <c r="E414" s="180"/>
      <c r="F414" s="179"/>
      <c r="G414" s="183"/>
      <c r="H414" s="183"/>
      <c r="I414" s="184"/>
      <c r="J414" s="183"/>
      <c r="K414" s="185"/>
      <c r="L414" s="186"/>
      <c r="M414" s="186"/>
      <c r="N414" s="186"/>
      <c r="O414" s="187"/>
      <c r="P414" s="202"/>
    </row>
    <row r="415" spans="1:16" ht="45" customHeight="1">
      <c r="A415" s="316"/>
      <c r="C415" s="299"/>
      <c r="D415" s="198"/>
      <c r="E415" s="180"/>
      <c r="F415" s="179"/>
      <c r="G415" s="183"/>
      <c r="H415" s="183"/>
      <c r="I415" s="184"/>
      <c r="J415" s="183"/>
      <c r="K415" s="185"/>
      <c r="L415" s="186"/>
      <c r="M415" s="186"/>
      <c r="N415" s="186"/>
      <c r="O415" s="187"/>
      <c r="P415" s="202"/>
    </row>
    <row r="416" spans="1:16" ht="45" customHeight="1">
      <c r="A416" s="316"/>
      <c r="C416" s="299"/>
      <c r="D416" s="198"/>
      <c r="E416" s="180"/>
      <c r="F416" s="188"/>
      <c r="G416" s="183"/>
      <c r="H416" s="183"/>
      <c r="I416" s="184"/>
      <c r="J416" s="183"/>
      <c r="K416" s="185"/>
      <c r="L416" s="186"/>
      <c r="M416" s="186"/>
      <c r="N416" s="186"/>
      <c r="O416" s="187"/>
      <c r="P416" s="202"/>
    </row>
    <row r="417" spans="1:16" ht="45" customHeight="1">
      <c r="A417" s="316"/>
      <c r="C417" s="299"/>
      <c r="D417" s="198"/>
      <c r="E417" s="180"/>
      <c r="F417" s="188"/>
      <c r="G417" s="183"/>
      <c r="H417" s="183"/>
      <c r="I417" s="184"/>
      <c r="J417" s="183"/>
      <c r="K417" s="185"/>
      <c r="L417" s="186"/>
      <c r="M417" s="186"/>
      <c r="N417" s="186"/>
      <c r="O417" s="187"/>
      <c r="P417" s="202"/>
    </row>
    <row r="418" spans="1:16" ht="45" customHeight="1">
      <c r="A418" s="316"/>
      <c r="C418" s="299"/>
      <c r="D418" s="198"/>
      <c r="E418" s="180"/>
      <c r="F418" s="188"/>
      <c r="G418" s="183"/>
      <c r="H418" s="183"/>
      <c r="I418" s="184"/>
      <c r="J418" s="183"/>
      <c r="K418" s="185"/>
      <c r="L418" s="186"/>
      <c r="M418" s="186"/>
      <c r="N418" s="186"/>
      <c r="O418" s="187"/>
      <c r="P418" s="202"/>
    </row>
    <row r="419" spans="1:16" ht="45" customHeight="1">
      <c r="A419" s="316"/>
      <c r="C419" s="299"/>
      <c r="D419" s="198"/>
      <c r="E419" s="180"/>
      <c r="F419" s="188"/>
      <c r="G419" s="183"/>
      <c r="H419" s="183"/>
      <c r="I419" s="184"/>
      <c r="J419" s="183"/>
      <c r="K419" s="185"/>
      <c r="L419" s="186"/>
      <c r="M419" s="186"/>
      <c r="N419" s="186"/>
      <c r="O419" s="187"/>
      <c r="P419" s="202"/>
    </row>
    <row r="420" spans="1:16" ht="45" customHeight="1">
      <c r="A420" s="316"/>
      <c r="C420" s="299"/>
      <c r="D420" s="198"/>
      <c r="E420" s="180"/>
      <c r="F420" s="188"/>
      <c r="G420" s="183"/>
      <c r="H420" s="183"/>
      <c r="I420" s="184"/>
      <c r="J420" s="183"/>
      <c r="K420" s="185"/>
      <c r="L420" s="186"/>
      <c r="M420" s="186"/>
      <c r="N420" s="186"/>
      <c r="O420" s="187"/>
      <c r="P420" s="202"/>
    </row>
    <row r="421" spans="1:16" ht="45" customHeight="1">
      <c r="A421" s="316"/>
      <c r="C421" s="299"/>
      <c r="D421" s="198"/>
      <c r="E421" s="180"/>
      <c r="F421" s="188"/>
      <c r="G421" s="183"/>
      <c r="H421" s="183"/>
      <c r="I421" s="184"/>
      <c r="J421" s="183"/>
      <c r="K421" s="185"/>
      <c r="L421" s="186"/>
      <c r="M421" s="186"/>
      <c r="N421" s="186"/>
      <c r="O421" s="187"/>
      <c r="P421" s="202"/>
    </row>
    <row r="422" spans="1:16" ht="45" customHeight="1">
      <c r="A422" s="316"/>
      <c r="C422" s="299"/>
      <c r="D422" s="198"/>
      <c r="E422" s="180"/>
      <c r="F422" s="188"/>
      <c r="G422" s="183"/>
      <c r="H422" s="183"/>
      <c r="I422" s="184"/>
      <c r="J422" s="183"/>
      <c r="K422" s="185"/>
      <c r="L422" s="186"/>
      <c r="M422" s="186"/>
      <c r="N422" s="186"/>
      <c r="O422" s="187"/>
      <c r="P422" s="202"/>
    </row>
    <row r="423" spans="1:16" ht="45" customHeight="1">
      <c r="A423" s="316"/>
      <c r="C423" s="299"/>
      <c r="D423" s="198"/>
      <c r="E423" s="180"/>
      <c r="F423" s="188"/>
      <c r="G423" s="183"/>
      <c r="H423" s="183"/>
      <c r="I423" s="184"/>
      <c r="J423" s="183"/>
      <c r="K423" s="185"/>
      <c r="L423" s="186"/>
      <c r="M423" s="186"/>
      <c r="N423" s="186"/>
      <c r="O423" s="187"/>
      <c r="P423" s="202"/>
    </row>
    <row r="424" spans="1:16" ht="45" customHeight="1">
      <c r="A424" s="316"/>
      <c r="C424" s="299"/>
      <c r="D424" s="198"/>
      <c r="E424" s="180"/>
      <c r="F424" s="188"/>
      <c r="G424" s="183"/>
      <c r="H424" s="183"/>
      <c r="I424" s="184"/>
      <c r="J424" s="183"/>
      <c r="K424" s="185"/>
      <c r="L424" s="186"/>
      <c r="M424" s="186"/>
      <c r="N424" s="186"/>
      <c r="O424" s="187"/>
      <c r="P424" s="202"/>
    </row>
    <row r="425" spans="1:16" ht="45" customHeight="1">
      <c r="A425" s="316"/>
      <c r="C425" s="318"/>
      <c r="D425" s="198"/>
      <c r="E425" s="180"/>
      <c r="F425" s="188"/>
      <c r="G425" s="183"/>
      <c r="H425" s="183"/>
      <c r="I425" s="184"/>
      <c r="J425" s="183"/>
      <c r="K425" s="185"/>
      <c r="L425" s="186"/>
      <c r="M425" s="186"/>
      <c r="N425" s="186"/>
      <c r="O425" s="187"/>
      <c r="P425" s="202"/>
    </row>
    <row r="426" spans="1:16" ht="45" customHeight="1">
      <c r="A426" s="316"/>
      <c r="C426" s="299"/>
      <c r="D426" s="198"/>
      <c r="E426" s="200"/>
      <c r="F426" s="199"/>
      <c r="G426" s="183"/>
      <c r="H426" s="201"/>
      <c r="I426" s="184"/>
      <c r="J426" s="183"/>
      <c r="K426" s="185"/>
      <c r="L426" s="186"/>
      <c r="M426" s="186"/>
      <c r="N426" s="332"/>
      <c r="O426" s="187"/>
      <c r="P426" s="202"/>
    </row>
    <row r="427" spans="1:16" ht="45" customHeight="1">
      <c r="A427" s="316"/>
      <c r="C427" s="299"/>
      <c r="D427" s="198"/>
      <c r="E427" s="200"/>
      <c r="F427" s="199"/>
      <c r="G427" s="183"/>
      <c r="H427" s="201"/>
      <c r="I427" s="184"/>
      <c r="J427" s="183"/>
      <c r="K427" s="185"/>
      <c r="L427" s="186"/>
      <c r="M427" s="186"/>
      <c r="N427" s="186"/>
      <c r="O427" s="187"/>
      <c r="P427" s="202"/>
    </row>
    <row r="428" spans="1:16" ht="45" customHeight="1">
      <c r="A428" s="316"/>
      <c r="C428" s="299"/>
      <c r="D428" s="198"/>
      <c r="E428" s="200"/>
      <c r="F428" s="199"/>
      <c r="G428" s="183"/>
      <c r="H428" s="201"/>
      <c r="I428" s="184"/>
      <c r="J428" s="183"/>
      <c r="K428" s="185"/>
      <c r="L428" s="186"/>
      <c r="M428" s="186"/>
      <c r="N428" s="186"/>
      <c r="O428" s="187"/>
      <c r="P428" s="202"/>
    </row>
    <row r="429" spans="1:16" ht="45" customHeight="1">
      <c r="A429" s="316"/>
      <c r="C429" s="299"/>
      <c r="D429" s="198"/>
      <c r="E429" s="200"/>
      <c r="F429" s="199"/>
      <c r="G429" s="183"/>
      <c r="H429" s="201"/>
      <c r="I429" s="184"/>
      <c r="J429" s="183"/>
      <c r="K429" s="185"/>
      <c r="L429" s="186"/>
      <c r="M429" s="186"/>
      <c r="N429" s="186"/>
      <c r="O429" s="187"/>
      <c r="P429" s="202"/>
    </row>
    <row r="430" spans="1:16" ht="45" customHeight="1">
      <c r="A430" s="316"/>
      <c r="C430" s="299"/>
      <c r="D430" s="198"/>
      <c r="E430" s="200"/>
      <c r="F430" s="199"/>
      <c r="G430" s="183"/>
      <c r="H430" s="201"/>
      <c r="I430" s="184"/>
      <c r="J430" s="183"/>
      <c r="K430" s="185"/>
      <c r="L430" s="186"/>
      <c r="M430" s="186"/>
      <c r="N430" s="186"/>
      <c r="O430" s="187"/>
      <c r="P430" s="202"/>
    </row>
    <row r="431" spans="1:16" ht="45" customHeight="1">
      <c r="A431" s="316"/>
      <c r="C431" s="299"/>
      <c r="D431" s="198"/>
      <c r="E431" s="200"/>
      <c r="F431" s="199"/>
      <c r="G431" s="183"/>
      <c r="H431" s="201"/>
      <c r="I431" s="184"/>
      <c r="J431" s="183"/>
      <c r="K431" s="185"/>
      <c r="L431" s="186"/>
      <c r="M431" s="186"/>
      <c r="N431" s="186"/>
      <c r="O431" s="187"/>
      <c r="P431" s="202"/>
    </row>
    <row r="432" spans="1:16" ht="45" customHeight="1">
      <c r="A432" s="316"/>
      <c r="C432" s="299"/>
      <c r="D432" s="198"/>
      <c r="E432" s="200"/>
      <c r="F432" s="199"/>
      <c r="G432" s="183"/>
      <c r="H432" s="201"/>
      <c r="I432" s="184"/>
      <c r="J432" s="183"/>
      <c r="K432" s="185"/>
      <c r="L432" s="186"/>
      <c r="M432" s="186"/>
      <c r="N432" s="186"/>
      <c r="O432" s="187"/>
      <c r="P432" s="202"/>
    </row>
    <row r="433" spans="1:16" ht="45" customHeight="1">
      <c r="A433" s="316"/>
      <c r="C433" s="299"/>
      <c r="D433" s="198"/>
      <c r="E433" s="200"/>
      <c r="F433" s="199"/>
      <c r="G433" s="183"/>
      <c r="H433" s="201"/>
      <c r="I433" s="184"/>
      <c r="J433" s="183"/>
      <c r="K433" s="185"/>
      <c r="L433" s="186"/>
      <c r="M433" s="186"/>
      <c r="N433" s="186"/>
      <c r="O433" s="187"/>
      <c r="P433" s="202"/>
    </row>
    <row r="434" spans="1:16" ht="45" customHeight="1">
      <c r="A434" s="316"/>
      <c r="C434" s="299"/>
      <c r="D434" s="198"/>
      <c r="E434" s="200"/>
      <c r="F434" s="199"/>
      <c r="G434" s="183"/>
      <c r="H434" s="201"/>
      <c r="I434" s="184"/>
      <c r="J434" s="183"/>
      <c r="K434" s="185"/>
      <c r="L434" s="186"/>
      <c r="M434" s="186"/>
      <c r="N434" s="186"/>
      <c r="O434" s="187"/>
      <c r="P434" s="202"/>
    </row>
    <row r="435" spans="1:16" s="205" customFormat="1" ht="45" customHeight="1">
      <c r="A435" s="316"/>
      <c r="B435" s="197"/>
      <c r="C435" s="299"/>
      <c r="D435" s="198"/>
      <c r="E435" s="180"/>
      <c r="F435" s="179"/>
      <c r="G435" s="183"/>
      <c r="H435" s="183"/>
      <c r="I435" s="184"/>
      <c r="J435" s="183"/>
      <c r="K435" s="185"/>
      <c r="L435" s="186"/>
      <c r="M435" s="186"/>
      <c r="N435" s="186"/>
      <c r="O435" s="187"/>
      <c r="P435" s="202"/>
    </row>
    <row r="436" spans="1:16" ht="45" customHeight="1">
      <c r="A436" s="316"/>
      <c r="C436" s="299"/>
      <c r="D436" s="198"/>
      <c r="E436" s="180"/>
      <c r="F436" s="179"/>
      <c r="G436" s="183"/>
      <c r="H436" s="183"/>
      <c r="I436" s="184"/>
      <c r="J436" s="183"/>
      <c r="K436" s="185"/>
      <c r="L436" s="186"/>
      <c r="M436" s="186"/>
      <c r="N436" s="186"/>
      <c r="O436" s="187"/>
      <c r="P436" s="202"/>
    </row>
    <row r="437" spans="1:16" s="333" customFormat="1" ht="45" customHeight="1">
      <c r="A437" s="316"/>
      <c r="B437" s="197"/>
      <c r="C437" s="299"/>
      <c r="D437" s="198"/>
      <c r="E437" s="180"/>
      <c r="F437" s="179"/>
      <c r="G437" s="183"/>
      <c r="H437" s="183"/>
      <c r="I437" s="184"/>
      <c r="J437" s="183"/>
      <c r="K437" s="185"/>
      <c r="L437" s="186"/>
      <c r="M437" s="186"/>
      <c r="N437" s="186"/>
      <c r="O437" s="187"/>
      <c r="P437" s="202"/>
    </row>
    <row r="438" spans="1:16" s="333" customFormat="1" ht="45" customHeight="1">
      <c r="A438" s="316"/>
      <c r="B438" s="197"/>
      <c r="C438" s="299"/>
      <c r="D438" s="198"/>
      <c r="E438" s="180"/>
      <c r="F438" s="179"/>
      <c r="G438" s="183"/>
      <c r="H438" s="183"/>
      <c r="I438" s="184"/>
      <c r="J438" s="183"/>
      <c r="K438" s="185"/>
      <c r="L438" s="186"/>
      <c r="M438" s="186"/>
      <c r="N438" s="186"/>
      <c r="O438" s="187"/>
      <c r="P438" s="202"/>
    </row>
    <row r="439" spans="1:16" s="333" customFormat="1" ht="45" customHeight="1">
      <c r="A439" s="316"/>
      <c r="B439" s="197"/>
      <c r="C439" s="299"/>
      <c r="D439" s="198"/>
      <c r="E439" s="180"/>
      <c r="F439" s="179"/>
      <c r="G439" s="183"/>
      <c r="H439" s="183"/>
      <c r="I439" s="184"/>
      <c r="J439" s="183"/>
      <c r="K439" s="185"/>
      <c r="L439" s="186"/>
      <c r="M439" s="186"/>
      <c r="N439" s="186"/>
      <c r="O439" s="187"/>
      <c r="P439" s="202"/>
    </row>
    <row r="440" spans="1:16" s="205" customFormat="1" ht="45" customHeight="1">
      <c r="A440" s="316"/>
      <c r="B440" s="197"/>
      <c r="C440" s="299"/>
      <c r="D440" s="198"/>
      <c r="E440" s="180"/>
      <c r="F440" s="188"/>
      <c r="G440" s="183"/>
      <c r="H440" s="183"/>
      <c r="I440" s="184"/>
      <c r="J440" s="183"/>
      <c r="K440" s="185"/>
      <c r="L440" s="186"/>
      <c r="M440" s="186"/>
      <c r="N440" s="186"/>
      <c r="O440" s="187"/>
      <c r="P440" s="202"/>
    </row>
    <row r="441" spans="1:16" s="205" customFormat="1" ht="45" customHeight="1">
      <c r="A441" s="316"/>
      <c r="B441" s="197"/>
      <c r="C441" s="299"/>
      <c r="D441" s="198"/>
      <c r="E441" s="180"/>
      <c r="F441" s="188"/>
      <c r="G441" s="183"/>
      <c r="H441" s="201"/>
      <c r="I441" s="184"/>
      <c r="J441" s="183"/>
      <c r="K441" s="185"/>
      <c r="L441" s="186"/>
      <c r="M441" s="186"/>
      <c r="N441" s="186"/>
      <c r="O441" s="187"/>
      <c r="P441" s="202"/>
    </row>
    <row r="442" spans="1:16" s="333" customFormat="1" ht="45" customHeight="1">
      <c r="A442" s="316"/>
      <c r="B442" s="197"/>
      <c r="C442" s="299"/>
      <c r="D442" s="198"/>
      <c r="E442" s="180"/>
      <c r="F442" s="188"/>
      <c r="G442" s="183"/>
      <c r="H442" s="201"/>
      <c r="I442" s="184"/>
      <c r="J442" s="183"/>
      <c r="K442" s="185"/>
      <c r="L442" s="186"/>
      <c r="M442" s="186"/>
      <c r="N442" s="186"/>
      <c r="O442" s="187"/>
      <c r="P442" s="202"/>
    </row>
    <row r="443" spans="1:16" ht="45" customHeight="1">
      <c r="A443" s="316"/>
      <c r="C443" s="299"/>
      <c r="D443" s="198"/>
      <c r="E443" s="180"/>
      <c r="F443" s="188"/>
      <c r="G443" s="183"/>
      <c r="H443" s="201"/>
      <c r="I443" s="184"/>
      <c r="J443" s="183"/>
      <c r="K443" s="185"/>
      <c r="L443" s="186"/>
      <c r="M443" s="186"/>
      <c r="N443" s="186"/>
      <c r="O443" s="187"/>
      <c r="P443" s="202"/>
    </row>
    <row r="444" spans="1:16" ht="45" customHeight="1">
      <c r="A444" s="316"/>
      <c r="C444" s="299"/>
      <c r="D444" s="198"/>
      <c r="E444" s="180"/>
      <c r="F444" s="188"/>
      <c r="G444" s="183"/>
      <c r="H444" s="201"/>
      <c r="I444" s="184"/>
      <c r="J444" s="183"/>
      <c r="K444" s="185"/>
      <c r="L444" s="186"/>
      <c r="M444" s="186"/>
      <c r="N444" s="186"/>
      <c r="O444" s="187"/>
      <c r="P444" s="202"/>
    </row>
    <row r="445" spans="1:16" ht="45" customHeight="1">
      <c r="A445" s="316"/>
      <c r="C445" s="299"/>
      <c r="D445" s="198"/>
      <c r="E445" s="180"/>
      <c r="F445" s="179"/>
      <c r="G445" s="183"/>
      <c r="H445" s="183"/>
      <c r="I445" s="184"/>
      <c r="J445" s="183"/>
      <c r="K445" s="185"/>
      <c r="L445" s="186"/>
      <c r="M445" s="186"/>
      <c r="N445" s="186"/>
      <c r="O445" s="187"/>
      <c r="P445" s="202"/>
    </row>
    <row r="446" spans="1:16" ht="45" customHeight="1">
      <c r="A446" s="316"/>
      <c r="C446" s="299"/>
      <c r="D446" s="198"/>
      <c r="E446" s="180"/>
      <c r="F446" s="179"/>
      <c r="G446" s="183"/>
      <c r="H446" s="183"/>
      <c r="I446" s="184"/>
      <c r="J446" s="183"/>
      <c r="K446" s="185"/>
      <c r="L446" s="186"/>
      <c r="M446" s="186"/>
      <c r="N446" s="186"/>
      <c r="O446" s="187"/>
      <c r="P446" s="202"/>
    </row>
    <row r="447" spans="1:16" ht="45" customHeight="1">
      <c r="A447" s="316"/>
      <c r="B447" s="317"/>
      <c r="C447" s="318"/>
      <c r="D447" s="198"/>
      <c r="E447" s="180"/>
      <c r="F447" s="188"/>
      <c r="G447" s="183"/>
      <c r="H447" s="183"/>
      <c r="I447" s="184"/>
      <c r="J447" s="183"/>
      <c r="K447" s="185"/>
      <c r="L447" s="186"/>
      <c r="M447" s="186"/>
      <c r="N447" s="186"/>
      <c r="O447" s="187"/>
      <c r="P447" s="202"/>
    </row>
    <row r="448" spans="1:16" ht="45" customHeight="1">
      <c r="A448" s="316"/>
      <c r="B448" s="317"/>
      <c r="C448" s="318"/>
      <c r="D448" s="198"/>
      <c r="E448" s="180"/>
      <c r="F448" s="188"/>
      <c r="G448" s="183"/>
      <c r="H448" s="183"/>
      <c r="I448" s="184"/>
      <c r="J448" s="183"/>
      <c r="K448" s="185"/>
      <c r="L448" s="186"/>
      <c r="M448" s="186"/>
      <c r="N448" s="186"/>
      <c r="O448" s="187"/>
      <c r="P448" s="202"/>
    </row>
    <row r="449" spans="1:16" ht="45" customHeight="1">
      <c r="A449" s="316"/>
      <c r="B449" s="317"/>
      <c r="C449" s="299"/>
      <c r="D449" s="198"/>
      <c r="E449" s="180"/>
      <c r="F449" s="188"/>
      <c r="G449" s="183"/>
      <c r="H449" s="201"/>
      <c r="I449" s="184"/>
      <c r="J449" s="183"/>
      <c r="K449" s="185"/>
      <c r="L449" s="186"/>
      <c r="M449" s="186"/>
      <c r="N449" s="186"/>
      <c r="O449" s="187"/>
      <c r="P449" s="202"/>
    </row>
    <row r="450" spans="1:16" ht="45" customHeight="1">
      <c r="A450" s="316"/>
      <c r="B450" s="317"/>
      <c r="C450" s="317"/>
      <c r="D450" s="198"/>
      <c r="E450" s="180"/>
      <c r="F450" s="188"/>
      <c r="G450" s="183"/>
      <c r="H450" s="183"/>
      <c r="I450" s="184"/>
      <c r="J450" s="183"/>
      <c r="K450" s="185"/>
      <c r="L450" s="186"/>
      <c r="M450" s="186"/>
      <c r="N450" s="186"/>
      <c r="O450" s="187"/>
      <c r="P450" s="202"/>
    </row>
    <row r="451" spans="1:16" ht="45" customHeight="1">
      <c r="A451" s="316"/>
      <c r="B451" s="317"/>
      <c r="C451" s="317"/>
      <c r="D451" s="198"/>
      <c r="E451" s="180"/>
      <c r="F451" s="188"/>
      <c r="G451" s="183"/>
      <c r="H451" s="183"/>
      <c r="I451" s="184"/>
      <c r="J451" s="183"/>
      <c r="K451" s="185"/>
      <c r="L451" s="186"/>
      <c r="M451" s="186"/>
      <c r="N451" s="186"/>
      <c r="O451" s="187"/>
      <c r="P451" s="202"/>
    </row>
    <row r="452" spans="1:16" ht="45" customHeight="1">
      <c r="A452" s="316"/>
      <c r="B452" s="317"/>
      <c r="C452" s="317"/>
      <c r="D452" s="198"/>
      <c r="E452" s="180"/>
      <c r="F452" s="188"/>
      <c r="G452" s="183"/>
      <c r="H452" s="183"/>
      <c r="I452" s="184"/>
      <c r="J452" s="183"/>
      <c r="K452" s="185"/>
      <c r="L452" s="186"/>
      <c r="M452" s="186"/>
      <c r="N452" s="186"/>
      <c r="O452" s="187"/>
      <c r="P452" s="202"/>
    </row>
    <row r="453" spans="1:16" ht="45" customHeight="1">
      <c r="A453" s="316"/>
      <c r="B453" s="317"/>
      <c r="C453" s="317"/>
      <c r="D453" s="198"/>
      <c r="E453" s="180"/>
      <c r="F453" s="188"/>
      <c r="G453" s="183"/>
      <c r="H453" s="183"/>
      <c r="I453" s="184"/>
      <c r="J453" s="183"/>
      <c r="K453" s="185"/>
      <c r="L453" s="186"/>
      <c r="M453" s="186"/>
      <c r="N453" s="186"/>
      <c r="O453" s="187"/>
      <c r="P453" s="202"/>
    </row>
    <row r="454" spans="1:16" ht="45" customHeight="1">
      <c r="A454" s="316"/>
      <c r="C454" s="299"/>
      <c r="D454" s="198"/>
      <c r="E454" s="180"/>
      <c r="F454" s="179"/>
      <c r="G454" s="183"/>
      <c r="H454" s="183"/>
      <c r="I454" s="184"/>
      <c r="J454" s="183"/>
      <c r="K454" s="185"/>
      <c r="L454" s="186"/>
      <c r="M454" s="186"/>
      <c r="N454" s="186"/>
      <c r="O454" s="187"/>
      <c r="P454" s="202"/>
    </row>
    <row r="455" spans="1:16" ht="45" customHeight="1">
      <c r="A455" s="316"/>
      <c r="C455" s="299"/>
      <c r="D455" s="198"/>
      <c r="E455" s="180"/>
      <c r="F455" s="179"/>
      <c r="G455" s="183"/>
      <c r="H455" s="183"/>
      <c r="I455" s="184"/>
      <c r="J455" s="183"/>
      <c r="K455" s="185"/>
      <c r="L455" s="186"/>
      <c r="M455" s="186"/>
      <c r="N455" s="186"/>
      <c r="O455" s="187"/>
      <c r="P455" s="202"/>
    </row>
    <row r="456" spans="1:16" ht="45" customHeight="1">
      <c r="A456" s="316"/>
      <c r="C456" s="299"/>
      <c r="D456" s="198"/>
      <c r="E456" s="180"/>
      <c r="F456" s="179"/>
      <c r="G456" s="183"/>
      <c r="H456" s="183"/>
      <c r="I456" s="184"/>
      <c r="J456" s="183"/>
      <c r="K456" s="185"/>
      <c r="L456" s="186"/>
      <c r="M456" s="186"/>
      <c r="N456" s="186"/>
      <c r="O456" s="187"/>
      <c r="P456" s="202"/>
    </row>
    <row r="457" spans="1:16" ht="45" customHeight="1">
      <c r="A457" s="316"/>
      <c r="C457" s="299"/>
      <c r="D457" s="198"/>
      <c r="E457" s="180"/>
      <c r="F457" s="179"/>
      <c r="G457" s="183"/>
      <c r="H457" s="183"/>
      <c r="I457" s="184"/>
      <c r="J457" s="183"/>
      <c r="K457" s="185"/>
      <c r="L457" s="186"/>
      <c r="M457" s="186"/>
      <c r="N457" s="186"/>
      <c r="O457" s="187"/>
      <c r="P457" s="202"/>
    </row>
    <row r="458" spans="1:16" ht="45" customHeight="1">
      <c r="A458" s="316"/>
      <c r="C458" s="299"/>
      <c r="D458" s="198"/>
      <c r="E458" s="180"/>
      <c r="F458" s="188"/>
      <c r="G458" s="183"/>
      <c r="H458" s="183"/>
      <c r="I458" s="184"/>
      <c r="J458" s="183"/>
      <c r="K458" s="185"/>
      <c r="L458" s="186"/>
      <c r="M458" s="186"/>
      <c r="N458" s="186"/>
      <c r="O458" s="187"/>
      <c r="P458" s="202"/>
    </row>
    <row r="459" spans="1:16" ht="45" customHeight="1">
      <c r="A459" s="316"/>
      <c r="C459" s="299"/>
      <c r="D459" s="198"/>
      <c r="E459" s="180"/>
      <c r="F459" s="188"/>
      <c r="G459" s="183"/>
      <c r="H459" s="183"/>
      <c r="I459" s="184"/>
      <c r="J459" s="183"/>
      <c r="K459" s="185"/>
      <c r="L459" s="186"/>
      <c r="M459" s="186"/>
      <c r="N459" s="186"/>
      <c r="O459" s="187"/>
      <c r="P459" s="202"/>
    </row>
    <row r="460" spans="1:16" ht="45" customHeight="1">
      <c r="A460" s="316"/>
      <c r="B460" s="317"/>
      <c r="C460" s="318"/>
      <c r="D460" s="198"/>
      <c r="E460" s="180"/>
      <c r="F460" s="188"/>
      <c r="G460" s="183"/>
      <c r="H460" s="183"/>
      <c r="I460" s="184"/>
      <c r="J460" s="183"/>
      <c r="K460" s="185"/>
      <c r="L460" s="186"/>
      <c r="M460" s="186"/>
      <c r="N460" s="186"/>
      <c r="O460" s="187"/>
      <c r="P460" s="202"/>
    </row>
    <row r="461" spans="1:16" ht="45" customHeight="1">
      <c r="A461" s="316"/>
      <c r="D461" s="198"/>
      <c r="E461" s="330"/>
      <c r="F461" s="328"/>
      <c r="G461" s="183"/>
      <c r="H461" s="183"/>
      <c r="I461" s="184"/>
      <c r="J461" s="183"/>
      <c r="K461" s="185"/>
      <c r="L461" s="186"/>
      <c r="M461" s="186"/>
      <c r="N461" s="186"/>
      <c r="O461" s="187"/>
      <c r="P461" s="202"/>
    </row>
    <row r="462" spans="1:16" ht="45" customHeight="1">
      <c r="A462" s="316"/>
      <c r="D462" s="198"/>
      <c r="E462" s="330"/>
      <c r="F462" s="328"/>
      <c r="G462" s="183"/>
      <c r="H462" s="183"/>
      <c r="I462" s="184"/>
      <c r="J462" s="183"/>
      <c r="K462" s="185"/>
      <c r="L462" s="186"/>
      <c r="M462" s="186"/>
      <c r="N462" s="186"/>
      <c r="O462" s="187"/>
      <c r="P462" s="202"/>
    </row>
    <row r="463" spans="1:16" ht="45" customHeight="1">
      <c r="A463" s="316"/>
      <c r="D463" s="198"/>
      <c r="E463" s="330"/>
      <c r="F463" s="328"/>
      <c r="G463" s="183"/>
      <c r="H463" s="183"/>
      <c r="I463" s="184"/>
      <c r="J463" s="183"/>
      <c r="K463" s="185"/>
      <c r="L463" s="186"/>
      <c r="M463" s="186"/>
      <c r="N463" s="186"/>
      <c r="O463" s="187"/>
      <c r="P463" s="202"/>
    </row>
    <row r="464" spans="1:16" ht="45" customHeight="1">
      <c r="A464" s="316"/>
      <c r="D464" s="198"/>
      <c r="E464" s="330"/>
      <c r="F464" s="328"/>
      <c r="G464" s="183"/>
      <c r="H464" s="183"/>
      <c r="I464" s="184"/>
      <c r="J464" s="183"/>
      <c r="K464" s="185"/>
      <c r="L464" s="186"/>
      <c r="M464" s="186"/>
      <c r="N464" s="186"/>
      <c r="O464" s="187"/>
      <c r="P464" s="202"/>
    </row>
    <row r="465" spans="1:16" ht="45" customHeight="1">
      <c r="A465" s="316"/>
      <c r="D465" s="198"/>
      <c r="E465" s="330"/>
      <c r="F465" s="335"/>
      <c r="G465" s="183"/>
      <c r="H465" s="183"/>
      <c r="I465" s="184"/>
      <c r="J465" s="183"/>
      <c r="K465" s="185"/>
      <c r="L465" s="186"/>
      <c r="M465" s="186"/>
      <c r="N465" s="186"/>
      <c r="O465" s="187"/>
      <c r="P465" s="202"/>
    </row>
    <row r="466" spans="1:16" ht="45" customHeight="1">
      <c r="A466" s="316"/>
      <c r="D466" s="198"/>
      <c r="E466" s="330"/>
      <c r="F466" s="328"/>
      <c r="G466" s="183"/>
      <c r="H466" s="183"/>
      <c r="I466" s="184"/>
      <c r="J466" s="183"/>
      <c r="K466" s="185"/>
      <c r="L466" s="186"/>
      <c r="M466" s="186"/>
      <c r="N466" s="186"/>
      <c r="O466" s="187"/>
      <c r="P466" s="202"/>
    </row>
    <row r="467" spans="1:16" ht="45" customHeight="1">
      <c r="A467" s="316"/>
      <c r="D467" s="198"/>
      <c r="E467" s="330"/>
      <c r="F467" s="328"/>
      <c r="G467" s="183"/>
      <c r="H467" s="183"/>
      <c r="I467" s="184"/>
      <c r="J467" s="183"/>
      <c r="K467" s="185"/>
      <c r="L467" s="186"/>
      <c r="M467" s="186"/>
      <c r="N467" s="186"/>
      <c r="O467" s="187"/>
      <c r="P467" s="202"/>
    </row>
    <row r="468" spans="1:16" ht="45" customHeight="1">
      <c r="A468" s="316"/>
      <c r="D468" s="198"/>
      <c r="E468" s="330"/>
      <c r="F468" s="328"/>
      <c r="G468" s="183"/>
      <c r="H468" s="183"/>
      <c r="I468" s="184"/>
      <c r="J468" s="183"/>
      <c r="K468" s="185"/>
      <c r="L468" s="186"/>
      <c r="M468" s="186"/>
      <c r="N468" s="186"/>
      <c r="O468" s="187"/>
      <c r="P468" s="202"/>
    </row>
    <row r="469" spans="1:16" ht="45" customHeight="1">
      <c r="A469" s="316"/>
      <c r="D469" s="198"/>
      <c r="E469" s="330"/>
      <c r="F469" s="328"/>
      <c r="G469" s="183"/>
      <c r="H469" s="183"/>
      <c r="I469" s="184"/>
      <c r="J469" s="183"/>
      <c r="K469" s="185"/>
      <c r="L469" s="186"/>
      <c r="M469" s="186"/>
      <c r="N469" s="186"/>
      <c r="O469" s="187"/>
      <c r="P469" s="202"/>
    </row>
    <row r="470" spans="1:16" ht="45" customHeight="1" thickBot="1">
      <c r="A470" s="316"/>
      <c r="D470" s="340"/>
      <c r="E470" s="341"/>
      <c r="F470" s="342"/>
      <c r="G470" s="343"/>
      <c r="H470" s="343"/>
      <c r="I470" s="344"/>
      <c r="J470" s="343"/>
      <c r="K470" s="345"/>
      <c r="L470" s="346"/>
      <c r="M470" s="346"/>
      <c r="N470" s="346"/>
      <c r="O470" s="347"/>
      <c r="P470" s="348"/>
    </row>
    <row r="471" spans="1:16" s="358" customFormat="1" ht="17.25" customHeight="1" thickTop="1">
      <c r="A471" s="349"/>
      <c r="B471" s="197"/>
      <c r="C471" s="197"/>
      <c r="D471" s="350"/>
      <c r="E471" s="351"/>
      <c r="F471" s="352"/>
      <c r="G471" s="353"/>
      <c r="H471" s="354"/>
      <c r="I471" s="354"/>
      <c r="J471" s="354"/>
      <c r="K471" s="355"/>
      <c r="L471" s="356"/>
      <c r="M471" s="356"/>
      <c r="N471" s="356"/>
      <c r="O471" s="355"/>
      <c r="P471" s="357"/>
    </row>
    <row r="472" spans="1:16" s="358" customFormat="1" ht="30" customHeight="1">
      <c r="A472" s="349"/>
      <c r="B472" s="197"/>
      <c r="C472" s="197"/>
      <c r="D472" s="359"/>
      <c r="E472" s="360"/>
      <c r="F472" s="361"/>
      <c r="G472" s="362"/>
      <c r="H472" s="363"/>
      <c r="I472" s="363"/>
      <c r="J472" s="363"/>
      <c r="K472" s="364"/>
      <c r="L472" s="365"/>
      <c r="M472" s="366"/>
      <c r="N472" s="366"/>
      <c r="O472" s="364"/>
      <c r="P472" s="367"/>
    </row>
  </sheetData>
  <mergeCells count="12">
    <mergeCell ref="A7:A8"/>
    <mergeCell ref="B7:B8"/>
    <mergeCell ref="C7:C8"/>
    <mergeCell ref="D7:D8"/>
    <mergeCell ref="E7:E8"/>
    <mergeCell ref="P7:P8"/>
    <mergeCell ref="F7:F8"/>
    <mergeCell ref="G7:J7"/>
    <mergeCell ref="K7:K8"/>
    <mergeCell ref="L7:N7"/>
    <mergeCell ref="O7:O8"/>
    <mergeCell ref="D1:I3"/>
  </mergeCells>
  <conditionalFormatting sqref="F152">
    <cfRule type="dataBar" priority="152">
      <dataBar>
        <cfvo type="min"/>
        <cfvo type="max"/>
        <color theme="0" tint="-0.499984740745262"/>
      </dataBar>
    </cfRule>
    <cfRule type="dataBar" priority="153">
      <dataBar>
        <cfvo type="min"/>
        <cfvo type="max"/>
        <color theme="0" tint="-0.499984740745262"/>
      </dataBar>
    </cfRule>
    <cfRule type="dataBar" priority="154">
      <dataBar>
        <cfvo type="min"/>
        <cfvo type="max"/>
        <color theme="0" tint="-0.499984740745262"/>
      </dataBar>
    </cfRule>
  </conditionalFormatting>
  <conditionalFormatting sqref="F153">
    <cfRule type="dataBar" priority="203">
      <dataBar>
        <cfvo type="min"/>
        <cfvo type="max"/>
        <color theme="0" tint="-0.499984740745262"/>
      </dataBar>
    </cfRule>
    <cfRule type="dataBar" priority="204">
      <dataBar>
        <cfvo type="min"/>
        <cfvo type="max"/>
        <color theme="0" tint="-0.499984740745262"/>
      </dataBar>
    </cfRule>
    <cfRule type="dataBar" priority="205">
      <dataBar>
        <cfvo type="min"/>
        <cfvo type="max"/>
        <color theme="0" tint="-0.499984740745262"/>
      </dataBar>
    </cfRule>
  </conditionalFormatting>
  <conditionalFormatting sqref="F249">
    <cfRule type="dataBar" priority="119">
      <dataBar>
        <cfvo type="min"/>
        <cfvo type="max"/>
        <color theme="0" tint="-0.499984740745262"/>
      </dataBar>
    </cfRule>
    <cfRule type="dataBar" priority="120">
      <dataBar>
        <cfvo type="min"/>
        <cfvo type="max"/>
        <color theme="0" tint="-0.499984740745262"/>
      </dataBar>
    </cfRule>
    <cfRule type="dataBar" priority="121">
      <dataBar>
        <cfvo type="min"/>
        <cfvo type="max"/>
        <color theme="0" tint="-0.499984740745262"/>
      </dataBar>
    </cfRule>
  </conditionalFormatting>
  <conditionalFormatting sqref="F252">
    <cfRule type="dataBar" priority="155">
      <dataBar>
        <cfvo type="min"/>
        <cfvo type="max"/>
        <color theme="0" tint="-0.499984740745262"/>
      </dataBar>
    </cfRule>
    <cfRule type="dataBar" priority="156">
      <dataBar>
        <cfvo type="min"/>
        <cfvo type="max"/>
        <color theme="0" tint="-0.499984740745262"/>
      </dataBar>
    </cfRule>
    <cfRule type="dataBar" priority="157">
      <dataBar>
        <cfvo type="min"/>
        <cfvo type="max"/>
        <color theme="0" tint="-0.499984740745262"/>
      </dataBar>
    </cfRule>
  </conditionalFormatting>
  <conditionalFormatting sqref="F258">
    <cfRule type="dataBar" priority="122">
      <dataBar>
        <cfvo type="min"/>
        <cfvo type="max"/>
        <color theme="0" tint="-0.499984740745262"/>
      </dataBar>
    </cfRule>
    <cfRule type="dataBar" priority="123">
      <dataBar>
        <cfvo type="min"/>
        <cfvo type="max"/>
        <color theme="0" tint="-0.499984740745262"/>
      </dataBar>
    </cfRule>
    <cfRule type="dataBar" priority="124">
      <dataBar>
        <cfvo type="min"/>
        <cfvo type="max"/>
        <color theme="0" tint="-0.499984740745262"/>
      </dataBar>
    </cfRule>
  </conditionalFormatting>
  <conditionalFormatting sqref="F259">
    <cfRule type="dataBar" priority="209">
      <dataBar>
        <cfvo type="min"/>
        <cfvo type="max"/>
        <color theme="0" tint="-0.499984740745262"/>
      </dataBar>
    </cfRule>
    <cfRule type="dataBar" priority="210">
      <dataBar>
        <cfvo type="min"/>
        <cfvo type="max"/>
        <color theme="0" tint="-0.499984740745262"/>
      </dataBar>
    </cfRule>
    <cfRule type="dataBar" priority="211">
      <dataBar>
        <cfvo type="min"/>
        <cfvo type="max"/>
        <color theme="0" tint="-0.499984740745262"/>
      </dataBar>
    </cfRule>
  </conditionalFormatting>
  <conditionalFormatting sqref="F260">
    <cfRule type="dataBar" priority="125">
      <dataBar>
        <cfvo type="min"/>
        <cfvo type="max"/>
        <color theme="0" tint="-0.499984740745262"/>
      </dataBar>
    </cfRule>
    <cfRule type="dataBar" priority="126">
      <dataBar>
        <cfvo type="min"/>
        <cfvo type="max"/>
        <color theme="0" tint="-0.499984740745262"/>
      </dataBar>
    </cfRule>
    <cfRule type="dataBar" priority="127">
      <dataBar>
        <cfvo type="min"/>
        <cfvo type="max"/>
        <color theme="0" tint="-0.499984740745262"/>
      </dataBar>
    </cfRule>
  </conditionalFormatting>
  <conditionalFormatting sqref="F261">
    <cfRule type="dataBar" priority="212">
      <dataBar>
        <cfvo type="min"/>
        <cfvo type="max"/>
        <color theme="0" tint="-0.499984740745262"/>
      </dataBar>
    </cfRule>
    <cfRule type="dataBar" priority="213">
      <dataBar>
        <cfvo type="min"/>
        <cfvo type="max"/>
        <color theme="0" tint="-0.499984740745262"/>
      </dataBar>
    </cfRule>
    <cfRule type="dataBar" priority="214">
      <dataBar>
        <cfvo type="min"/>
        <cfvo type="max"/>
        <color theme="0" tint="-0.499984740745262"/>
      </dataBar>
    </cfRule>
  </conditionalFormatting>
  <conditionalFormatting sqref="F262">
    <cfRule type="dataBar" priority="128">
      <dataBar>
        <cfvo type="min"/>
        <cfvo type="max"/>
        <color theme="0" tint="-0.499984740745262"/>
      </dataBar>
    </cfRule>
    <cfRule type="dataBar" priority="129">
      <dataBar>
        <cfvo type="min"/>
        <cfvo type="max"/>
        <color theme="0" tint="-0.499984740745262"/>
      </dataBar>
    </cfRule>
    <cfRule type="dataBar" priority="130">
      <dataBar>
        <cfvo type="min"/>
        <cfvo type="max"/>
        <color theme="0" tint="-0.499984740745262"/>
      </dataBar>
    </cfRule>
  </conditionalFormatting>
  <conditionalFormatting sqref="F263">
    <cfRule type="dataBar" priority="131">
      <dataBar>
        <cfvo type="min"/>
        <cfvo type="max"/>
        <color theme="0" tint="-0.499984740745262"/>
      </dataBar>
    </cfRule>
    <cfRule type="dataBar" priority="132">
      <dataBar>
        <cfvo type="min"/>
        <cfvo type="max"/>
        <color theme="0" tint="-0.499984740745262"/>
      </dataBar>
    </cfRule>
    <cfRule type="dataBar" priority="133">
      <dataBar>
        <cfvo type="min"/>
        <cfvo type="max"/>
        <color theme="0" tint="-0.499984740745262"/>
      </dataBar>
    </cfRule>
  </conditionalFormatting>
  <conditionalFormatting sqref="F264">
    <cfRule type="dataBar" priority="188">
      <dataBar>
        <cfvo type="min"/>
        <cfvo type="max"/>
        <color theme="0" tint="-0.499984740745262"/>
      </dataBar>
    </cfRule>
    <cfRule type="dataBar" priority="189">
      <dataBar>
        <cfvo type="min"/>
        <cfvo type="max"/>
        <color theme="0" tint="-0.499984740745262"/>
      </dataBar>
    </cfRule>
    <cfRule type="dataBar" priority="190">
      <dataBar>
        <cfvo type="min"/>
        <cfvo type="max"/>
        <color theme="0" tint="-0.499984740745262"/>
      </dataBar>
    </cfRule>
  </conditionalFormatting>
  <conditionalFormatting sqref="F265">
    <cfRule type="dataBar" priority="191">
      <dataBar>
        <cfvo type="min"/>
        <cfvo type="max"/>
        <color theme="0" tint="-0.499984740745262"/>
      </dataBar>
    </cfRule>
    <cfRule type="dataBar" priority="192">
      <dataBar>
        <cfvo type="min"/>
        <cfvo type="max"/>
        <color theme="0" tint="-0.499984740745262"/>
      </dataBar>
    </cfRule>
    <cfRule type="dataBar" priority="193">
      <dataBar>
        <cfvo type="min"/>
        <cfvo type="max"/>
        <color theme="0" tint="-0.499984740745262"/>
      </dataBar>
    </cfRule>
  </conditionalFormatting>
  <conditionalFormatting sqref="F268:F270 F266">
    <cfRule type="dataBar" priority="254">
      <dataBar>
        <cfvo type="min"/>
        <cfvo type="max"/>
        <color theme="0" tint="-0.499984740745262"/>
      </dataBar>
    </cfRule>
    <cfRule type="dataBar" priority="255">
      <dataBar>
        <cfvo type="min"/>
        <cfvo type="max"/>
        <color theme="0" tint="-0.499984740745262"/>
      </dataBar>
    </cfRule>
    <cfRule type="dataBar" priority="256">
      <dataBar>
        <cfvo type="min"/>
        <cfvo type="max"/>
        <color theme="0" tint="-0.499984740745262"/>
      </dataBar>
    </cfRule>
  </conditionalFormatting>
  <conditionalFormatting sqref="F271:F274">
    <cfRule type="dataBar" priority="134">
      <dataBar>
        <cfvo type="min"/>
        <cfvo type="max"/>
        <color theme="0" tint="-0.499984740745262"/>
      </dataBar>
    </cfRule>
    <cfRule type="dataBar" priority="135">
      <dataBar>
        <cfvo type="min"/>
        <cfvo type="max"/>
        <color theme="0" tint="-0.499984740745262"/>
      </dataBar>
    </cfRule>
    <cfRule type="dataBar" priority="136">
      <dataBar>
        <cfvo type="min"/>
        <cfvo type="max"/>
        <color theme="0" tint="-0.499984740745262"/>
      </dataBar>
    </cfRule>
  </conditionalFormatting>
  <conditionalFormatting sqref="F275:F276 F296 F299:F301">
    <cfRule type="dataBar" priority="137">
      <dataBar>
        <cfvo type="min"/>
        <cfvo type="max"/>
        <color theme="0" tint="-0.499984740745262"/>
      </dataBar>
    </cfRule>
    <cfRule type="dataBar" priority="138">
      <dataBar>
        <cfvo type="min"/>
        <cfvo type="max"/>
        <color theme="0" tint="-0.499984740745262"/>
      </dataBar>
    </cfRule>
    <cfRule type="dataBar" priority="139">
      <dataBar>
        <cfvo type="min"/>
        <cfvo type="max"/>
        <color theme="0" tint="-0.499984740745262"/>
      </dataBar>
    </cfRule>
  </conditionalFormatting>
  <conditionalFormatting sqref="F277">
    <cfRule type="dataBar" priority="182">
      <dataBar>
        <cfvo type="min"/>
        <cfvo type="max"/>
        <color theme="0" tint="-0.499984740745262"/>
      </dataBar>
    </cfRule>
    <cfRule type="dataBar" priority="183">
      <dataBar>
        <cfvo type="min"/>
        <cfvo type="max"/>
        <color theme="0" tint="-0.499984740745262"/>
      </dataBar>
    </cfRule>
    <cfRule type="dataBar" priority="184">
      <dataBar>
        <cfvo type="min"/>
        <cfvo type="max"/>
        <color theme="0" tint="-0.499984740745262"/>
      </dataBar>
    </cfRule>
  </conditionalFormatting>
  <conditionalFormatting sqref="F278">
    <cfRule type="dataBar" priority="179">
      <dataBar>
        <cfvo type="min"/>
        <cfvo type="max"/>
        <color theme="0" tint="-0.499984740745262"/>
      </dataBar>
    </cfRule>
    <cfRule type="dataBar" priority="180">
      <dataBar>
        <cfvo type="min"/>
        <cfvo type="max"/>
        <color theme="0" tint="-0.499984740745262"/>
      </dataBar>
    </cfRule>
    <cfRule type="dataBar" priority="181">
      <dataBar>
        <cfvo type="min"/>
        <cfvo type="max"/>
        <color theme="0" tint="-0.499984740745262"/>
      </dataBar>
    </cfRule>
  </conditionalFormatting>
  <conditionalFormatting sqref="F279">
    <cfRule type="dataBar" priority="170">
      <dataBar>
        <cfvo type="min"/>
        <cfvo type="max"/>
        <color theme="0" tint="-0.499984740745262"/>
      </dataBar>
    </cfRule>
    <cfRule type="dataBar" priority="171">
      <dataBar>
        <cfvo type="min"/>
        <cfvo type="max"/>
        <color theme="0" tint="-0.499984740745262"/>
      </dataBar>
    </cfRule>
    <cfRule type="dataBar" priority="172">
      <dataBar>
        <cfvo type="min"/>
        <cfvo type="max"/>
        <color theme="0" tint="-0.499984740745262"/>
      </dataBar>
    </cfRule>
  </conditionalFormatting>
  <conditionalFormatting sqref="F295">
    <cfRule type="dataBar" priority="146">
      <dataBar>
        <cfvo type="min"/>
        <cfvo type="max"/>
        <color theme="0" tint="-0.499984740745262"/>
      </dataBar>
    </cfRule>
    <cfRule type="dataBar" priority="147">
      <dataBar>
        <cfvo type="min"/>
        <cfvo type="max"/>
        <color theme="0" tint="-0.499984740745262"/>
      </dataBar>
    </cfRule>
    <cfRule type="dataBar" priority="148">
      <dataBar>
        <cfvo type="min"/>
        <cfvo type="max"/>
        <color theme="0" tint="-0.499984740745262"/>
      </dataBar>
    </cfRule>
  </conditionalFormatting>
  <conditionalFormatting sqref="F297">
    <cfRule type="dataBar" priority="200">
      <dataBar>
        <cfvo type="min"/>
        <cfvo type="max"/>
        <color theme="0" tint="-0.499984740745262"/>
      </dataBar>
    </cfRule>
    <cfRule type="dataBar" priority="201">
      <dataBar>
        <cfvo type="min"/>
        <cfvo type="max"/>
        <color theme="0" tint="-0.499984740745262"/>
      </dataBar>
    </cfRule>
    <cfRule type="dataBar" priority="202">
      <dataBar>
        <cfvo type="min"/>
        <cfvo type="max"/>
        <color theme="0" tint="-0.499984740745262"/>
      </dataBar>
    </cfRule>
  </conditionalFormatting>
  <conditionalFormatting sqref="F298">
    <cfRule type="dataBar" priority="257">
      <dataBar>
        <cfvo type="min"/>
        <cfvo type="max"/>
        <color theme="0" tint="-0.499984740745262"/>
      </dataBar>
    </cfRule>
    <cfRule type="dataBar" priority="258">
      <dataBar>
        <cfvo type="min"/>
        <cfvo type="max"/>
        <color theme="0" tint="-0.499984740745262"/>
      </dataBar>
    </cfRule>
    <cfRule type="dataBar" priority="259">
      <dataBar>
        <cfvo type="min"/>
        <cfvo type="max"/>
        <color theme="0" tint="-0.499984740745262"/>
      </dataBar>
    </cfRule>
  </conditionalFormatting>
  <conditionalFormatting sqref="F302 F307">
    <cfRule type="dataBar" priority="140">
      <dataBar>
        <cfvo type="min"/>
        <cfvo type="max"/>
        <color theme="0" tint="-0.499984740745262"/>
      </dataBar>
    </cfRule>
    <cfRule type="dataBar" priority="141">
      <dataBar>
        <cfvo type="min"/>
        <cfvo type="max"/>
        <color theme="0" tint="-0.499984740745262"/>
      </dataBar>
    </cfRule>
    <cfRule type="dataBar" priority="142">
      <dataBar>
        <cfvo type="min"/>
        <cfvo type="max"/>
        <color theme="0" tint="-0.499984740745262"/>
      </dataBar>
    </cfRule>
  </conditionalFormatting>
  <conditionalFormatting sqref="F303">
    <cfRule type="dataBar" priority="185">
      <dataBar>
        <cfvo type="min"/>
        <cfvo type="max"/>
        <color theme="0" tint="-0.499984740745262"/>
      </dataBar>
    </cfRule>
    <cfRule type="dataBar" priority="186">
      <dataBar>
        <cfvo type="min"/>
        <cfvo type="max"/>
        <color theme="0" tint="-0.499984740745262"/>
      </dataBar>
    </cfRule>
    <cfRule type="dataBar" priority="187">
      <dataBar>
        <cfvo type="min"/>
        <cfvo type="max"/>
        <color theme="0" tint="-0.499984740745262"/>
      </dataBar>
    </cfRule>
  </conditionalFormatting>
  <conditionalFormatting sqref="F304">
    <cfRule type="dataBar" priority="197">
      <dataBar>
        <cfvo type="min"/>
        <cfvo type="max"/>
        <color theme="0" tint="-0.499984740745262"/>
      </dataBar>
    </cfRule>
    <cfRule type="dataBar" priority="198">
      <dataBar>
        <cfvo type="min"/>
        <cfvo type="max"/>
        <color theme="0" tint="-0.499984740745262"/>
      </dataBar>
    </cfRule>
    <cfRule type="dataBar" priority="199">
      <dataBar>
        <cfvo type="min"/>
        <cfvo type="max"/>
        <color theme="0" tint="-0.499984740745262"/>
      </dataBar>
    </cfRule>
  </conditionalFormatting>
  <conditionalFormatting sqref="F305:F306">
    <cfRule type="dataBar" priority="215">
      <dataBar>
        <cfvo type="min"/>
        <cfvo type="max"/>
        <color theme="0" tint="-0.499984740745262"/>
      </dataBar>
    </cfRule>
    <cfRule type="dataBar" priority="216">
      <dataBar>
        <cfvo type="min"/>
        <cfvo type="max"/>
        <color theme="0" tint="-0.499984740745262"/>
      </dataBar>
    </cfRule>
    <cfRule type="dataBar" priority="217">
      <dataBar>
        <cfvo type="min"/>
        <cfvo type="max"/>
        <color theme="0" tint="-0.499984740745262"/>
      </dataBar>
    </cfRule>
  </conditionalFormatting>
  <conditionalFormatting sqref="F309">
    <cfRule type="dataBar" priority="260">
      <dataBar>
        <cfvo type="min"/>
        <cfvo type="max"/>
        <color theme="0" tint="-0.499984740745262"/>
      </dataBar>
    </cfRule>
    <cfRule type="dataBar" priority="261">
      <dataBar>
        <cfvo type="min"/>
        <cfvo type="max"/>
        <color theme="0" tint="-0.499984740745262"/>
      </dataBar>
    </cfRule>
    <cfRule type="dataBar" priority="262">
      <dataBar>
        <cfvo type="min"/>
        <cfvo type="max"/>
        <color theme="0" tint="-0.499984740745262"/>
      </dataBar>
    </cfRule>
  </conditionalFormatting>
  <conditionalFormatting sqref="F319">
    <cfRule type="dataBar" priority="173">
      <dataBar>
        <cfvo type="min"/>
        <cfvo type="max"/>
        <color theme="0" tint="-0.499984740745262"/>
      </dataBar>
    </cfRule>
    <cfRule type="dataBar" priority="174">
      <dataBar>
        <cfvo type="min"/>
        <cfvo type="max"/>
        <color theme="0" tint="-0.499984740745262"/>
      </dataBar>
    </cfRule>
    <cfRule type="dataBar" priority="175">
      <dataBar>
        <cfvo type="min"/>
        <cfvo type="max"/>
        <color theme="0" tint="-0.499984740745262"/>
      </dataBar>
    </cfRule>
  </conditionalFormatting>
  <conditionalFormatting sqref="F320">
    <cfRule type="dataBar" priority="176">
      <dataBar>
        <cfvo type="min"/>
        <cfvo type="max"/>
        <color theme="0" tint="-0.499984740745262"/>
      </dataBar>
    </cfRule>
    <cfRule type="dataBar" priority="177">
      <dataBar>
        <cfvo type="min"/>
        <cfvo type="max"/>
        <color theme="0" tint="-0.499984740745262"/>
      </dataBar>
    </cfRule>
    <cfRule type="dataBar" priority="178">
      <dataBar>
        <cfvo type="min"/>
        <cfvo type="max"/>
        <color theme="0" tint="-0.499984740745262"/>
      </dataBar>
    </cfRule>
  </conditionalFormatting>
  <conditionalFormatting sqref="F337">
    <cfRule type="dataBar" priority="161">
      <dataBar>
        <cfvo type="min"/>
        <cfvo type="max"/>
        <color theme="0" tint="-0.499984740745262"/>
      </dataBar>
    </cfRule>
    <cfRule type="dataBar" priority="162">
      <dataBar>
        <cfvo type="min"/>
        <cfvo type="max"/>
        <color theme="0" tint="-0.499984740745262"/>
      </dataBar>
    </cfRule>
    <cfRule type="dataBar" priority="163">
      <dataBar>
        <cfvo type="min"/>
        <cfvo type="max"/>
        <color theme="0" tint="-0.499984740745262"/>
      </dataBar>
    </cfRule>
  </conditionalFormatting>
  <conditionalFormatting sqref="F338">
    <cfRule type="dataBar" priority="158">
      <dataBar>
        <cfvo type="min"/>
        <cfvo type="max"/>
        <color theme="0" tint="-0.499984740745262"/>
      </dataBar>
    </cfRule>
    <cfRule type="dataBar" priority="159">
      <dataBar>
        <cfvo type="min"/>
        <cfvo type="max"/>
        <color theme="0" tint="-0.499984740745262"/>
      </dataBar>
    </cfRule>
    <cfRule type="dataBar" priority="160">
      <dataBar>
        <cfvo type="min"/>
        <cfvo type="max"/>
        <color theme="0" tint="-0.499984740745262"/>
      </dataBar>
    </cfRule>
  </conditionalFormatting>
  <conditionalFormatting sqref="F339">
    <cfRule type="dataBar" priority="194">
      <dataBar>
        <cfvo type="min"/>
        <cfvo type="max"/>
        <color theme="0" tint="-0.499984740745262"/>
      </dataBar>
    </cfRule>
    <cfRule type="dataBar" priority="195">
      <dataBar>
        <cfvo type="min"/>
        <cfvo type="max"/>
        <color theme="0" tint="-0.499984740745262"/>
      </dataBar>
    </cfRule>
    <cfRule type="dataBar" priority="196">
      <dataBar>
        <cfvo type="min"/>
        <cfvo type="max"/>
        <color theme="0" tint="-0.499984740745262"/>
      </dataBar>
    </cfRule>
  </conditionalFormatting>
  <conditionalFormatting sqref="F308 F340 F314:F318">
    <cfRule type="dataBar" priority="143">
      <dataBar>
        <cfvo type="min"/>
        <cfvo type="max"/>
        <color theme="0" tint="-0.499984740745262"/>
      </dataBar>
    </cfRule>
    <cfRule type="dataBar" priority="144">
      <dataBar>
        <cfvo type="min"/>
        <cfvo type="max"/>
        <color theme="0" tint="-0.499984740745262"/>
      </dataBar>
    </cfRule>
    <cfRule type="dataBar" priority="145">
      <dataBar>
        <cfvo type="min"/>
        <cfvo type="max"/>
        <color theme="0" tint="-0.499984740745262"/>
      </dataBar>
    </cfRule>
  </conditionalFormatting>
  <conditionalFormatting sqref="F341">
    <cfRule type="dataBar" priority="164">
      <dataBar>
        <cfvo type="min"/>
        <cfvo type="max"/>
        <color theme="0" tint="-0.499984740745262"/>
      </dataBar>
    </cfRule>
    <cfRule type="dataBar" priority="165">
      <dataBar>
        <cfvo type="min"/>
        <cfvo type="max"/>
        <color theme="0" tint="-0.499984740745262"/>
      </dataBar>
    </cfRule>
    <cfRule type="dataBar" priority="166">
      <dataBar>
        <cfvo type="min"/>
        <cfvo type="max"/>
        <color theme="0" tint="-0.499984740745262"/>
      </dataBar>
    </cfRule>
  </conditionalFormatting>
  <conditionalFormatting sqref="F343">
    <cfRule type="dataBar" priority="167">
      <dataBar>
        <cfvo type="min"/>
        <cfvo type="max"/>
        <color theme="0" tint="-0.499984740745262"/>
      </dataBar>
    </cfRule>
    <cfRule type="dataBar" priority="168">
      <dataBar>
        <cfvo type="min"/>
        <cfvo type="max"/>
        <color theme="0" tint="-0.499984740745262"/>
      </dataBar>
    </cfRule>
    <cfRule type="dataBar" priority="169">
      <dataBar>
        <cfvo type="min"/>
        <cfvo type="max"/>
        <color theme="0" tint="-0.499984740745262"/>
      </dataBar>
    </cfRule>
  </conditionalFormatting>
  <conditionalFormatting sqref="F361">
    <cfRule type="dataBar" priority="149">
      <dataBar>
        <cfvo type="min"/>
        <cfvo type="max"/>
        <color theme="0" tint="-0.499984740745262"/>
      </dataBar>
    </cfRule>
    <cfRule type="dataBar" priority="150">
      <dataBar>
        <cfvo type="min"/>
        <cfvo type="max"/>
        <color theme="0" tint="-0.499984740745262"/>
      </dataBar>
    </cfRule>
    <cfRule type="dataBar" priority="151">
      <dataBar>
        <cfvo type="min"/>
        <cfvo type="max"/>
        <color theme="0" tint="-0.499984740745262"/>
      </dataBar>
    </cfRule>
  </conditionalFormatting>
  <conditionalFormatting sqref="F362">
    <cfRule type="dataBar" priority="206">
      <dataBar>
        <cfvo type="min"/>
        <cfvo type="max"/>
        <color theme="0" tint="-0.499984740745262"/>
      </dataBar>
    </cfRule>
    <cfRule type="dataBar" priority="207">
      <dataBar>
        <cfvo type="min"/>
        <cfvo type="max"/>
        <color theme="0" tint="-0.499984740745262"/>
      </dataBar>
    </cfRule>
    <cfRule type="dataBar" priority="208">
      <dataBar>
        <cfvo type="min"/>
        <cfvo type="max"/>
        <color theme="0" tint="-0.499984740745262"/>
      </dataBar>
    </cfRule>
  </conditionalFormatting>
  <conditionalFormatting sqref="F431">
    <cfRule type="dataBar" priority="218">
      <dataBar>
        <cfvo type="min"/>
        <cfvo type="max"/>
        <color theme="0" tint="-0.499984740745262"/>
      </dataBar>
    </cfRule>
    <cfRule type="dataBar" priority="219">
      <dataBar>
        <cfvo type="min"/>
        <cfvo type="max"/>
        <color theme="0" tint="-0.499984740745262"/>
      </dataBar>
    </cfRule>
    <cfRule type="dataBar" priority="220">
      <dataBar>
        <cfvo type="min"/>
        <cfvo type="max"/>
        <color theme="0" tint="-0.499984740745262"/>
      </dataBar>
    </cfRule>
  </conditionalFormatting>
  <conditionalFormatting sqref="F432">
    <cfRule type="dataBar" priority="221">
      <dataBar>
        <cfvo type="min"/>
        <cfvo type="max"/>
        <color theme="0" tint="-0.499984740745262"/>
      </dataBar>
    </cfRule>
    <cfRule type="dataBar" priority="222">
      <dataBar>
        <cfvo type="min"/>
        <cfvo type="max"/>
        <color theme="0" tint="-0.499984740745262"/>
      </dataBar>
    </cfRule>
    <cfRule type="dataBar" priority="223">
      <dataBar>
        <cfvo type="min"/>
        <cfvo type="max"/>
        <color theme="0" tint="-0.499984740745262"/>
      </dataBar>
    </cfRule>
  </conditionalFormatting>
  <conditionalFormatting sqref="F433">
    <cfRule type="dataBar" priority="239">
      <dataBar>
        <cfvo type="min"/>
        <cfvo type="max"/>
        <color theme="0" tint="-0.499984740745262"/>
      </dataBar>
    </cfRule>
    <cfRule type="dataBar" priority="240">
      <dataBar>
        <cfvo type="min"/>
        <cfvo type="max"/>
        <color theme="0" tint="-0.499984740745262"/>
      </dataBar>
    </cfRule>
    <cfRule type="dataBar" priority="241">
      <dataBar>
        <cfvo type="min"/>
        <cfvo type="max"/>
        <color theme="0" tint="-0.499984740745262"/>
      </dataBar>
    </cfRule>
  </conditionalFormatting>
  <conditionalFormatting sqref="F434">
    <cfRule type="dataBar" priority="242">
      <dataBar>
        <cfvo type="min"/>
        <cfvo type="max"/>
        <color theme="0" tint="-0.499984740745262"/>
      </dataBar>
    </cfRule>
    <cfRule type="dataBar" priority="243">
      <dataBar>
        <cfvo type="min"/>
        <cfvo type="max"/>
        <color theme="0" tint="-0.499984740745262"/>
      </dataBar>
    </cfRule>
    <cfRule type="dataBar" priority="244">
      <dataBar>
        <cfvo type="min"/>
        <cfvo type="max"/>
        <color theme="0" tint="-0.499984740745262"/>
      </dataBar>
    </cfRule>
  </conditionalFormatting>
  <conditionalFormatting sqref="F435">
    <cfRule type="dataBar" priority="251">
      <dataBar>
        <cfvo type="min"/>
        <cfvo type="max"/>
        <color theme="0" tint="-0.499984740745262"/>
      </dataBar>
    </cfRule>
    <cfRule type="dataBar" priority="252">
      <dataBar>
        <cfvo type="min"/>
        <cfvo type="max"/>
        <color theme="0" tint="-0.499984740745262"/>
      </dataBar>
    </cfRule>
    <cfRule type="dataBar" priority="253">
      <dataBar>
        <cfvo type="min"/>
        <cfvo type="max"/>
        <color theme="0" tint="-0.499984740745262"/>
      </dataBar>
    </cfRule>
  </conditionalFormatting>
  <conditionalFormatting sqref="F445">
    <cfRule type="dataBar" priority="245">
      <dataBar>
        <cfvo type="min"/>
        <cfvo type="max"/>
        <color theme="0" tint="-0.499984740745262"/>
      </dataBar>
    </cfRule>
    <cfRule type="dataBar" priority="246">
      <dataBar>
        <cfvo type="min"/>
        <cfvo type="max"/>
        <color theme="0" tint="-0.499984740745262"/>
      </dataBar>
    </cfRule>
    <cfRule type="dataBar" priority="247">
      <dataBar>
        <cfvo type="min"/>
        <cfvo type="max"/>
        <color theme="0" tint="-0.499984740745262"/>
      </dataBar>
    </cfRule>
  </conditionalFormatting>
  <conditionalFormatting sqref="F455">
    <cfRule type="dataBar" priority="248">
      <dataBar>
        <cfvo type="min"/>
        <cfvo type="max"/>
        <color theme="0" tint="-0.499984740745262"/>
      </dataBar>
    </cfRule>
    <cfRule type="dataBar" priority="249">
      <dataBar>
        <cfvo type="min"/>
        <cfvo type="max"/>
        <color theme="0" tint="-0.499984740745262"/>
      </dataBar>
    </cfRule>
    <cfRule type="dataBar" priority="250">
      <dataBar>
        <cfvo type="min"/>
        <cfvo type="max"/>
        <color theme="0" tint="-0.499984740745262"/>
      </dataBar>
    </cfRule>
  </conditionalFormatting>
  <conditionalFormatting sqref="F462">
    <cfRule type="dataBar" priority="224">
      <dataBar>
        <cfvo type="min"/>
        <cfvo type="max"/>
        <color theme="0" tint="-0.499984740745262"/>
      </dataBar>
    </cfRule>
    <cfRule type="dataBar" priority="225">
      <dataBar>
        <cfvo type="min"/>
        <cfvo type="max"/>
        <color theme="0" tint="-0.499984740745262"/>
      </dataBar>
    </cfRule>
    <cfRule type="dataBar" priority="226">
      <dataBar>
        <cfvo type="min"/>
        <cfvo type="max"/>
        <color theme="0" tint="-0.499984740745262"/>
      </dataBar>
    </cfRule>
  </conditionalFormatting>
  <conditionalFormatting sqref="F463">
    <cfRule type="dataBar" priority="227">
      <dataBar>
        <cfvo type="min"/>
        <cfvo type="max"/>
        <color theme="0" tint="-0.499984740745262"/>
      </dataBar>
    </cfRule>
    <cfRule type="dataBar" priority="228">
      <dataBar>
        <cfvo type="min"/>
        <cfvo type="max"/>
        <color theme="0" tint="-0.499984740745262"/>
      </dataBar>
    </cfRule>
    <cfRule type="dataBar" priority="229">
      <dataBar>
        <cfvo type="min"/>
        <cfvo type="max"/>
        <color theme="0" tint="-0.499984740745262"/>
      </dataBar>
    </cfRule>
  </conditionalFormatting>
  <conditionalFormatting sqref="F465">
    <cfRule type="dataBar" priority="230">
      <dataBar>
        <cfvo type="min"/>
        <cfvo type="max"/>
        <color theme="0" tint="-0.499984740745262"/>
      </dataBar>
    </cfRule>
    <cfRule type="dataBar" priority="231">
      <dataBar>
        <cfvo type="min"/>
        <cfvo type="max"/>
        <color theme="0" tint="-0.499984740745262"/>
      </dataBar>
    </cfRule>
    <cfRule type="dataBar" priority="232">
      <dataBar>
        <cfvo type="min"/>
        <cfvo type="max"/>
        <color theme="0" tint="-0.499984740745262"/>
      </dataBar>
    </cfRule>
  </conditionalFormatting>
  <conditionalFormatting sqref="F466">
    <cfRule type="dataBar" priority="236">
      <dataBar>
        <cfvo type="min"/>
        <cfvo type="max"/>
        <color theme="0" tint="-0.499984740745262"/>
      </dataBar>
    </cfRule>
    <cfRule type="dataBar" priority="237">
      <dataBar>
        <cfvo type="min"/>
        <cfvo type="max"/>
        <color theme="0" tint="-0.499984740745262"/>
      </dataBar>
    </cfRule>
    <cfRule type="dataBar" priority="238">
      <dataBar>
        <cfvo type="min"/>
        <cfvo type="max"/>
        <color theme="0" tint="-0.499984740745262"/>
      </dataBar>
    </cfRule>
  </conditionalFormatting>
  <conditionalFormatting sqref="F467">
    <cfRule type="dataBar" priority="233">
      <dataBar>
        <cfvo type="min"/>
        <cfvo type="max"/>
        <color theme="0" tint="-0.499984740745262"/>
      </dataBar>
    </cfRule>
    <cfRule type="dataBar" priority="234">
      <dataBar>
        <cfvo type="min"/>
        <cfvo type="max"/>
        <color theme="0" tint="-0.499984740745262"/>
      </dataBar>
    </cfRule>
    <cfRule type="dataBar" priority="235">
      <dataBar>
        <cfvo type="min"/>
        <cfvo type="max"/>
        <color theme="0" tint="-0.499984740745262"/>
      </dataBar>
    </cfRule>
  </conditionalFormatting>
  <conditionalFormatting sqref="K7 O7 K9">
    <cfRule type="expression" dxfId="114" priority="263" stopIfTrue="1">
      <formula>AND(COUNTIF($K$7:$K$7, K7)+COUNTIF($O$7:$O$7, K7)+COUNTIF($K$9:$K$9, K7)&gt;1,NOT(ISBLANK(K7)))</formula>
    </cfRule>
  </conditionalFormatting>
  <conditionalFormatting sqref="K10">
    <cfRule type="duplicateValues" dxfId="113" priority="63"/>
  </conditionalFormatting>
  <conditionalFormatting sqref="K11">
    <cfRule type="duplicateValues" dxfId="112" priority="34"/>
  </conditionalFormatting>
  <conditionalFormatting sqref="K12">
    <cfRule type="duplicateValues" dxfId="111" priority="37"/>
  </conditionalFormatting>
  <conditionalFormatting sqref="K13">
    <cfRule type="duplicateValues" dxfId="110" priority="64"/>
  </conditionalFormatting>
  <conditionalFormatting sqref="K15">
    <cfRule type="duplicateValues" dxfId="109" priority="114"/>
  </conditionalFormatting>
  <conditionalFormatting sqref="K19">
    <cfRule type="duplicateValues" dxfId="108" priority="115"/>
  </conditionalFormatting>
  <conditionalFormatting sqref="K23">
    <cfRule type="duplicateValues" dxfId="107" priority="52"/>
  </conditionalFormatting>
  <conditionalFormatting sqref="K27">
    <cfRule type="duplicateValues" dxfId="106" priority="43"/>
  </conditionalFormatting>
  <conditionalFormatting sqref="K28">
    <cfRule type="duplicateValues" dxfId="105" priority="62"/>
  </conditionalFormatting>
  <conditionalFormatting sqref="K34">
    <cfRule type="duplicateValues" dxfId="104" priority="83"/>
  </conditionalFormatting>
  <conditionalFormatting sqref="K36">
    <cfRule type="duplicateValues" dxfId="103" priority="56"/>
  </conditionalFormatting>
  <conditionalFormatting sqref="K39">
    <cfRule type="duplicateValues" dxfId="102" priority="13"/>
  </conditionalFormatting>
  <conditionalFormatting sqref="K40">
    <cfRule type="duplicateValues" dxfId="101" priority="46"/>
  </conditionalFormatting>
  <conditionalFormatting sqref="K48">
    <cfRule type="duplicateValues" dxfId="100" priority="77"/>
  </conditionalFormatting>
  <conditionalFormatting sqref="K71">
    <cfRule type="duplicateValues" dxfId="99" priority="108"/>
  </conditionalFormatting>
  <conditionalFormatting sqref="K72">
    <cfRule type="duplicateValues" dxfId="98" priority="109"/>
  </conditionalFormatting>
  <conditionalFormatting sqref="K74">
    <cfRule type="duplicateValues" dxfId="97" priority="107"/>
  </conditionalFormatting>
  <conditionalFormatting sqref="K82">
    <cfRule type="duplicateValues" dxfId="96" priority="80"/>
  </conditionalFormatting>
  <conditionalFormatting sqref="K83">
    <cfRule type="duplicateValues" dxfId="95" priority="79"/>
  </conditionalFormatting>
  <conditionalFormatting sqref="K84">
    <cfRule type="duplicateValues" dxfId="94" priority="78"/>
  </conditionalFormatting>
  <conditionalFormatting sqref="K90">
    <cfRule type="duplicateValues" dxfId="93" priority="69"/>
  </conditionalFormatting>
  <conditionalFormatting sqref="K92">
    <cfRule type="duplicateValues" dxfId="92" priority="10"/>
  </conditionalFormatting>
  <conditionalFormatting sqref="K93">
    <cfRule type="duplicateValues" dxfId="91" priority="11"/>
  </conditionalFormatting>
  <conditionalFormatting sqref="K94">
    <cfRule type="duplicateValues" dxfId="90" priority="18"/>
  </conditionalFormatting>
  <conditionalFormatting sqref="K100">
    <cfRule type="duplicateValues" dxfId="89" priority="84"/>
  </conditionalFormatting>
  <conditionalFormatting sqref="K102">
    <cfRule type="duplicateValues" dxfId="88" priority="25"/>
  </conditionalFormatting>
  <conditionalFormatting sqref="K109">
    <cfRule type="duplicateValues" dxfId="87" priority="51"/>
  </conditionalFormatting>
  <conditionalFormatting sqref="K116">
    <cfRule type="duplicateValues" dxfId="86" priority="92"/>
  </conditionalFormatting>
  <conditionalFormatting sqref="K117">
    <cfRule type="duplicateValues" dxfId="85" priority="91"/>
  </conditionalFormatting>
  <conditionalFormatting sqref="K118">
    <cfRule type="duplicateValues" dxfId="84" priority="90"/>
  </conditionalFormatting>
  <conditionalFormatting sqref="K122">
    <cfRule type="duplicateValues" dxfId="83" priority="105"/>
  </conditionalFormatting>
  <conditionalFormatting sqref="K123">
    <cfRule type="duplicateValues" dxfId="82" priority="106"/>
  </conditionalFormatting>
  <conditionalFormatting sqref="K124">
    <cfRule type="duplicateValues" dxfId="81" priority="35"/>
  </conditionalFormatting>
  <conditionalFormatting sqref="K126">
    <cfRule type="duplicateValues" dxfId="80" priority="112"/>
  </conditionalFormatting>
  <conditionalFormatting sqref="K139">
    <cfRule type="duplicateValues" dxfId="79" priority="65"/>
  </conditionalFormatting>
  <conditionalFormatting sqref="K140">
    <cfRule type="duplicateValues" dxfId="78" priority="36"/>
  </conditionalFormatting>
  <conditionalFormatting sqref="K141">
    <cfRule type="duplicateValues" dxfId="77" priority="19"/>
  </conditionalFormatting>
  <conditionalFormatting sqref="K144">
    <cfRule type="duplicateValues" dxfId="76" priority="50"/>
  </conditionalFormatting>
  <conditionalFormatting sqref="K147">
    <cfRule type="duplicateValues" dxfId="75" priority="99"/>
  </conditionalFormatting>
  <conditionalFormatting sqref="K148">
    <cfRule type="duplicateValues" dxfId="74" priority="98"/>
  </conditionalFormatting>
  <conditionalFormatting sqref="K153">
    <cfRule type="duplicateValues" dxfId="73" priority="41"/>
  </conditionalFormatting>
  <conditionalFormatting sqref="K155">
    <cfRule type="duplicateValues" dxfId="72" priority="102"/>
  </conditionalFormatting>
  <conditionalFormatting sqref="K158">
    <cfRule type="duplicateValues" dxfId="71" priority="100"/>
  </conditionalFormatting>
  <conditionalFormatting sqref="K159">
    <cfRule type="duplicateValues" dxfId="70" priority="101"/>
  </conditionalFormatting>
  <conditionalFormatting sqref="K161">
    <cfRule type="duplicateValues" dxfId="69" priority="49"/>
  </conditionalFormatting>
  <conditionalFormatting sqref="K174">
    <cfRule type="duplicateValues" dxfId="68" priority="31"/>
  </conditionalFormatting>
  <conditionalFormatting sqref="K178">
    <cfRule type="duplicateValues" dxfId="67" priority="7"/>
  </conditionalFormatting>
  <conditionalFormatting sqref="K181">
    <cfRule type="duplicateValues" dxfId="66" priority="93"/>
  </conditionalFormatting>
  <conditionalFormatting sqref="K182 K65">
    <cfRule type="expression" dxfId="65" priority="312" stopIfTrue="1">
      <formula>AND(COUNTIF($K$182:$K$182, K65)+COUNTIF($K$65:$K$65, K65)&gt;1,NOT(ISBLANK(K65)))</formula>
    </cfRule>
  </conditionalFormatting>
  <conditionalFormatting sqref="K183">
    <cfRule type="duplicateValues" dxfId="64" priority="55"/>
  </conditionalFormatting>
  <conditionalFormatting sqref="K184">
    <cfRule type="duplicateValues" dxfId="63" priority="24"/>
  </conditionalFormatting>
  <conditionalFormatting sqref="K188">
    <cfRule type="duplicateValues" dxfId="62" priority="48"/>
  </conditionalFormatting>
  <conditionalFormatting sqref="K199">
    <cfRule type="duplicateValues" dxfId="61" priority="26"/>
  </conditionalFormatting>
  <conditionalFormatting sqref="K201">
    <cfRule type="duplicateValues" dxfId="60" priority="33"/>
  </conditionalFormatting>
  <conditionalFormatting sqref="K202">
    <cfRule type="duplicateValues" dxfId="59" priority="23"/>
  </conditionalFormatting>
  <conditionalFormatting sqref="K203">
    <cfRule type="duplicateValues" dxfId="58" priority="22"/>
  </conditionalFormatting>
  <conditionalFormatting sqref="K204">
    <cfRule type="duplicateValues" dxfId="57" priority="15"/>
  </conditionalFormatting>
  <conditionalFormatting sqref="K212">
    <cfRule type="duplicateValues" dxfId="56" priority="59"/>
  </conditionalFormatting>
  <conditionalFormatting sqref="K214">
    <cfRule type="duplicateValues" dxfId="55" priority="54"/>
  </conditionalFormatting>
  <conditionalFormatting sqref="K228">
    <cfRule type="duplicateValues" dxfId="54" priority="9"/>
  </conditionalFormatting>
  <conditionalFormatting sqref="K232">
    <cfRule type="duplicateValues" dxfId="53" priority="14"/>
  </conditionalFormatting>
  <conditionalFormatting sqref="K236">
    <cfRule type="duplicateValues" dxfId="52" priority="89"/>
  </conditionalFormatting>
  <conditionalFormatting sqref="K237">
    <cfRule type="duplicateValues" dxfId="51" priority="88"/>
  </conditionalFormatting>
  <conditionalFormatting sqref="K248">
    <cfRule type="duplicateValues" dxfId="50" priority="97"/>
  </conditionalFormatting>
  <conditionalFormatting sqref="K252">
    <cfRule type="duplicateValues" dxfId="49" priority="113"/>
  </conditionalFormatting>
  <conditionalFormatting sqref="K259">
    <cfRule type="duplicateValues" dxfId="48" priority="39"/>
  </conditionalFormatting>
  <conditionalFormatting sqref="K261">
    <cfRule type="duplicateValues" dxfId="47" priority="38"/>
  </conditionalFormatting>
  <conditionalFormatting sqref="K264">
    <cfRule type="duplicateValues" dxfId="46" priority="72"/>
  </conditionalFormatting>
  <conditionalFormatting sqref="K265">
    <cfRule type="duplicateValues" dxfId="45" priority="71"/>
  </conditionalFormatting>
  <conditionalFormatting sqref="K277">
    <cfRule type="duplicateValues" dxfId="44" priority="81"/>
  </conditionalFormatting>
  <conditionalFormatting sqref="K278">
    <cfRule type="duplicateValues" dxfId="43" priority="82"/>
  </conditionalFormatting>
  <conditionalFormatting sqref="K279">
    <cfRule type="duplicateValues" dxfId="42" priority="103"/>
  </conditionalFormatting>
  <conditionalFormatting sqref="K282">
    <cfRule type="duplicateValues" dxfId="41" priority="45"/>
  </conditionalFormatting>
  <conditionalFormatting sqref="K292">
    <cfRule type="duplicateValues" dxfId="40" priority="30"/>
  </conditionalFormatting>
  <conditionalFormatting sqref="K297">
    <cfRule type="duplicateValues" dxfId="39" priority="42"/>
  </conditionalFormatting>
  <conditionalFormatting sqref="K298">
    <cfRule type="duplicateValues" dxfId="38" priority="20"/>
  </conditionalFormatting>
  <conditionalFormatting sqref="K303">
    <cfRule type="duplicateValues" dxfId="37" priority="76"/>
  </conditionalFormatting>
  <conditionalFormatting sqref="K305">
    <cfRule type="duplicateValues" dxfId="36" priority="32"/>
  </conditionalFormatting>
  <conditionalFormatting sqref="K306">
    <cfRule type="duplicateValues" dxfId="35" priority="21"/>
  </conditionalFormatting>
  <conditionalFormatting sqref="K309">
    <cfRule type="duplicateValues" dxfId="34" priority="16"/>
  </conditionalFormatting>
  <conditionalFormatting sqref="K319">
    <cfRule type="duplicateValues" dxfId="33" priority="95"/>
  </conditionalFormatting>
  <conditionalFormatting sqref="K320">
    <cfRule type="duplicateValues" dxfId="32" priority="94"/>
  </conditionalFormatting>
  <conditionalFormatting sqref="K339">
    <cfRule type="duplicateValues" dxfId="31" priority="66"/>
  </conditionalFormatting>
  <conditionalFormatting sqref="K341">
    <cfRule type="duplicateValues" dxfId="30" priority="111"/>
  </conditionalFormatting>
  <conditionalFormatting sqref="K343">
    <cfRule type="duplicateValues" dxfId="29" priority="110"/>
  </conditionalFormatting>
  <conditionalFormatting sqref="K354">
    <cfRule type="duplicateValues" dxfId="28" priority="29"/>
  </conditionalFormatting>
  <conditionalFormatting sqref="K357">
    <cfRule type="duplicateValues" dxfId="27" priority="61"/>
  </conditionalFormatting>
  <conditionalFormatting sqref="K362">
    <cfRule type="duplicateValues" dxfId="26" priority="40"/>
  </conditionalFormatting>
  <conditionalFormatting sqref="K385">
    <cfRule type="duplicateValues" dxfId="25" priority="75"/>
  </conditionalFormatting>
  <conditionalFormatting sqref="K386">
    <cfRule type="duplicateValues" dxfId="24" priority="74"/>
  </conditionalFormatting>
  <conditionalFormatting sqref="K440 K213 K304 K368">
    <cfRule type="expression" dxfId="23" priority="354" stopIfTrue="1">
      <formula>AND(COUNTIF($K$440:$K$440, K213)+COUNTIF($K$213:$K$213, K213)+COUNTIF($K$304:$K$304, K213)+COUNTIF($K$368:$K$368, K213)&gt;1,NOT(ISBLANK(K213)))</formula>
    </cfRule>
  </conditionalFormatting>
  <conditionalFormatting sqref="K389">
    <cfRule type="duplicateValues" dxfId="22" priority="47"/>
  </conditionalFormatting>
  <conditionalFormatting sqref="K396">
    <cfRule type="duplicateValues" dxfId="21" priority="27"/>
  </conditionalFormatting>
  <conditionalFormatting sqref="K399">
    <cfRule type="duplicateValues" dxfId="20" priority="12"/>
  </conditionalFormatting>
  <conditionalFormatting sqref="K400">
    <cfRule type="duplicateValues" dxfId="19" priority="28"/>
  </conditionalFormatting>
  <conditionalFormatting sqref="K407">
    <cfRule type="duplicateValues" dxfId="18" priority="96"/>
  </conditionalFormatting>
  <conditionalFormatting sqref="K418">
    <cfRule type="duplicateValues" dxfId="17" priority="17"/>
  </conditionalFormatting>
  <conditionalFormatting sqref="K423">
    <cfRule type="duplicateValues" dxfId="16" priority="87"/>
  </conditionalFormatting>
  <conditionalFormatting sqref="K424">
    <cfRule type="duplicateValues" dxfId="15" priority="86"/>
  </conditionalFormatting>
  <conditionalFormatting sqref="K425">
    <cfRule type="duplicateValues" dxfId="14" priority="104"/>
  </conditionalFormatting>
  <conditionalFormatting sqref="K437">
    <cfRule type="duplicateValues" dxfId="13" priority="68"/>
  </conditionalFormatting>
  <conditionalFormatting sqref="K438">
    <cfRule type="duplicateValues" dxfId="12" priority="67"/>
  </conditionalFormatting>
  <conditionalFormatting sqref="K441">
    <cfRule type="duplicateValues" dxfId="11" priority="60"/>
  </conditionalFormatting>
  <conditionalFormatting sqref="K442">
    <cfRule type="duplicateValues" dxfId="10" priority="70"/>
  </conditionalFormatting>
  <conditionalFormatting sqref="K453">
    <cfRule type="duplicateValues" dxfId="9" priority="73"/>
  </conditionalFormatting>
  <conditionalFormatting sqref="K456">
    <cfRule type="duplicateValues" dxfId="8" priority="44"/>
  </conditionalFormatting>
  <conditionalFormatting sqref="K460">
    <cfRule type="duplicateValues" dxfId="7" priority="85"/>
  </conditionalFormatting>
  <conditionalFormatting sqref="K461 K125 K337:K338 K258 K20:K22 K16:K18 K342 K344 K73 K75 K426 K280:K281 K156:K157 K160 K249 K408 K127 K101 K35 K85 K49 K307:K308 K387:K388 K454 K266 K443:K444 K91 K439 K238 K215 K340 K142:K143 K14 K29:K33 K358:K361 K185:K187 K66 K369:K370 K37:K38 K175:K177 K200 K401:K406 K46:K47 K293:K296 K452 K457:K459 K299:K302 K154 K363:K367 K260 K262:K263 K205:K211 K56:K64 K70 K80:K81 K89 K110:K113 K152 K230:K231 K246:K247 K268:K276 K314:K318 K355:K356 K376:K384 K419:K422 K436 K446:K449 K468:K469 K24:K26 K145:K146 K95:K99 K233:K235 K179:K180 K115">
    <cfRule type="expression" dxfId="6" priority="371" stopIfTrue="1">
      <formula>#VALUE!</formula>
    </cfRule>
  </conditionalFormatting>
  <conditionalFormatting sqref="K462:K463 K445 K455 K427:K435 K409:K417 K390:K395 K371:K375 K321:K336 K119:K121 K310:K313 K283:K291 K267 K250:K251 K239:K245 K216:K227 K189:K198 K162:K173 K128:K138 K149:K151 K103:K108 K86:K88 K76:K79 K67:K69 K50:K55 K41:K45 K397:K398 K253:K257 K345:K353 K229 K465:K467">
    <cfRule type="expression" dxfId="5" priority="372" stopIfTrue="1">
      <formula>AND(COUNTIF($K$462:$K$463, K41)+COUNTIF($K$445:$K$445, K41)+COUNTIF($K$455:$K$455, K41)+COUNTIF($K$427:$K$435, K41)+COUNTIF($K$409:$K$417, K41)+COUNTIF($K$390:$K$395, K41)+COUNTIF($K$371:$K$375, K41)+COUNTIF($K$321:$K$336, K41)+COUNTIF($K$119:$K$121, K41)+COUNTIF($K$310:$K$313, K41)+COUNTIF($K$283:$K$291, K41)+COUNTIF($K$267:$K$267, K41)+COUNTIF($K$250:$K$251, K41)+COUNTIF($K$239:$K$245, K41)+COUNTIF($K$216:$K$227, K41)+COUNTIF($K$189:$K$198, K41)+COUNTIF($K$162:$K$173, K41)+COUNTIF($K$128:$K$138, K41)+COUNTIF($K$149:$K$151, K41)+COUNTIF($K$103:$K$108, K41)+COUNTIF($K$86:$K$88, K41)+COUNTIF($K$76:$K$79, K41)+COUNTIF($K$67:$K$69, K41)+COUNTIF($K$50:$K$55, K41)+COUNTIF($K$41:$K$45, K41)+COUNTIF($K$397:$K$398, K41)+COUNTIF($K$253:$K$257, K41)+COUNTIF($K$345:$K$353, K41)+COUNTIF($K$229:$K$229, K41)+COUNTIF($K$465:$K$467, K41)&gt;1,NOT(ISBLANK(K41)))</formula>
    </cfRule>
  </conditionalFormatting>
  <conditionalFormatting sqref="K470">
    <cfRule type="duplicateValues" dxfId="4" priority="53"/>
  </conditionalFormatting>
  <conditionalFormatting sqref="N116:N470 N10:N113">
    <cfRule type="cellIs" dxfId="3" priority="8" operator="lessThanOrEqual">
      <formula>TODAY()</formula>
    </cfRule>
  </conditionalFormatting>
  <conditionalFormatting sqref="K114">
    <cfRule type="duplicateValues" dxfId="2" priority="6"/>
  </conditionalFormatting>
  <conditionalFormatting sqref="N114:N115">
    <cfRule type="cellIs" dxfId="1" priority="5" operator="lessThanOrEqual">
      <formula>TODAY()</formula>
    </cfRule>
  </conditionalFormatting>
  <conditionalFormatting sqref="F464">
    <cfRule type="dataBar" priority="2">
      <dataBar>
        <cfvo type="min"/>
        <cfvo type="max"/>
        <color theme="0" tint="-0.499984740745262"/>
      </dataBar>
    </cfRule>
    <cfRule type="dataBar" priority="3">
      <dataBar>
        <cfvo type="min"/>
        <cfvo type="max"/>
        <color theme="0" tint="-0.499984740745262"/>
      </dataBar>
    </cfRule>
    <cfRule type="dataBar" priority="4">
      <dataBar>
        <cfvo type="min"/>
        <cfvo type="max"/>
        <color theme="0" tint="-0.499984740745262"/>
      </dataBar>
    </cfRule>
  </conditionalFormatting>
  <conditionalFormatting sqref="K464">
    <cfRule type="duplicateValues" dxfId="0" priority="1"/>
  </conditionalFormatting>
  <hyperlinks>
    <hyperlink ref="AA9" r:id="rId2" display="https://github.com/OSRvn/ID-Welder/blob/main/W-0165.pdf" xr:uid="{33AC389F-C480-4716-AEE8-9E665CA9F8C7}"/>
    <hyperlink ref="AA10:AA101" r:id="rId3" display="https://github.com/OSRvn/ID-Welder/blob/main/W-0165.pdf" xr:uid="{6CDDF8E0-0D29-4899-B1C9-87921CB0A83A}"/>
  </hyperlinks>
  <printOptions horizontalCentered="1"/>
  <pageMargins left="0.3" right="0.2" top="0.1" bottom="0.25" header="0.511811023622047" footer="0.196850393700787"/>
  <pageSetup scale="70" fitToHeight="0" orientation="landscape" r:id="rId4"/>
  <colBreaks count="1" manualBreakCount="1">
    <brk id="9" max="1048575" man="1"/>
  </colBreaks>
  <drawing r:id="rId5"/>
  <extLst>
    <ext xmlns:x14="http://schemas.microsoft.com/office/spreadsheetml/2009/9/main" uri="{CCE6A557-97BC-4b89-ADB6-D9C93CAAB3DF}">
      <x14:dataValidations xmlns:xm="http://schemas.microsoft.com/office/excel/2006/main" count="1">
        <x14:dataValidation type="list" allowBlank="1" showInputMessage="1" showErrorMessage="1" xr:uid="{8A76ABF8-B22F-477B-BEF5-E4FA44ECDDA0}">
          <x14:formula1>
            <xm:f>TCW!$E$7:$E$1001</xm:f>
          </x14:formula1>
          <xm:sqref>H4</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WPS </vt:lpstr>
      <vt:lpstr>POE</vt:lpstr>
      <vt:lpstr>TCW</vt:lpstr>
      <vt:lpstr>LWC</vt:lpstr>
      <vt:lpstr>LWC!Khang</vt:lpstr>
      <vt:lpstr>TCW!Khang</vt:lpstr>
      <vt:lpstr>POE!Print_Area</vt:lpstr>
      <vt:lpstr>TCW!Print_Area</vt:lpstr>
      <vt:lpstr>'WPS '!Print_Area</vt:lpstr>
      <vt:lpstr>LWC!Print_Titles</vt:lpstr>
      <vt:lpstr>POE!Print_Titles</vt:lpstr>
      <vt:lpstr>TCW!Print_Titles</vt:lpstr>
      <vt:lpstr>'WPS '!Print_Titles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OSR VN</dc:creator>
  <cp:lastModifiedBy>shirowashi91@gmail.com</cp:lastModifiedBy>
  <cp:lastPrinted>2025-12-26T00:38:06Z</cp:lastPrinted>
  <dcterms:created xsi:type="dcterms:W3CDTF">2024-02-05T07:19:58Z</dcterms:created>
  <dcterms:modified xsi:type="dcterms:W3CDTF">2025-12-26T00:42:23Z</dcterms:modified>
</cp:coreProperties>
</file>